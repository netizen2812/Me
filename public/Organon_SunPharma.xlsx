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F" sheetId="1" r:id="rId5"/>
    <sheet state="visible" name="Accretion Dilution" sheetId="2" r:id="rId6"/>
    <sheet state="visible" name="Comps Analysis" sheetId="3" r:id="rId7"/>
    <sheet state="visible" name="Precedent Transactions" sheetId="4" r:id="rId8"/>
    <sheet state="visible" name="WACC" sheetId="5" r:id="rId9"/>
    <sheet state="visible" name="Beta Regression" sheetId="6" r:id="rId10"/>
    <sheet state="visible" name="Historical Data" sheetId="7" r:id="rId11"/>
  </sheets>
  <definedNames/>
  <calcPr/>
</workbook>
</file>

<file path=xl/sharedStrings.xml><?xml version="1.0" encoding="utf-8"?>
<sst xmlns="http://schemas.openxmlformats.org/spreadsheetml/2006/main" count="472" uniqueCount="349">
  <si>
    <t xml:space="preserve">ORGANON &amp; CO. — DCF VALUATION </t>
  </si>
  <si>
    <t xml:space="preserve"> </t>
  </si>
  <si>
    <t>Historical</t>
  </si>
  <si>
    <t>Stage 1: Contraction</t>
  </si>
  <si>
    <t>Stage 2: Stabilisation</t>
  </si>
  <si>
    <t>FY2024A</t>
  </si>
  <si>
    <t>FY2025A</t>
  </si>
  <si>
    <t>FY2026E</t>
  </si>
  <si>
    <t>FY2027E</t>
  </si>
  <si>
    <t>FY2028E</t>
  </si>
  <si>
    <t>FY2029E</t>
  </si>
  <si>
    <t>REVENUE FORECAST</t>
  </si>
  <si>
    <t>Growth Rate Assumptions →</t>
  </si>
  <si>
    <t>-2.0%</t>
  </si>
  <si>
    <t>-1.5%</t>
  </si>
  <si>
    <t>+1.0%</t>
  </si>
  <si>
    <t>+2.0%</t>
  </si>
  <si>
    <t xml:space="preserve">  Womens Health</t>
  </si>
  <si>
    <t xml:space="preserve">  Biosimilars</t>
  </si>
  <si>
    <t xml:space="preserve">  Established Brands</t>
  </si>
  <si>
    <t xml:space="preserve">  Other / Mfg</t>
  </si>
  <si>
    <t>Total Revenue</t>
  </si>
  <si>
    <t xml:space="preserve">EBIT BUILD &amp; NOPAT </t>
  </si>
  <si>
    <t xml:space="preserve">  Gross Margin %</t>
  </si>
  <si>
    <t xml:space="preserve">  SG&amp;A % Revenue </t>
  </si>
  <si>
    <t xml:space="preserve">  R&amp;D % Revenue </t>
  </si>
  <si>
    <t>Gross Profit</t>
  </si>
  <si>
    <t xml:space="preserve">  Less: SG&amp;A</t>
  </si>
  <si>
    <t xml:space="preserve">  Less: R&amp;D</t>
  </si>
  <si>
    <t>Adj. EBIT (Normalized)</t>
  </si>
  <si>
    <t xml:space="preserve">  Adj. EBIT Margin %</t>
  </si>
  <si>
    <t xml:space="preserve">  Tax Rate </t>
  </si>
  <si>
    <t>NOPAT = Adj. EBIT × (1 – Tax)</t>
  </si>
  <si>
    <t xml:space="preserve">REINVESTMENT RATE &amp; FCFF  </t>
  </si>
  <si>
    <t xml:space="preserve">  D&amp;A % Revenue</t>
  </si>
  <si>
    <t xml:space="preserve">  D&amp;A ($mm)</t>
  </si>
  <si>
    <t xml:space="preserve">  CapEx % Revenue </t>
  </si>
  <si>
    <t xml:space="preserve">  Gross CapEx ($mm)</t>
  </si>
  <si>
    <t>Net CapEx = Gross CapEx – D&amp;A</t>
  </si>
  <si>
    <t xml:space="preserve">  NWC % Revenue </t>
  </si>
  <si>
    <t xml:space="preserve">  NWC ($mm)</t>
  </si>
  <si>
    <t xml:space="preserve"> ΔNWC</t>
  </si>
  <si>
    <t xml:space="preserve">FCFF = NOPAT +D&amp;A  -Capex - Change in NWC </t>
  </si>
  <si>
    <t xml:space="preserve">  Discount Period (mid-year)</t>
  </si>
  <si>
    <t xml:space="preserve">  Discount Factor = 1/(1+WACC)^n</t>
  </si>
  <si>
    <t>PV of FCFF</t>
  </si>
  <si>
    <t>TERMINAL VALUE CALCULATION</t>
  </si>
  <si>
    <t xml:space="preserve">  Terminal Growth Rate (g)</t>
  </si>
  <si>
    <t xml:space="preserve">  WACC </t>
  </si>
  <si>
    <t xml:space="preserve">  FCFF(n+1) = FCFF × (1+g)</t>
  </si>
  <si>
    <t>Terminal Value = FCFF(n+1) / (WACC – g)</t>
  </si>
  <si>
    <t>ENTERPRISE VALUE → EQUITY VALUE → SHARE PRICE</t>
  </si>
  <si>
    <t xml:space="preserve">Sum of PV of FCFF </t>
  </si>
  <si>
    <t>PV of Terminal Value</t>
  </si>
  <si>
    <t>Enterprise Value</t>
  </si>
  <si>
    <t xml:space="preserve">  Less: Net Debt </t>
  </si>
  <si>
    <t>Equity Value</t>
  </si>
  <si>
    <t xml:space="preserve">  Diluted Shares Outstanding (000s)</t>
  </si>
  <si>
    <t>Implied Share Price</t>
  </si>
  <si>
    <t xml:space="preserve">  Offer Price </t>
  </si>
  <si>
    <t xml:space="preserve">  Premium / (Discount) to Offer</t>
  </si>
  <si>
    <t>Sensitivity Analysis of Value Per Share</t>
  </si>
  <si>
    <t>WACC</t>
  </si>
  <si>
    <t>Terminal Growth Rate</t>
  </si>
  <si>
    <t>Sun Pharma acquired Organon at an attractive valuation, with the transaction value implying a meaningful discount to Organon's intrinsic value as indicated by DCF analysis, public trading comparables, and precedent pharmaceutical transactions.</t>
  </si>
  <si>
    <t>Open Low</t>
  </si>
  <si>
    <t>Low</t>
  </si>
  <si>
    <t xml:space="preserve">Close High </t>
  </si>
  <si>
    <t>High</t>
  </si>
  <si>
    <t>Comps</t>
  </si>
  <si>
    <t>DCF Bear</t>
  </si>
  <si>
    <t>DCF Base</t>
  </si>
  <si>
    <t>DCF Bull</t>
  </si>
  <si>
    <t>52W H/L</t>
  </si>
  <si>
    <t xml:space="preserve">SUN PHARMA ACQUISITION OF ORGANON — A/D ANALYSIS  </t>
  </si>
  <si>
    <t>PART 1: SOURCES &amp; USES ($mm)</t>
  </si>
  <si>
    <t>SOURCES</t>
  </si>
  <si>
    <t>$mm</t>
  </si>
  <si>
    <t>Sun Cash</t>
  </si>
  <si>
    <t>Bridge Financing</t>
  </si>
  <si>
    <t>Total Sources</t>
  </si>
  <si>
    <t>USES</t>
  </si>
  <si>
    <t>Purchase OGN Equity</t>
  </si>
  <si>
    <t>Refinance OGN Net Debt</t>
  </si>
  <si>
    <t>Transaction Costs</t>
  </si>
  <si>
    <t>Financing Fees (OID+Arranger)</t>
  </si>
  <si>
    <t>Total Uses</t>
  </si>
  <si>
    <t>PART 2: PRO FORMA INTEREST EXPENSE SCHEDULE</t>
  </si>
  <si>
    <t>Debt Tranche</t>
  </si>
  <si>
    <t>Debt ($mm)</t>
  </si>
  <si>
    <t>Y1 Rate (Bridge)</t>
  </si>
  <si>
    <t>Y1 Interest</t>
  </si>
  <si>
    <t>Y2 Rate (Permanent)</t>
  </si>
  <si>
    <t>Y2 Interest</t>
  </si>
  <si>
    <t>Bridge (to perm.)</t>
  </si>
  <si>
    <t>Note- Year 1 models an immediate, temporary $9.5B Bridge Facility assuming ~8.75% to achieve deal closure. Year 2 assumes a permanent capital market take-out, refinancing the bridge into long-term investment-grade institutional bonds at a normalized 6.00% coupon to secure a structural 275 bps cost-of-capital savings.</t>
  </si>
  <si>
    <t>Sun Standalone</t>
  </si>
  <si>
    <t>Total Interest Expense</t>
  </si>
  <si>
    <t>PART 3: SYNERGY SCHEDULE</t>
  </si>
  <si>
    <t>Category</t>
  </si>
  <si>
    <t>Y1</t>
  </si>
  <si>
    <t>Y1 ($mm)</t>
  </si>
  <si>
    <t>Y2</t>
  </si>
  <si>
    <t>Y2 ($mm)</t>
  </si>
  <si>
    <t>Y3</t>
  </si>
  <si>
    <t>Y3 ($mm)</t>
  </si>
  <si>
    <t>Assumption</t>
  </si>
  <si>
    <t>Procurement / COGS</t>
  </si>
  <si>
    <t>Target 3% savings on OGN’s $2.9B COGS using Sun’s supply chain leverage.</t>
  </si>
  <si>
    <t>SG&amp;A / Headcount</t>
  </si>
  <si>
    <t>Duplicate functions; regional consolidation; ~8% of OGN SGA</t>
  </si>
  <si>
    <t>R&amp;D Rationalization</t>
  </si>
  <si>
    <t>Consolidation of redundant clinical trial sites and cutting overlapping early-stage pipeline programs</t>
  </si>
  <si>
    <t>Mfg. Network</t>
  </si>
  <si>
    <t xml:space="preserve">Offloading Organon’s outsourced production onto Sun’s high-utilization facilities </t>
  </si>
  <si>
    <t>Revenue (EM channels)</t>
  </si>
  <si>
    <t>Plugging Organon’s established brands directly into Sun’s dominant India and Emerging Market pharmacy networks.</t>
  </si>
  <si>
    <t>Revenue (US Specialty)</t>
  </si>
  <si>
    <t>Cross-selling Sun’s existing dermatology/specialty assets alongside Organon’s demographies.</t>
  </si>
  <si>
    <t xml:space="preserve">Total Synergies </t>
  </si>
  <si>
    <t>One-Time Integration Costs</t>
  </si>
  <si>
    <t>Severance, IT, supply chain; ~0.72x of $486 Million. ($352 Million)</t>
  </si>
  <si>
    <t>Net Cash Impact</t>
  </si>
  <si>
    <t xml:space="preserve">PART 4: PRO FORMA P&amp;L </t>
  </si>
  <si>
    <t>P&amp;L Item</t>
  </si>
  <si>
    <t>OGN
FY2026E</t>
  </si>
  <si>
    <t xml:space="preserve">Sun
FY2026E </t>
  </si>
  <si>
    <t>Base Y1
(FY2026E)</t>
  </si>
  <si>
    <t>Base Y2
(FY2027E)</t>
  </si>
  <si>
    <t>Up Y1</t>
  </si>
  <si>
    <t>Down Y1</t>
  </si>
  <si>
    <t>Revenue</t>
  </si>
  <si>
    <t>Taking as Baseline revenue</t>
  </si>
  <si>
    <t xml:space="preserve">  + Rev Synergies</t>
  </si>
  <si>
    <t>Adj. EBITDA</t>
  </si>
  <si>
    <t xml:space="preserve">  + Cost Synergies</t>
  </si>
  <si>
    <t>Combined EBITDA</t>
  </si>
  <si>
    <t xml:space="preserve">  Less: D&amp;A</t>
  </si>
  <si>
    <t xml:space="preserve">  Less: Int</t>
  </si>
  <si>
    <t xml:space="preserve">  PPA Amort (intang.) </t>
  </si>
  <si>
    <t>A post-merger accounting adjustment that reflects the gradual, non-cash write-down of Organon's newly revalued intangible assets</t>
  </si>
  <si>
    <t xml:space="preserve">  Less: One-Time Integr. Cost</t>
  </si>
  <si>
    <t>EBIT (Pro Forma)</t>
  </si>
  <si>
    <t xml:space="preserve">  Tax (20% assumed)</t>
  </si>
  <si>
    <t>Net Income</t>
  </si>
  <si>
    <t xml:space="preserve">  Less: NCI</t>
  </si>
  <si>
    <t>Strips out the portion of consolidated net profits that legally belongs to minority outside partners and global subsidiaries.</t>
  </si>
  <si>
    <t>NI to Parent</t>
  </si>
  <si>
    <t>PART 5: EPS ACCRETION / DILUTION</t>
  </si>
  <si>
    <t>EPS Item</t>
  </si>
  <si>
    <t>Base Y1</t>
  </si>
  <si>
    <t>Base Y2</t>
  </si>
  <si>
    <t>Upside Y1</t>
  </si>
  <si>
    <t>Sun Standalone NI ($mm)</t>
  </si>
  <si>
    <t>-</t>
  </si>
  <si>
    <t>PF NI to Parent ($mm)</t>
  </si>
  <si>
    <t xml:space="preserve"> EPS ($)</t>
  </si>
  <si>
    <t>Sun Diluted Shares (mm)</t>
  </si>
  <si>
    <t>EPS Accretion/(Dilution) $</t>
  </si>
  <si>
    <t>EPS Accretion/(Dilution) %</t>
  </si>
  <si>
    <t>VERDICT</t>
  </si>
  <si>
    <t>Conclusion</t>
  </si>
  <si>
    <t>Verdict &amp; Pivot: The transaction is dilutive in Year 1 (~15.2%) due to high initial financing and integration costs, but structurally pivots into a powerful accretion engine in Year 2 (+13.5%) as core operations align.</t>
  </si>
  <si>
    <t>Integration Costs Vanish: The $250 mm Year 1 integration expense represents a temporary toll to eliminate corporate duplication; this spend completely vanishes to $0 by Year 3, unlocking the platform's full $486 mm steady-state synergy prize.</t>
  </si>
  <si>
    <t>Capital Market Risk: Success depends heavily on executing the Year 2 bond take-out to exit the expensive 8.75% bridge payload; a minor 50 bps upward shift in the permanent refinancing rate (6.50% vs 6.00%) would instantly erode $47.5 mm in projected net income.</t>
  </si>
  <si>
    <t>Relative Valuation Method</t>
  </si>
  <si>
    <t>Name</t>
  </si>
  <si>
    <t>Country</t>
  </si>
  <si>
    <r>
      <rPr>
        <rFont val="Calibri"/>
        <color theme="1"/>
        <sz val="11.0"/>
      </rPr>
      <t xml:space="preserve">Share Price ($) </t>
    </r>
    <r>
      <rPr>
        <rFont val="Calibri"/>
        <i/>
        <color rgb="FF999999"/>
        <sz val="7.0"/>
      </rPr>
      <t>(As of 24/04/26)</t>
    </r>
  </si>
  <si>
    <t>Net Debt</t>
  </si>
  <si>
    <t>Total Equity</t>
  </si>
  <si>
    <t>EBIDTA</t>
  </si>
  <si>
    <t>Net Profit</t>
  </si>
  <si>
    <t>EV/EBITDA</t>
  </si>
  <si>
    <t>EV/Revenue</t>
  </si>
  <si>
    <t>P/E</t>
  </si>
  <si>
    <t>Organon</t>
  </si>
  <si>
    <t>USA</t>
  </si>
  <si>
    <t>Viatris</t>
  </si>
  <si>
    <t>Teva</t>
  </si>
  <si>
    <t>Hikma</t>
  </si>
  <si>
    <t>UK</t>
  </si>
  <si>
    <t>Perrigo</t>
  </si>
  <si>
    <t>Ireland</t>
  </si>
  <si>
    <t>Dr. Reddys</t>
  </si>
  <si>
    <t>India</t>
  </si>
  <si>
    <t>Cipla</t>
  </si>
  <si>
    <t>Alvotech</t>
  </si>
  <si>
    <t>Iceland</t>
  </si>
  <si>
    <t>Biocon Bio.</t>
  </si>
  <si>
    <t xml:space="preserve">Average </t>
  </si>
  <si>
    <t>Median</t>
  </si>
  <si>
    <t>Organon Comparable Valuation</t>
  </si>
  <si>
    <t>Implied Enterprise Value</t>
  </si>
  <si>
    <t>Implied Market Value</t>
  </si>
  <si>
    <t xml:space="preserve">ORGANON — PRECEDENT TRANSACTIONS  </t>
  </si>
  <si>
    <t>CORE COMPARABLE TRANSACTIONS (Cash-Flowing Pharma Carve-Outs &amp; Portfolio Acquisitions)</t>
  </si>
  <si>
    <t>Acquirer</t>
  </si>
  <si>
    <t>Target</t>
  </si>
  <si>
    <t>Date</t>
  </si>
  <si>
    <t>EV ($mm)</t>
  </si>
  <si>
    <t>Revenue ($mm)</t>
  </si>
  <si>
    <t>EBITDA ($mm)</t>
  </si>
  <si>
    <t>EV / Rev</t>
  </si>
  <si>
    <t>EV / EBITDA</t>
  </si>
  <si>
    <t>Category / Strategic Type</t>
  </si>
  <si>
    <t>Allergan Generics (Actavis)</t>
  </si>
  <si>
    <t>Generic Carve-Out</t>
  </si>
  <si>
    <t>AbbVie</t>
  </si>
  <si>
    <t>Allergan (incl. WH/aesthetics)</t>
  </si>
  <si>
    <t>Specialty / Diversified Mega-Merger</t>
  </si>
  <si>
    <t>Bayer</t>
  </si>
  <si>
    <t>Schering AG</t>
  </si>
  <si>
    <t>Specialty / WH Consolidation</t>
  </si>
  <si>
    <t>HRA Pharma (OTC WH)</t>
  </si>
  <si>
    <t>OTC / Consumer Self-Care</t>
  </si>
  <si>
    <t>Sun Pharma</t>
  </si>
  <si>
    <t>Ranbaxy Labs</t>
  </si>
  <si>
    <t>Generic Platform Consolidation</t>
  </si>
  <si>
    <t>Custopharm (not Columbus)</t>
  </si>
  <si>
    <t>Sterile Injectables Bolt-On</t>
  </si>
  <si>
    <t>Bausch Health</t>
  </si>
  <si>
    <t>Various Rx assets (Right Foods/etc)</t>
  </si>
  <si>
    <t>Mature / Non-Core Asset Carve-Out</t>
  </si>
  <si>
    <t>Dermavant Sciences</t>
  </si>
  <si>
    <t>NM</t>
  </si>
  <si>
    <t>Medical Derm / WH Asset Bolt-On</t>
  </si>
  <si>
    <t>Fresenius Kabi</t>
  </si>
  <si>
    <t>mAbxience</t>
  </si>
  <si>
    <t>Biosimilar / Biologics Platform</t>
  </si>
  <si>
    <t>AstraZeneca</t>
  </si>
  <si>
    <t>Amgen (Biosimilar Rights)</t>
  </si>
  <si>
    <t>Biosimilar Geographic Asset Swap</t>
  </si>
  <si>
    <t xml:space="preserve">TRANSACTION MULTIPLE STATISTICS </t>
  </si>
  <si>
    <t>EV / Revenue</t>
  </si>
  <si>
    <t>Minimum</t>
  </si>
  <si>
    <t>25th Pct</t>
  </si>
  <si>
    <t xml:space="preserve">Median </t>
  </si>
  <si>
    <t>Mean</t>
  </si>
  <si>
    <t>75th Pct</t>
  </si>
  <si>
    <t>Maximum</t>
  </si>
  <si>
    <t>OGN ACQUISITION MULTIPLE BENCHMARKING</t>
  </si>
  <si>
    <t>OGN Implied EV / Adj. EBITDA</t>
  </si>
  <si>
    <t>Bottom quartile of core comparable universe</t>
  </si>
  <si>
    <t>OGN Implied EV / Revenue</t>
  </si>
  <si>
    <t>vs. Prec. Txn Median (EV/EBITDA)</t>
  </si>
  <si>
    <t>CONCLUSION</t>
  </si>
  <si>
    <t>Sun's $14/share ($11.75B EV)</t>
  </si>
  <si>
    <t>FAIR / SLIGHTLY BELOW MID</t>
  </si>
  <si>
    <t>Weighted Average Cost of Capital</t>
  </si>
  <si>
    <t>All figures are in USD unless stated otherwise.</t>
  </si>
  <si>
    <t>Peer Comps</t>
  </si>
  <si>
    <t>Debt/</t>
  </si>
  <si>
    <t>Levered</t>
  </si>
  <si>
    <t>Unlevered</t>
  </si>
  <si>
    <t>Net Debt ($mm)</t>
  </si>
  <si>
    <t>Total Equity ($mm)</t>
  </si>
  <si>
    <t xml:space="preserve">Tax Rate </t>
  </si>
  <si>
    <t>Equity</t>
  </si>
  <si>
    <t>Capital</t>
  </si>
  <si>
    <t xml:space="preserve">Beta </t>
  </si>
  <si>
    <t>Average</t>
  </si>
  <si>
    <t>Cost of Debt</t>
  </si>
  <si>
    <t>Cost of Equity</t>
  </si>
  <si>
    <t>Pre-tax Cost of Debt</t>
  </si>
  <si>
    <t>Risk Free Rate (10Y US Treasury)</t>
  </si>
  <si>
    <t>Tax Rate</t>
  </si>
  <si>
    <t>Equity Risk Premium</t>
  </si>
  <si>
    <t>After Tax Cost of Debt</t>
  </si>
  <si>
    <t xml:space="preserve">Levered Beta </t>
  </si>
  <si>
    <t>Capital Structure</t>
  </si>
  <si>
    <t>Current</t>
  </si>
  <si>
    <t>Comps Median Unlevered Beta</t>
  </si>
  <si>
    <t>Total Debt/Total cap</t>
  </si>
  <si>
    <t xml:space="preserve">Target Debt/ Equity  </t>
  </si>
  <si>
    <t>Equity/Total cap</t>
  </si>
  <si>
    <t>Total Capitalization</t>
  </si>
  <si>
    <t>Levered Beta</t>
  </si>
  <si>
    <t>Debt / Equity</t>
  </si>
  <si>
    <t>Unlevered Beta = Levered Beta/(1+(1-Tax Rate) x Debt/Equity)</t>
  </si>
  <si>
    <t>Levered Beta = Unlevered Beta/(1+(1-Tax Rate) x Debt/Equity)</t>
  </si>
  <si>
    <t>Equity Weight</t>
  </si>
  <si>
    <t>Debt Weight</t>
  </si>
  <si>
    <t>Regression Beta- 2 years daily</t>
  </si>
  <si>
    <t>Levered raw beta</t>
  </si>
  <si>
    <t>Adjusted beta</t>
  </si>
  <si>
    <t>Dr Reddy</t>
  </si>
  <si>
    <t>Biocon</t>
  </si>
  <si>
    <t>S&amp;P 500</t>
  </si>
  <si>
    <t>Closing Price</t>
  </si>
  <si>
    <t>Return</t>
  </si>
  <si>
    <t>ORGANON &amp; CO. — HISTORICAL FINANCIALS &amp; REINVESTMENT ANALYSIS</t>
  </si>
  <si>
    <t>($ in Millions | Source: OGN 10-K FY2025, FY2024, FY2023)</t>
  </si>
  <si>
    <t>Line Item</t>
  </si>
  <si>
    <t>FY2023A</t>
  </si>
  <si>
    <t>3yr Avg/ Note</t>
  </si>
  <si>
    <t>INCOME STATEMENT</t>
  </si>
  <si>
    <t>Cost of Sales</t>
  </si>
  <si>
    <t>SGA</t>
  </si>
  <si>
    <t>RD</t>
  </si>
  <si>
    <t>IPR&amp;D / Milestones</t>
  </si>
  <si>
    <t>Non-recurring</t>
  </si>
  <si>
    <t>Goodwill Impairment</t>
  </si>
  <si>
    <t>Non-recurring non-cash</t>
  </si>
  <si>
    <t>Restructuring</t>
  </si>
  <si>
    <t xml:space="preserve">EBIT </t>
  </si>
  <si>
    <t xml:space="preserve">  + DA (Depr. + Amort.)</t>
  </si>
  <si>
    <t xml:space="preserve">EBITDA </t>
  </si>
  <si>
    <t xml:space="preserve">  + Goodwill Impairment</t>
  </si>
  <si>
    <t>Add back non-cash</t>
  </si>
  <si>
    <t xml:space="preserve">  + Restructuring</t>
  </si>
  <si>
    <t>Add back non-recurring</t>
  </si>
  <si>
    <t xml:space="preserve">  + IPR&amp;D / Milestones</t>
  </si>
  <si>
    <t>Add back</t>
  </si>
  <si>
    <t xml:space="preserve">  - Inventory FV Charge</t>
  </si>
  <si>
    <t>Dermavant PPA; one-time</t>
  </si>
  <si>
    <t xml:space="preserve">  - Debt Extinguish. Gain</t>
  </si>
  <si>
    <t>Non-cash gain on repurchase</t>
  </si>
  <si>
    <t xml:space="preserve">  Adj. EBITDA Margin %</t>
  </si>
  <si>
    <t>Interest Expense</t>
  </si>
  <si>
    <t>Wtd avg rate 4.9% on ~$8.6B debt</t>
  </si>
  <si>
    <t>Other Income / (Expense)</t>
  </si>
  <si>
    <t>Income Before Tax</t>
  </si>
  <si>
    <t>Tax (Expense) / Benefit</t>
  </si>
  <si>
    <t>Diluted EPS ($)</t>
  </si>
  <si>
    <t>BALANCE SHEET SNAPSHOT</t>
  </si>
  <si>
    <t>Cash &amp; Equivalents</t>
  </si>
  <si>
    <t>Net PP&amp;E</t>
  </si>
  <si>
    <t>Intangibles (net)</t>
  </si>
  <si>
    <t>Goodwill</t>
  </si>
  <si>
    <t>Total Assets</t>
  </si>
  <si>
    <t>Gross Debt</t>
  </si>
  <si>
    <t>Diluted Shares (000s)</t>
  </si>
  <si>
    <t>Net Debt / Adj. EBITDA</t>
  </si>
  <si>
    <t>CASH FLOW &amp; REINVESTMENT RATE ANALYSIS</t>
  </si>
  <si>
    <t>Operating Cash Flow</t>
  </si>
  <si>
    <t>Capital Expenditures</t>
  </si>
  <si>
    <t>Depreciation</t>
  </si>
  <si>
    <t>Amortization</t>
  </si>
  <si>
    <t>Net CapEx (CapEx - D&amp;A)</t>
  </si>
  <si>
    <t>Working Capital (NWC)</t>
  </si>
  <si>
    <t>Change in NWC (ΔWC)</t>
  </si>
  <si>
    <t>NOPAT = (EBIT×(1-25%))</t>
  </si>
  <si>
    <t>Assumed 25% tax rate</t>
  </si>
  <si>
    <t>Invested Capital</t>
  </si>
  <si>
    <t>Net Debt + Total Equity</t>
  </si>
  <si>
    <t>ROIC (NOPAT / IC)</t>
  </si>
  <si>
    <t>CapEx / Revenue %</t>
  </si>
  <si>
    <t>DA / Revenue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</si>
</sst>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;\(#,##0\);\-"/>
    <numFmt numFmtId="165" formatCode="0.0%;\(0.0%\);\-"/>
    <numFmt numFmtId="166" formatCode="0.0"/>
    <numFmt numFmtId="167" formatCode="0.0000"/>
    <numFmt numFmtId="168" formatCode="\$#,##0.00;&quot;($&quot;#,##0.00\);\-"/>
    <numFmt numFmtId="169" formatCode="0.0\x"/>
    <numFmt numFmtId="170" formatCode="mmm yyyy"/>
    <numFmt numFmtId="171" formatCode="#,##0.0"/>
    <numFmt numFmtId="172" formatCode="dd-mm-yyyy"/>
    <numFmt numFmtId="173" formatCode="d-m-yyyy"/>
  </numFmts>
  <fonts count="43">
    <font>
      <sz val="11.0"/>
      <color theme="1"/>
      <name val="Calibri"/>
      <scheme val="minor"/>
    </font>
    <font>
      <sz val="11.0"/>
      <color rgb="FF000000"/>
      <name val="Calibri"/>
    </font>
    <font>
      <b/>
      <sz val="12.0"/>
      <color rgb="FFFFFFFF"/>
      <name val="Arial"/>
    </font>
    <font>
      <color rgb="FF000000"/>
      <name val="Calibri"/>
      <scheme val="minor"/>
    </font>
    <font>
      <b/>
      <sz val="9.0"/>
      <color rgb="FFFFFFFF"/>
      <name val="Arial"/>
    </font>
    <font>
      <b/>
      <sz val="10.0"/>
      <color rgb="FFFFFFFF"/>
      <name val="Arial"/>
    </font>
    <font/>
    <font>
      <b/>
      <sz val="10.0"/>
      <color rgb="FF000000"/>
      <name val="Arial"/>
    </font>
    <font>
      <b/>
      <sz val="9.0"/>
      <color rgb="FF000000"/>
      <name val="Arial"/>
    </font>
    <font>
      <sz val="10.0"/>
      <color rgb="FF000000"/>
      <name val="Arial"/>
    </font>
    <font>
      <i/>
      <sz val="8.0"/>
      <color rgb="FF000000"/>
      <name val="Arial"/>
    </font>
    <font>
      <b/>
      <sz val="11.0"/>
      <color rgb="FF000000"/>
      <name val="Arial"/>
    </font>
    <font>
      <b/>
      <color rgb="FFFFFFFF"/>
      <name val="Arial"/>
    </font>
    <font>
      <color rgb="FFFFFFFF"/>
      <name val="Arial"/>
    </font>
    <font>
      <color theme="1"/>
      <name val="Arial"/>
    </font>
    <font>
      <sz val="11.0"/>
      <color theme="1"/>
      <name val="Arial"/>
    </font>
    <font>
      <i/>
      <sz val="10.0"/>
      <color theme="1"/>
      <name val="Calibri"/>
      <scheme val="minor"/>
    </font>
    <font>
      <sz val="11.0"/>
      <color theme="1"/>
      <name val="Calibri"/>
    </font>
    <font>
      <sz val="10.0"/>
      <color rgb="FF0000FF"/>
      <name val="Arial"/>
    </font>
    <font>
      <b/>
      <sz val="9.0"/>
      <color theme="1"/>
      <name val="Arial"/>
    </font>
    <font>
      <color rgb="FF0000FF"/>
      <name val="Arial"/>
    </font>
    <font>
      <b/>
      <color theme="1"/>
      <name val="Arial"/>
    </font>
    <font>
      <i/>
      <sz val="8.0"/>
      <color rgb="FF595959"/>
      <name val="Arial"/>
    </font>
    <font>
      <i/>
      <sz val="9.0"/>
      <color theme="1"/>
      <name val="Calibri"/>
    </font>
    <font>
      <b/>
      <color theme="1"/>
      <name val="Calibri"/>
      <scheme val="minor"/>
    </font>
    <font>
      <color rgb="FF0000FF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i/>
      <sz val="8.0"/>
      <color rgb="FF434343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14.0"/>
      <color rgb="FFFFFFFF"/>
      <name val="Calibri"/>
    </font>
    <font>
      <sz val="11.0"/>
      <color rgb="FF3333FF"/>
      <name val="Calibri"/>
    </font>
    <font>
      <b/>
      <sz val="11.0"/>
      <color rgb="FFFFFFFF"/>
      <name val="Arial"/>
    </font>
    <font>
      <sz val="11.0"/>
      <color rgb="FFFFFFFF"/>
      <name val="Calibri"/>
    </font>
    <font>
      <b/>
      <sz val="11.0"/>
      <color theme="1"/>
      <name val="Arial"/>
    </font>
    <font>
      <sz val="9.0"/>
      <color rgb="FF000000"/>
      <name val="Arial"/>
    </font>
    <font>
      <i/>
      <color theme="1"/>
      <name val="Calibri"/>
    </font>
    <font>
      <b/>
      <sz val="11.0"/>
      <color theme="1"/>
      <name val="Calibri"/>
    </font>
    <font>
      <sz val="11.0"/>
      <color rgb="FF0000FF"/>
      <name val="Calibri"/>
    </font>
    <font>
      <b/>
      <i/>
      <sz val="12.0"/>
      <color rgb="FFFFFFFF"/>
      <name val="Arial"/>
    </font>
    <font>
      <b/>
      <sz val="11.0"/>
      <color rgb="FFFFFFFF"/>
      <name val="Calibri"/>
    </font>
    <font>
      <b/>
      <sz val="10.0"/>
      <color theme="0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445A82"/>
        <bgColor rgb="FF445A82"/>
      </patternFill>
    </fill>
    <fill>
      <patternFill patternType="solid">
        <fgColor rgb="FF00CF30"/>
        <bgColor rgb="FF00CF30"/>
      </patternFill>
    </fill>
    <fill>
      <patternFill patternType="solid">
        <fgColor rgb="FF007887"/>
        <bgColor rgb="FF007887"/>
      </patternFill>
    </fill>
    <fill>
      <patternFill patternType="solid">
        <fgColor rgb="FF003DC2"/>
        <bgColor rgb="FF003DC2"/>
      </patternFill>
    </fill>
    <fill>
      <patternFill patternType="solid">
        <fgColor rgb="FF001BE4"/>
        <bgColor rgb="FF001BE4"/>
      </patternFill>
    </fill>
    <fill>
      <patternFill patternType="solid">
        <fgColor rgb="FF0000FF"/>
        <bgColor rgb="FF0000FF"/>
      </patternFill>
    </fill>
    <fill>
      <patternFill patternType="solid">
        <fgColor rgb="FF01FE00"/>
        <bgColor rgb="FF01FE00"/>
      </patternFill>
    </fill>
    <fill>
      <patternFill patternType="solid">
        <fgColor rgb="FF00936C"/>
        <bgColor rgb="FF00936C"/>
      </patternFill>
    </fill>
    <fill>
      <patternFill patternType="solid">
        <fgColor rgb="FF004CB3"/>
        <bgColor rgb="FF004CB3"/>
      </patternFill>
    </fill>
    <fill>
      <patternFill patternType="solid">
        <fgColor rgb="FF0026D9"/>
        <bgColor rgb="FF0026D9"/>
      </patternFill>
    </fill>
    <fill>
      <patternFill patternType="solid">
        <fgColor rgb="FF0007F8"/>
        <bgColor rgb="FF0007F8"/>
      </patternFill>
    </fill>
    <fill>
      <patternFill patternType="solid">
        <fgColor rgb="FF34CB00"/>
        <bgColor rgb="FF34CB00"/>
      </patternFill>
    </fill>
    <fill>
      <patternFill patternType="solid">
        <fgColor rgb="FF00B54A"/>
        <bgColor rgb="FF00B54A"/>
      </patternFill>
    </fill>
    <fill>
      <patternFill patternType="solid">
        <fgColor rgb="FF005FA0"/>
        <bgColor rgb="FF005FA0"/>
      </patternFill>
    </fill>
    <fill>
      <patternFill patternType="solid">
        <fgColor rgb="FF0032CD"/>
        <bgColor rgb="FF0032CD"/>
      </patternFill>
    </fill>
    <fill>
      <patternFill patternType="solid">
        <fgColor rgb="FF000FF0"/>
        <bgColor rgb="FF000FF0"/>
      </patternFill>
    </fill>
    <fill>
      <patternFill patternType="solid">
        <fgColor rgb="FF807F00"/>
        <bgColor rgb="FF807F00"/>
      </patternFill>
    </fill>
    <fill>
      <patternFill patternType="solid">
        <fgColor rgb="FF00E31C"/>
        <bgColor rgb="FF00E31C"/>
      </patternFill>
    </fill>
    <fill>
      <patternFill patternType="solid">
        <fgColor rgb="FF007689"/>
        <bgColor rgb="FF007689"/>
      </patternFill>
    </fill>
    <fill>
      <patternFill patternType="solid">
        <fgColor rgb="FF0041BE"/>
        <bgColor rgb="FF0041BE"/>
      </patternFill>
    </fill>
    <fill>
      <patternFill patternType="solid">
        <fgColor rgb="FF0019E6"/>
        <bgColor rgb="FF0019E6"/>
      </patternFill>
    </fill>
    <fill>
      <patternFill patternType="solid">
        <fgColor rgb="FFFF0000"/>
        <bgColor rgb="FFFF0000"/>
      </patternFill>
    </fill>
    <fill>
      <patternFill patternType="solid">
        <fgColor rgb="FF1AE500"/>
        <bgColor rgb="FF1AE500"/>
      </patternFill>
    </fill>
    <fill>
      <patternFill patternType="solid">
        <fgColor rgb="FF00946B"/>
        <bgColor rgb="FF00946B"/>
      </patternFill>
    </fill>
    <fill>
      <patternFill patternType="solid">
        <fgColor rgb="FF0053AC"/>
        <bgColor rgb="FF0053AC"/>
      </patternFill>
    </fill>
    <fill>
      <patternFill patternType="solid">
        <fgColor rgb="FF0024DB"/>
        <bgColor rgb="FF0024D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F"/>
        <bgColor rgb="FFF2F2FF"/>
      </patternFill>
    </fill>
    <fill>
      <patternFill patternType="solid">
        <fgColor rgb="FFDEE4E6"/>
        <bgColor rgb="FFDEE4E6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29">
    <border/>
    <border>
      <bottom style="medium">
        <color rgb="FFFFFFFF"/>
      </bottom>
    </border>
    <border>
      <top style="thin">
        <color rgb="FF000000"/>
      </top>
    </border>
    <border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2060"/>
      </bottom>
    </border>
    <border>
      <bottom style="hair">
        <color rgb="FF000000"/>
      </bottom>
    </border>
    <border>
      <bottom style="thin">
        <color rgb="FF1E4E79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1" fillId="0" fontId="6" numFmtId="0" xfId="0" applyBorder="1" applyFont="1"/>
    <xf borderId="0" fillId="2" fontId="4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2" fontId="5" numFmtId="0" xfId="0" applyAlignment="1" applyFont="1">
      <alignment horizontal="left" shrinkToFit="0" vertical="center" wrapText="0"/>
    </xf>
    <xf borderId="0" fillId="2" fontId="7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164" xfId="0" applyAlignment="1" applyFont="1" applyNumberFormat="1">
      <alignment horizontal="right" shrinkToFit="0" vertical="bottom" wrapText="0"/>
    </xf>
    <xf borderId="2" fillId="0" fontId="7" numFmtId="0" xfId="0" applyAlignment="1" applyBorder="1" applyFont="1">
      <alignment horizontal="left" shrinkToFit="0" vertical="center" wrapText="0"/>
    </xf>
    <xf borderId="2" fillId="0" fontId="7" numFmtId="164" xfId="0" applyAlignment="1" applyBorder="1" applyFont="1" applyNumberFormat="1">
      <alignment horizontal="right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2" fontId="5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5" xfId="0" applyAlignment="1" applyFont="1" applyNumberFormat="1">
      <alignment horizontal="right" shrinkToFit="0" vertical="bottom" wrapText="0"/>
    </xf>
    <xf borderId="4" fillId="0" fontId="7" numFmtId="0" xfId="0" applyAlignment="1" applyBorder="1" applyFont="1">
      <alignment horizontal="left" shrinkToFit="0" vertical="center" wrapText="0"/>
    </xf>
    <xf borderId="4" fillId="0" fontId="7" numFmtId="164" xfId="0" applyAlignment="1" applyBorder="1" applyFont="1" applyNumberFormat="1">
      <alignment horizontal="right" shrinkToFit="0" vertical="bottom" wrapText="0"/>
    </xf>
    <xf borderId="0" fillId="2" fontId="7" numFmtId="0" xfId="0" applyAlignment="1" applyFont="1">
      <alignment horizontal="left" readingOrder="0" shrinkToFit="0" vertical="center" wrapText="0"/>
    </xf>
    <xf borderId="2" fillId="0" fontId="7" numFmtId="0" xfId="0" applyAlignment="1" applyBorder="1" applyFont="1">
      <alignment horizontal="left" readingOrder="0" shrinkToFit="0" vertical="center" wrapText="0"/>
    </xf>
    <xf borderId="0" fillId="0" fontId="9" numFmtId="166" xfId="0" applyAlignment="1" applyFont="1" applyNumberFormat="1">
      <alignment horizontal="right" shrinkToFit="0" vertical="bottom" wrapText="0"/>
    </xf>
    <xf borderId="2" fillId="0" fontId="9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shrinkToFit="0" vertical="bottom" wrapText="0"/>
    </xf>
    <xf borderId="2" fillId="0" fontId="9" numFmtId="167" xfId="0" applyAlignment="1" applyBorder="1" applyFont="1" applyNumberFormat="1">
      <alignment horizontal="right" shrinkToFit="0" vertical="bottom" wrapText="0"/>
    </xf>
    <xf borderId="0" fillId="0" fontId="9" numFmtId="10" xfId="0" applyAlignment="1" applyFont="1" applyNumberFormat="1">
      <alignment horizontal="right" readingOrder="0" shrinkToFit="0" vertical="bottom" wrapText="0"/>
    </xf>
    <xf borderId="0" fillId="0" fontId="10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7" numFmtId="164" xfId="0" applyAlignment="1" applyFont="1" applyNumberFormat="1">
      <alignment horizontal="right" shrinkToFit="0" vertical="bottom" wrapText="0"/>
    </xf>
    <xf borderId="2" fillId="0" fontId="11" numFmtId="164" xfId="0" applyAlignment="1" applyBorder="1" applyFont="1" applyNumberFormat="1">
      <alignment horizontal="right" shrinkToFit="0" vertical="bottom" wrapText="0"/>
    </xf>
    <xf borderId="0" fillId="0" fontId="9" numFmtId="164" xfId="0" applyAlignment="1" applyFont="1" applyNumberFormat="1">
      <alignment horizontal="left" readingOrder="0" shrinkToFit="0" vertical="bottom" wrapText="0"/>
    </xf>
    <xf borderId="2" fillId="0" fontId="7" numFmtId="168" xfId="0" applyAlignment="1" applyBorder="1" applyFont="1" applyNumberFormat="1">
      <alignment horizontal="right" shrinkToFit="0" vertical="bottom" wrapText="0"/>
    </xf>
    <xf borderId="0" fillId="0" fontId="9" numFmtId="168" xfId="0" applyAlignment="1" applyFont="1" applyNumberFormat="1">
      <alignment horizontal="right" shrinkToFit="0" vertical="bottom" wrapText="0"/>
    </xf>
    <xf borderId="0" fillId="2" fontId="12" numFmtId="0" xfId="0" applyAlignment="1" applyFont="1">
      <alignment horizontal="center" shrinkToFit="0" vertical="center" wrapText="1"/>
    </xf>
    <xf borderId="5" fillId="2" fontId="13" numFmtId="0" xfId="0" applyAlignment="1" applyBorder="1" applyFont="1">
      <alignment horizontal="center" vertical="bottom"/>
    </xf>
    <xf borderId="6" fillId="0" fontId="6" numFmtId="0" xfId="0" applyBorder="1" applyFont="1"/>
    <xf borderId="7" fillId="0" fontId="14" numFmtId="10" xfId="0" applyAlignment="1" applyBorder="1" applyFont="1" applyNumberFormat="1">
      <alignment readingOrder="0" vertical="bottom"/>
    </xf>
    <xf borderId="8" fillId="0" fontId="14" numFmtId="10" xfId="0" applyAlignment="1" applyBorder="1" applyFont="1" applyNumberFormat="1">
      <alignment readingOrder="0" vertical="bottom"/>
    </xf>
    <xf borderId="9" fillId="2" fontId="13" numFmtId="0" xfId="0" applyAlignment="1" applyBorder="1" applyFont="1">
      <alignment horizontal="center" shrinkToFit="0" textRotation="0" vertical="center" wrapText="1"/>
    </xf>
    <xf borderId="10" fillId="0" fontId="14" numFmtId="10" xfId="0" applyAlignment="1" applyBorder="1" applyFont="1" applyNumberFormat="1">
      <alignment horizontal="center" readingOrder="0" vertical="bottom"/>
    </xf>
    <xf borderId="11" fillId="3" fontId="14" numFmtId="166" xfId="0" applyAlignment="1" applyBorder="1" applyFill="1" applyFont="1" applyNumberFormat="1">
      <alignment horizontal="center" readingOrder="0" vertical="bottom"/>
    </xf>
    <xf borderId="2" fillId="4" fontId="14" numFmtId="166" xfId="0" applyAlignment="1" applyBorder="1" applyFill="1" applyFont="1" applyNumberFormat="1">
      <alignment horizontal="center" readingOrder="0" vertical="bottom"/>
    </xf>
    <xf borderId="2" fillId="5" fontId="14" numFmtId="166" xfId="0" applyAlignment="1" applyBorder="1" applyFill="1" applyFont="1" applyNumberFormat="1">
      <alignment horizontal="center" readingOrder="0" vertical="bottom"/>
    </xf>
    <xf borderId="2" fillId="6" fontId="14" numFmtId="166" xfId="0" applyAlignment="1" applyBorder="1" applyFill="1" applyFont="1" applyNumberFormat="1">
      <alignment horizontal="center" readingOrder="0" vertical="bottom"/>
    </xf>
    <xf borderId="12" fillId="7" fontId="14" numFmtId="166" xfId="0" applyAlignment="1" applyBorder="1" applyFill="1" applyFont="1" applyNumberFormat="1">
      <alignment horizontal="center" readingOrder="0" vertical="bottom"/>
    </xf>
    <xf borderId="7" fillId="0" fontId="6" numFmtId="0" xfId="0" applyBorder="1" applyFont="1"/>
    <xf borderId="13" fillId="8" fontId="14" numFmtId="166" xfId="0" applyAlignment="1" applyBorder="1" applyFill="1" applyFont="1" applyNumberFormat="1">
      <alignment horizontal="center" readingOrder="0" vertical="bottom"/>
    </xf>
    <xf borderId="0" fillId="9" fontId="14" numFmtId="166" xfId="0" applyAlignment="1" applyFill="1" applyFont="1" applyNumberFormat="1">
      <alignment horizontal="center" readingOrder="0" vertical="bottom"/>
    </xf>
    <xf borderId="0" fillId="10" fontId="14" numFmtId="166" xfId="0" applyAlignment="1" applyFill="1" applyFont="1" applyNumberFormat="1">
      <alignment horizontal="center" readingOrder="0" vertical="bottom"/>
    </xf>
    <xf borderId="0" fillId="11" fontId="14" numFmtId="166" xfId="0" applyAlignment="1" applyFill="1" applyFont="1" applyNumberFormat="1">
      <alignment horizontal="center" readingOrder="0" vertical="bottom"/>
    </xf>
    <xf borderId="8" fillId="12" fontId="14" numFmtId="166" xfId="0" applyAlignment="1" applyBorder="1" applyFill="1" applyFont="1" applyNumberFormat="1">
      <alignment horizontal="center" readingOrder="0" vertical="bottom"/>
    </xf>
    <xf borderId="13" fillId="13" fontId="14" numFmtId="166" xfId="0" applyAlignment="1" applyBorder="1" applyFill="1" applyFont="1" applyNumberFormat="1">
      <alignment horizontal="center" readingOrder="0" vertical="bottom"/>
    </xf>
    <xf borderId="0" fillId="14" fontId="15" numFmtId="166" xfId="0" applyAlignment="1" applyFill="1" applyFont="1" applyNumberFormat="1">
      <alignment horizontal="center" readingOrder="0" vertical="bottom"/>
    </xf>
    <xf borderId="0" fillId="15" fontId="14" numFmtId="166" xfId="0" applyAlignment="1" applyFill="1" applyFont="1" applyNumberFormat="1">
      <alignment horizontal="center" readingOrder="0" vertical="bottom"/>
    </xf>
    <xf borderId="0" fillId="16" fontId="14" numFmtId="166" xfId="0" applyAlignment="1" applyFill="1" applyFont="1" applyNumberFormat="1">
      <alignment horizontal="center" readingOrder="0" vertical="bottom"/>
    </xf>
    <xf borderId="8" fillId="17" fontId="14" numFmtId="166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horizontal="left" shrinkToFit="0" vertical="bottom" wrapText="1"/>
    </xf>
    <xf borderId="13" fillId="18" fontId="14" numFmtId="166" xfId="0" applyAlignment="1" applyBorder="1" applyFill="1" applyFont="1" applyNumberFormat="1">
      <alignment horizontal="center" readingOrder="0" vertical="bottom"/>
    </xf>
    <xf borderId="0" fillId="19" fontId="14" numFmtId="166" xfId="0" applyAlignment="1" applyFill="1" applyFont="1" applyNumberFormat="1">
      <alignment horizontal="center" readingOrder="0" vertical="bottom"/>
    </xf>
    <xf borderId="0" fillId="20" fontId="14" numFmtId="166" xfId="0" applyAlignment="1" applyFill="1" applyFont="1" applyNumberFormat="1">
      <alignment horizontal="center" readingOrder="0" vertical="bottom"/>
    </xf>
    <xf borderId="0" fillId="21" fontId="14" numFmtId="166" xfId="0" applyAlignment="1" applyFill="1" applyFont="1" applyNumberFormat="1">
      <alignment horizontal="center" readingOrder="0" vertical="bottom"/>
    </xf>
    <xf borderId="8" fillId="22" fontId="14" numFmtId="166" xfId="0" applyAlignment="1" applyBorder="1" applyFill="1" applyFont="1" applyNumberFormat="1">
      <alignment horizontal="center" readingOrder="0" vertical="bottom"/>
    </xf>
    <xf borderId="14" fillId="0" fontId="6" numFmtId="0" xfId="0" applyBorder="1" applyFont="1"/>
    <xf borderId="15" fillId="23" fontId="14" numFmtId="166" xfId="0" applyAlignment="1" applyBorder="1" applyFill="1" applyFont="1" applyNumberFormat="1">
      <alignment horizontal="center" readingOrder="0" vertical="bottom"/>
    </xf>
    <xf borderId="16" fillId="24" fontId="14" numFmtId="166" xfId="0" applyAlignment="1" applyBorder="1" applyFill="1" applyFont="1" applyNumberFormat="1">
      <alignment horizontal="center" readingOrder="0" vertical="bottom"/>
    </xf>
    <xf borderId="16" fillId="25" fontId="14" numFmtId="166" xfId="0" applyAlignment="1" applyBorder="1" applyFill="1" applyFont="1" applyNumberFormat="1">
      <alignment horizontal="center" readingOrder="0" vertical="bottom"/>
    </xf>
    <xf borderId="16" fillId="26" fontId="14" numFmtId="166" xfId="0" applyAlignment="1" applyBorder="1" applyFill="1" applyFont="1" applyNumberFormat="1">
      <alignment horizontal="center" readingOrder="0" vertical="bottom"/>
    </xf>
    <xf borderId="17" fillId="27" fontId="14" numFmtId="166" xfId="0" applyAlignment="1" applyBorder="1" applyFill="1" applyFont="1" applyNumberFormat="1">
      <alignment horizontal="center" readingOrder="0" vertical="bottom"/>
    </xf>
    <xf borderId="18" fillId="28" fontId="16" numFmtId="165" xfId="0" applyAlignment="1" applyBorder="1" applyFill="1" applyFont="1" applyNumberFormat="1">
      <alignment horizontal="center" readingOrder="0" shrinkToFit="0" vertical="center" wrapText="1"/>
    </xf>
    <xf borderId="3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0" fillId="0" fontId="9" numFmtId="169" xfId="0" applyAlignment="1" applyFont="1" applyNumberFormat="1">
      <alignment horizontal="right" shrinkToFit="0" vertical="bottom" wrapText="0"/>
    </xf>
    <xf borderId="0" fillId="0" fontId="10" numFmtId="0" xfId="0" applyAlignment="1" applyFont="1">
      <alignment horizontal="left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3" numFmtId="4" xfId="0" applyAlignment="1" applyFont="1" applyNumberFormat="1">
      <alignment horizontal="center" vertical="bottom"/>
    </xf>
    <xf borderId="0" fillId="0" fontId="13" numFmtId="4" xfId="0" applyAlignment="1" applyFont="1" applyNumberFormat="1">
      <alignment horizontal="center" readingOrder="0" vertical="bottom"/>
    </xf>
    <xf borderId="0" fillId="0" fontId="17" numFmtId="0" xfId="0" applyAlignment="1" applyFont="1">
      <alignment shrinkToFit="0" vertical="bottom" wrapText="0"/>
    </xf>
    <xf borderId="11" fillId="2" fontId="2" numFmtId="0" xfId="0" applyAlignment="1" applyBorder="1" applyFont="1">
      <alignment horizontal="center" readingOrder="0" shrinkToFit="0" vertical="center" wrapText="0"/>
    </xf>
    <xf borderId="2" fillId="0" fontId="6" numFmtId="0" xfId="0" applyBorder="1" applyFont="1"/>
    <xf borderId="12" fillId="0" fontId="6" numFmtId="0" xfId="0" applyBorder="1" applyFont="1"/>
    <xf borderId="0" fillId="0" fontId="18" numFmtId="164" xfId="0" applyAlignment="1" applyFont="1" applyNumberFormat="1">
      <alignment horizontal="right" shrinkToFit="0" vertical="bottom" wrapText="0"/>
    </xf>
    <xf borderId="3" fillId="0" fontId="9" numFmtId="0" xfId="0" applyAlignment="1" applyBorder="1" applyFont="1">
      <alignment horizontal="left" shrinkToFit="0" vertical="center" wrapText="0"/>
    </xf>
    <xf borderId="3" fillId="0" fontId="17" numFmtId="0" xfId="0" applyAlignment="1" applyBorder="1" applyFont="1">
      <alignment shrinkToFit="0" vertical="bottom" wrapText="0"/>
    </xf>
    <xf borderId="0" fillId="0" fontId="19" numFmtId="0" xfId="0" applyAlignment="1" applyFont="1">
      <alignment horizontal="center"/>
    </xf>
    <xf borderId="0" fillId="0" fontId="14" numFmtId="0" xfId="0" applyFont="1"/>
    <xf borderId="0" fillId="0" fontId="20" numFmtId="164" xfId="0" applyAlignment="1" applyFont="1" applyNumberFormat="1">
      <alignment horizontal="right" vertical="bottom"/>
    </xf>
    <xf borderId="2" fillId="0" fontId="21" numFmtId="0" xfId="0" applyBorder="1" applyFont="1"/>
    <xf borderId="2" fillId="0" fontId="21" numFmtId="164" xfId="0" applyAlignment="1" applyBorder="1" applyFont="1" applyNumberFormat="1">
      <alignment horizontal="right" vertical="bottom"/>
    </xf>
    <xf borderId="11" fillId="2" fontId="5" numFmtId="0" xfId="0" applyAlignment="1" applyBorder="1" applyFont="1">
      <alignment horizontal="left" readingOrder="0" shrinkToFit="0" vertical="center" wrapText="0"/>
    </xf>
    <xf borderId="2" fillId="2" fontId="5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left" shrinkToFit="0" vertical="bottom" wrapText="1"/>
    </xf>
    <xf borderId="17" fillId="0" fontId="8" numFmtId="0" xfId="0" applyAlignment="1" applyBorder="1" applyFont="1">
      <alignment horizontal="center" shrinkToFit="0" vertical="center" wrapText="0"/>
    </xf>
    <xf borderId="16" fillId="0" fontId="8" numFmtId="0" xfId="0" applyAlignment="1" applyBorder="1" applyFont="1">
      <alignment horizontal="center" readingOrder="0" shrinkToFit="0" vertical="center" wrapText="0"/>
    </xf>
    <xf borderId="16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shrinkToFit="0" vertical="center" wrapText="0"/>
    </xf>
    <xf borderId="8" fillId="0" fontId="9" numFmtId="0" xfId="0" applyAlignment="1" applyBorder="1" applyFont="1">
      <alignment horizontal="left" shrinkToFit="0" vertical="center" wrapText="0"/>
    </xf>
    <xf borderId="0" fillId="0" fontId="18" numFmtId="10" xfId="0" applyAlignment="1" applyFont="1" applyNumberFormat="1">
      <alignment horizontal="right" shrinkToFit="0" vertical="bottom" wrapText="0"/>
    </xf>
    <xf borderId="0" fillId="28" fontId="23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8" fillId="0" fontId="7" numFmtId="0" xfId="0" applyAlignment="1" applyBorder="1" applyFont="1">
      <alignment horizontal="left" shrinkToFit="0" vertical="center" wrapText="0"/>
    </xf>
    <xf borderId="11" fillId="2" fontId="5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0" fillId="29" fontId="8" numFmtId="0" xfId="0" applyAlignment="1" applyFill="1" applyFont="1">
      <alignment horizontal="center" shrinkToFit="0" vertical="center" wrapText="0"/>
    </xf>
    <xf borderId="0" fillId="29" fontId="8" numFmtId="0" xfId="0" applyAlignment="1" applyFont="1">
      <alignment horizontal="center" readingOrder="0" shrinkToFit="0" vertical="center" wrapText="1"/>
    </xf>
    <xf borderId="16" fillId="0" fontId="24" numFmtId="0" xfId="0" applyAlignment="1" applyBorder="1" applyFont="1">
      <alignment horizontal="center" readingOrder="0"/>
    </xf>
    <xf borderId="0" fillId="0" fontId="25" numFmtId="10" xfId="0" applyAlignment="1" applyFont="1" applyNumberFormat="1">
      <alignment readingOrder="0"/>
    </xf>
    <xf borderId="0" fillId="0" fontId="26" numFmtId="4" xfId="0" applyFont="1" applyNumberFormat="1"/>
    <xf borderId="0" fillId="29" fontId="22" numFmtId="0" xfId="0" applyAlignment="1" applyFont="1">
      <alignment horizontal="center" readingOrder="0" shrinkToFit="0" vertical="bottom" wrapText="1"/>
    </xf>
    <xf borderId="16" fillId="0" fontId="9" numFmtId="0" xfId="0" applyAlignment="1" applyBorder="1" applyFont="1">
      <alignment horizontal="left" shrinkToFit="0" vertical="center" wrapText="0"/>
    </xf>
    <xf borderId="2" fillId="29" fontId="22" numFmtId="0" xfId="0" applyAlignment="1" applyBorder="1" applyFont="1">
      <alignment horizontal="left" shrinkToFit="0" vertical="bottom" wrapText="1"/>
    </xf>
    <xf borderId="0" fillId="29" fontId="22" numFmtId="0" xfId="0" applyAlignment="1" applyFont="1">
      <alignment horizontal="center" shrinkToFit="0" vertical="bottom" wrapText="1"/>
    </xf>
    <xf borderId="0" fillId="29" fontId="18" numFmtId="164" xfId="0" applyAlignment="1" applyFont="1" applyNumberFormat="1">
      <alignment horizontal="right" readingOrder="0" shrinkToFit="0" vertical="bottom" wrapText="0"/>
    </xf>
    <xf borderId="0" fillId="0" fontId="25" numFmtId="0" xfId="0" applyAlignment="1" applyFont="1">
      <alignment readingOrder="0"/>
    </xf>
    <xf borderId="2" fillId="0" fontId="26" numFmtId="164" xfId="0" applyBorder="1" applyFont="1" applyNumberFormat="1"/>
    <xf borderId="2" fillId="29" fontId="7" numFmtId="164" xfId="0" applyAlignment="1" applyBorder="1" applyFont="1" applyNumberFormat="1">
      <alignment horizontal="right" shrinkToFit="0" vertical="bottom" wrapText="0"/>
    </xf>
    <xf borderId="0" fillId="29" fontId="22" numFmtId="0" xfId="0" applyAlignment="1" applyFont="1">
      <alignment horizontal="left" shrinkToFit="0" vertical="bottom" wrapText="1"/>
    </xf>
    <xf borderId="0" fillId="2" fontId="4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9" fontId="22" numFmtId="0" xfId="0" applyAlignment="1" applyFont="1">
      <alignment horizontal="left" readingOrder="0" shrinkToFit="0" vertical="bottom" wrapText="1"/>
    </xf>
    <xf borderId="0" fillId="0" fontId="17" numFmtId="4" xfId="0" applyAlignment="1" applyFont="1" applyNumberFormat="1">
      <alignment shrinkToFit="0" vertical="bottom" wrapText="0"/>
    </xf>
    <xf borderId="0" fillId="0" fontId="18" numFmtId="164" xfId="0" applyAlignment="1" applyFont="1" applyNumberFormat="1">
      <alignment horizontal="right" readingOrder="0" shrinkToFit="0" vertical="bottom" wrapText="0"/>
    </xf>
    <xf borderId="2" fillId="0" fontId="17" numFmtId="0" xfId="0" applyAlignment="1" applyBorder="1" applyFont="1">
      <alignment shrinkToFit="0" vertical="bottom" wrapText="0"/>
    </xf>
    <xf borderId="0" fillId="0" fontId="2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4" fillId="0" fontId="17" numFmtId="0" xfId="0" applyAlignment="1" applyBorder="1" applyFont="1">
      <alignment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7" numFmtId="168" xfId="0" applyAlignment="1" applyFont="1" applyNumberFormat="1">
      <alignment horizontal="right" shrinkToFit="0" vertical="bottom" wrapText="0"/>
    </xf>
    <xf borderId="0" fillId="0" fontId="7" numFmtId="165" xfId="0" applyAlignment="1" applyFont="1" applyNumberFormat="1">
      <alignment horizontal="right" shrinkToFit="0" vertical="bottom" wrapText="0"/>
    </xf>
    <xf borderId="4" fillId="0" fontId="29" numFmtId="0" xfId="0" applyAlignment="1" applyBorder="1" applyFont="1">
      <alignment shrinkToFit="0" vertical="bottom" wrapText="0"/>
    </xf>
    <xf borderId="5" fillId="2" fontId="5" numFmtId="0" xfId="0" applyAlignment="1" applyBorder="1" applyFont="1">
      <alignment horizontal="left" readingOrder="0" shrinkToFit="0" vertical="center" wrapText="0"/>
    </xf>
    <xf borderId="6" fillId="2" fontId="5" numFmtId="0" xfId="0" applyAlignment="1" applyBorder="1" applyFont="1">
      <alignment horizontal="left" readingOrder="0" shrinkToFit="0" vertical="center" wrapText="0"/>
    </xf>
    <xf borderId="25" fillId="0" fontId="5" numFmtId="0" xfId="0" applyAlignment="1" applyBorder="1" applyFont="1">
      <alignment horizontal="left" readingOrder="0" shrinkToFit="0" vertical="center" wrapText="0"/>
    </xf>
    <xf borderId="0" fillId="0" fontId="26" numFmtId="0" xfId="0" applyAlignment="1" applyFont="1">
      <alignment readingOrder="0" shrinkToFit="0" wrapText="1"/>
    </xf>
    <xf borderId="0" fillId="0" fontId="30" numFmtId="0" xfId="0" applyAlignment="1" applyFont="1">
      <alignment horizontal="left" shrinkToFit="0" vertical="bottom" wrapText="1"/>
    </xf>
    <xf borderId="0" fillId="0" fontId="26" numFmtId="0" xfId="0" applyAlignment="1" applyFont="1">
      <alignment readingOrder="0" shrinkToFit="0" vertical="bottom" wrapText="1"/>
    </xf>
    <xf borderId="0" fillId="0" fontId="24" numFmtId="0" xfId="0" applyFont="1"/>
    <xf borderId="0" fillId="0" fontId="19" numFmtId="0" xfId="0" applyAlignment="1" applyFont="1">
      <alignment horizontal="left" shrinkToFit="0" vertical="bottom" wrapText="1"/>
    </xf>
    <xf borderId="0" fillId="0" fontId="14" numFmtId="0" xfId="0" applyAlignment="1" applyFont="1">
      <alignment vertical="bottom"/>
    </xf>
    <xf borderId="0" fillId="2" fontId="31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0" fontId="14" numFmtId="0" xfId="0" applyAlignment="1" applyFont="1">
      <alignment vertical="top"/>
    </xf>
    <xf borderId="26" fillId="0" fontId="17" numFmtId="0" xfId="0" applyAlignment="1" applyBorder="1" applyFont="1">
      <alignment vertical="top"/>
    </xf>
    <xf borderId="26" fillId="0" fontId="17" numFmtId="0" xfId="0" applyAlignment="1" applyBorder="1" applyFont="1">
      <alignment horizontal="right" readingOrder="0" vertical="top"/>
    </xf>
    <xf borderId="26" fillId="0" fontId="17" numFmtId="0" xfId="0" applyAlignment="1" applyBorder="1" applyFont="1">
      <alignment horizontal="right" vertical="top"/>
    </xf>
    <xf borderId="0" fillId="0" fontId="14" numFmtId="0" xfId="0" applyAlignment="1" applyFont="1">
      <alignment horizontal="center" vertical="top"/>
    </xf>
    <xf borderId="0" fillId="0" fontId="18" numFmtId="0" xfId="0" applyAlignment="1" applyFont="1">
      <alignment horizontal="left" readingOrder="0" shrinkToFit="0" vertical="center" wrapText="0"/>
    </xf>
    <xf borderId="0" fillId="30" fontId="18" numFmtId="49" xfId="0" applyAlignment="1" applyFill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center" vertical="bottom"/>
    </xf>
    <xf borderId="0" fillId="0" fontId="17" numFmtId="4" xfId="0" applyAlignment="1" applyFont="1" applyNumberFormat="1">
      <alignment horizontal="right" vertical="bottom"/>
    </xf>
    <xf borderId="0" fillId="0" fontId="32" numFmtId="0" xfId="0" applyAlignment="1" applyFont="1">
      <alignment horizontal="right" readingOrder="0" vertical="bottom"/>
    </xf>
    <xf borderId="0" fillId="0" fontId="18" numFmtId="0" xfId="0" applyAlignment="1" applyFont="1">
      <alignment horizontal="left" shrinkToFit="0" vertical="center" wrapText="0"/>
    </xf>
    <xf borderId="0" fillId="0" fontId="17" numFmtId="4" xfId="0" applyAlignment="1" applyFont="1" applyNumberFormat="1">
      <alignment horizontal="right" readingOrder="0" vertical="bottom"/>
    </xf>
    <xf borderId="0" fillId="30" fontId="18" numFmtId="49" xfId="0" applyAlignment="1" applyFont="1" applyNumberFormat="1">
      <alignment horizontal="right" shrinkToFit="0" vertical="bottom" wrapText="0"/>
    </xf>
    <xf borderId="0" fillId="31" fontId="14" numFmtId="0" xfId="0" applyAlignment="1" applyFill="1" applyFont="1">
      <alignment vertical="bottom"/>
    </xf>
    <xf borderId="0" fillId="31" fontId="14" numFmtId="4" xfId="0" applyAlignment="1" applyFont="1" applyNumberFormat="1">
      <alignment horizontal="right" vertical="bottom"/>
    </xf>
    <xf borderId="0" fillId="2" fontId="33" numFmtId="0" xfId="0" applyAlignment="1" applyFont="1">
      <alignment readingOrder="0" vertical="bottom"/>
    </xf>
    <xf borderId="0" fillId="2" fontId="34" numFmtId="0" xfId="0" applyAlignment="1" applyFont="1">
      <alignment horizontal="center" vertical="top"/>
    </xf>
    <xf borderId="0" fillId="0" fontId="14" numFmtId="4" xfId="0" applyAlignment="1" applyFont="1" applyNumberFormat="1">
      <alignment horizontal="right" vertical="bottom"/>
    </xf>
    <xf borderId="0" fillId="0" fontId="15" numFmtId="0" xfId="0" applyAlignment="1" applyFont="1">
      <alignment shrinkToFit="0" vertical="bottom" wrapText="0"/>
    </xf>
    <xf borderId="5" fillId="2" fontId="2" numFmtId="0" xfId="0" applyAlignment="1" applyBorder="1" applyFont="1">
      <alignment horizontal="center" readingOrder="0" shrinkToFit="0" vertical="center" wrapText="0"/>
    </xf>
    <xf borderId="25" fillId="0" fontId="2" numFmtId="0" xfId="0" applyAlignment="1" applyBorder="1" applyFont="1">
      <alignment horizontal="center" readingOrder="0" shrinkToFit="0" vertical="center" wrapText="0"/>
    </xf>
    <xf borderId="0" fillId="0" fontId="14" numFmtId="0" xfId="0" applyFont="1"/>
    <xf borderId="0" fillId="0" fontId="5" numFmtId="0" xfId="0" applyAlignment="1" applyFont="1">
      <alignment horizontal="left" readingOrder="0" shrinkToFit="0" vertical="center" wrapText="0"/>
    </xf>
    <xf borderId="0" fillId="0" fontId="35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  <xf borderId="0" fillId="0" fontId="21" numFmtId="0" xfId="0" applyFont="1"/>
    <xf borderId="17" fillId="0" fontId="29" numFmtId="0" xfId="0" applyAlignment="1" applyBorder="1" applyFont="1">
      <alignment readingOrder="0"/>
    </xf>
    <xf borderId="16" fillId="0" fontId="29" numFmtId="0" xfId="0" applyAlignment="1" applyBorder="1" applyFont="1">
      <alignment readingOrder="0"/>
    </xf>
    <xf borderId="16" fillId="0" fontId="29" numFmtId="0" xfId="0" applyAlignment="1" applyBorder="1" applyFont="1">
      <alignment horizontal="center" readingOrder="0"/>
    </xf>
    <xf borderId="0" fillId="0" fontId="7" numFmtId="0" xfId="0" applyAlignment="1" applyFont="1">
      <alignment horizontal="center" shrinkToFit="0" vertical="center" wrapText="0"/>
    </xf>
    <xf borderId="8" fillId="0" fontId="21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14" numFmtId="170" xfId="0" applyAlignment="1" applyFont="1" applyNumberFormat="1">
      <alignment horizontal="center" readingOrder="0"/>
    </xf>
    <xf borderId="0" fillId="0" fontId="14" numFmtId="164" xfId="0" applyAlignment="1" applyFont="1" applyNumberFormat="1">
      <alignment readingOrder="0"/>
    </xf>
    <xf borderId="0" fillId="0" fontId="14" numFmtId="169" xfId="0" applyAlignment="1" applyFont="1" applyNumberFormat="1">
      <alignment horizontal="right"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right" readingOrder="0"/>
    </xf>
    <xf borderId="0" fillId="0" fontId="18" numFmtId="169" xfId="0" applyAlignment="1" applyFont="1" applyNumberFormat="1">
      <alignment horizontal="right" shrinkToFit="0" vertical="bottom" wrapText="0"/>
    </xf>
    <xf borderId="17" fillId="0" fontId="9" numFmtId="0" xfId="0" applyAlignment="1" applyBorder="1" applyFont="1">
      <alignment horizontal="left" shrinkToFit="0" vertical="center" wrapText="0"/>
    </xf>
    <xf borderId="0" fillId="0" fontId="18" numFmtId="169" xfId="0" applyAlignment="1" applyFont="1" applyNumberFormat="1">
      <alignment horizontal="center" shrinkToFit="0" vertical="bottom" wrapText="0"/>
    </xf>
    <xf borderId="8" fillId="0" fontId="7" numFmtId="0" xfId="0" applyAlignment="1" applyBorder="1" applyFont="1">
      <alignment horizontal="left" readingOrder="0" shrinkToFit="0" vertical="center" wrapText="0"/>
    </xf>
    <xf borderId="0" fillId="0" fontId="22" numFmtId="49" xfId="0" applyAlignment="1" applyFont="1" applyNumberFormat="1">
      <alignment horizontal="left" shrinkToFit="0" vertical="bottom" wrapText="1"/>
    </xf>
    <xf borderId="0" fillId="0" fontId="7" numFmtId="169" xfId="0" applyAlignment="1" applyFont="1" applyNumberFormat="1">
      <alignment horizontal="right" shrinkToFit="0" vertical="bottom" wrapText="0"/>
    </xf>
    <xf borderId="0" fillId="0" fontId="22" numFmtId="0" xfId="0" applyAlignment="1" applyFont="1">
      <alignment horizontal="left" readingOrder="0" shrinkToFit="0" vertical="bottom" wrapText="1"/>
    </xf>
    <xf borderId="0" fillId="0" fontId="36" numFmtId="0" xfId="0" applyAlignment="1" applyFont="1">
      <alignment horizontal="left" shrinkToFit="0" vertical="center" wrapText="0"/>
    </xf>
    <xf borderId="0" fillId="0" fontId="7" numFmtId="10" xfId="0" applyAlignment="1" applyFont="1" applyNumberFormat="1">
      <alignment horizontal="right" shrinkToFit="0" vertical="center" wrapText="0"/>
    </xf>
    <xf borderId="0" fillId="0" fontId="36" numFmtId="0" xfId="0" applyAlignment="1" applyFont="1">
      <alignment horizontal="left" shrinkToFit="0" vertical="bottom" wrapText="0"/>
    </xf>
    <xf borderId="0" fillId="0" fontId="37" numFmtId="0" xfId="0" applyAlignment="1" applyFont="1">
      <alignment readingOrder="0" vertical="bottom"/>
    </xf>
    <xf borderId="26" fillId="0" fontId="38" numFmtId="0" xfId="0" applyAlignment="1" applyBorder="1" applyFont="1">
      <alignment vertical="bottom"/>
    </xf>
    <xf borderId="26" fillId="0" fontId="14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16" fillId="0" fontId="17" numFmtId="0" xfId="0" applyAlignment="1" applyBorder="1" applyFont="1">
      <alignment horizontal="right" readingOrder="0" vertical="top"/>
    </xf>
    <xf borderId="0" fillId="0" fontId="32" numFmtId="10" xfId="0" applyAlignment="1" applyFont="1" applyNumberFormat="1">
      <alignment horizontal="right" readingOrder="0" vertical="top"/>
    </xf>
    <xf borderId="0" fillId="32" fontId="17" numFmtId="10" xfId="0" applyAlignment="1" applyFill="1" applyFont="1" applyNumberFormat="1">
      <alignment horizontal="right" vertical="bottom"/>
    </xf>
    <xf borderId="0" fillId="0" fontId="32" numFmtId="2" xfId="0" applyAlignment="1" applyFont="1" applyNumberFormat="1">
      <alignment horizontal="right" vertical="bottom"/>
    </xf>
    <xf borderId="0" fillId="32" fontId="17" numFmtId="2" xfId="0" applyAlignment="1" applyFont="1" applyNumberFormat="1">
      <alignment horizontal="right" vertical="bottom"/>
    </xf>
    <xf borderId="0" fillId="0" fontId="32" numFmtId="10" xfId="0" applyAlignment="1" applyFont="1" applyNumberFormat="1">
      <alignment horizontal="right" vertical="top"/>
    </xf>
    <xf borderId="16" fillId="0" fontId="14" numFmtId="0" xfId="0" applyAlignment="1" applyBorder="1" applyFont="1">
      <alignment vertical="bottom"/>
    </xf>
    <xf borderId="16" fillId="0" fontId="14" numFmtId="10" xfId="0" applyAlignment="1" applyBorder="1" applyFont="1" applyNumberFormat="1">
      <alignment vertical="bottom"/>
    </xf>
    <xf borderId="0" fillId="0" fontId="38" numFmtId="0" xfId="0" applyAlignment="1" applyFont="1">
      <alignment vertical="bottom"/>
    </xf>
    <xf borderId="0" fillId="0" fontId="17" numFmtId="10" xfId="0" applyAlignment="1" applyFont="1" applyNumberFormat="1">
      <alignment horizontal="right" vertical="bottom"/>
    </xf>
    <xf borderId="0" fillId="0" fontId="17" numFmtId="2" xfId="0" applyAlignment="1" applyFont="1" applyNumberFormat="1">
      <alignment horizontal="right" vertical="bottom"/>
    </xf>
    <xf borderId="16" fillId="0" fontId="38" numFmtId="0" xfId="0" applyAlignment="1" applyBorder="1" applyFont="1">
      <alignment vertical="bottom"/>
    </xf>
    <xf borderId="16" fillId="0" fontId="17" numFmtId="10" xfId="0" applyAlignment="1" applyBorder="1" applyFont="1" applyNumberFormat="1">
      <alignment horizontal="right" vertical="bottom"/>
    </xf>
    <xf borderId="16" fillId="0" fontId="17" numFmtId="2" xfId="0" applyAlignment="1" applyBorder="1" applyFont="1" applyNumberFormat="1">
      <alignment horizontal="right" vertical="bottom"/>
    </xf>
    <xf borderId="0" fillId="0" fontId="14" numFmtId="2" xfId="0" applyAlignment="1" applyFont="1" applyNumberFormat="1">
      <alignment vertical="bottom"/>
    </xf>
    <xf borderId="0" fillId="0" fontId="32" numFmtId="10" xfId="0" applyAlignment="1" applyFont="1" applyNumberFormat="1">
      <alignment horizontal="right" vertical="bottom"/>
    </xf>
    <xf borderId="0" fillId="0" fontId="17" numFmtId="0" xfId="0" applyAlignment="1" applyFont="1">
      <alignment readingOrder="0" vertical="bottom"/>
    </xf>
    <xf borderId="0" fillId="0" fontId="32" numFmtId="10" xfId="0" applyAlignment="1" applyFont="1" applyNumberFormat="1">
      <alignment horizontal="right" readingOrder="0" vertical="bottom"/>
    </xf>
    <xf borderId="27" fillId="0" fontId="17" numFmtId="0" xfId="0" applyAlignment="1" applyBorder="1" applyFont="1">
      <alignment vertical="bottom"/>
    </xf>
    <xf borderId="27" fillId="0" fontId="14" numFmtId="0" xfId="0" applyAlignment="1" applyBorder="1" applyFont="1">
      <alignment vertical="bottom"/>
    </xf>
    <xf borderId="27" fillId="0" fontId="17" numFmtId="10" xfId="0" applyAlignment="1" applyBorder="1" applyFont="1" applyNumberFormat="1">
      <alignment horizontal="right" vertical="bottom"/>
    </xf>
    <xf borderId="0" fillId="0" fontId="39" numFmtId="10" xfId="0" applyAlignment="1" applyFont="1" applyNumberFormat="1">
      <alignment horizontal="right" vertical="bottom"/>
    </xf>
    <xf borderId="16" fillId="0" fontId="38" numFmtId="0" xfId="0" applyAlignment="1" applyBorder="1" applyFont="1">
      <alignment horizontal="right" vertical="bottom"/>
    </xf>
    <xf borderId="0" fillId="0" fontId="17" numFmtId="2" xfId="0" applyAlignment="1" applyFont="1" applyNumberFormat="1">
      <alignment vertical="bottom"/>
    </xf>
    <xf borderId="0" fillId="0" fontId="32" numFmtId="171" xfId="0" applyAlignment="1" applyFont="1" applyNumberFormat="1">
      <alignment horizontal="right" vertical="bottom"/>
    </xf>
    <xf borderId="27" fillId="0" fontId="32" numFmtId="171" xfId="0" applyAlignment="1" applyBorder="1" applyFont="1" applyNumberFormat="1">
      <alignment horizontal="right" vertical="bottom"/>
    </xf>
    <xf borderId="0" fillId="0" fontId="17" numFmtId="171" xfId="0" applyAlignment="1" applyFont="1" applyNumberFormat="1">
      <alignment horizontal="right" vertical="bottom"/>
    </xf>
    <xf borderId="0" fillId="0" fontId="23" numFmtId="0" xfId="0" applyAlignment="1" applyFont="1">
      <alignment readingOrder="0" vertical="bottom"/>
    </xf>
    <xf borderId="0" fillId="0" fontId="14" numFmtId="10" xfId="0" applyAlignment="1" applyFont="1" applyNumberFormat="1">
      <alignment vertical="bottom"/>
    </xf>
    <xf borderId="0" fillId="33" fontId="38" numFmtId="0" xfId="0" applyAlignment="1" applyFill="1" applyFont="1">
      <alignment vertical="bottom"/>
    </xf>
    <xf borderId="0" fillId="33" fontId="14" numFmtId="0" xfId="0" applyAlignment="1" applyFont="1">
      <alignment vertical="bottom"/>
    </xf>
    <xf borderId="0" fillId="33" fontId="38" numFmtId="10" xfId="0" applyAlignment="1" applyFont="1" applyNumberFormat="1">
      <alignment horizontal="right" vertical="bottom"/>
    </xf>
    <xf borderId="0" fillId="2" fontId="40" numFmtId="0" xfId="0" applyAlignment="1" applyFont="1">
      <alignment vertical="bottom"/>
    </xf>
    <xf borderId="0" fillId="2" fontId="14" numFmtId="171" xfId="0" applyAlignment="1" applyFont="1" applyNumberFormat="1">
      <alignment vertical="bottom"/>
    </xf>
    <xf borderId="0" fillId="0" fontId="14" numFmtId="171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29" fontId="14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14" numFmtId="171" xfId="0" applyAlignment="1" applyFont="1" applyNumberFormat="1">
      <alignment horizontal="right" vertical="bottom"/>
    </xf>
    <xf borderId="0" fillId="2" fontId="41" numFmtId="0" xfId="0" applyAlignment="1" applyFont="1">
      <alignment horizontal="center" readingOrder="0" vertical="bottom"/>
    </xf>
    <xf borderId="0" fillId="29" fontId="41" numFmtId="0" xfId="0" applyAlignment="1" applyFont="1">
      <alignment horizontal="center" readingOrder="0" vertical="bottom"/>
    </xf>
    <xf borderId="0" fillId="0" fontId="17" numFmtId="171" xfId="0" applyAlignment="1" applyFont="1" applyNumberFormat="1">
      <alignment vertical="bottom"/>
    </xf>
    <xf borderId="28" fillId="34" fontId="38" numFmtId="0" xfId="0" applyAlignment="1" applyBorder="1" applyFill="1" applyFont="1">
      <alignment vertical="bottom"/>
    </xf>
    <xf borderId="28" fillId="34" fontId="38" numFmtId="171" xfId="0" applyAlignment="1" applyBorder="1" applyFont="1" applyNumberFormat="1">
      <alignment horizontal="right" vertical="bottom"/>
    </xf>
    <xf borderId="28" fillId="34" fontId="38" numFmtId="0" xfId="0" applyAlignment="1" applyBorder="1" applyFont="1">
      <alignment horizontal="right" vertical="bottom"/>
    </xf>
    <xf borderId="28" fillId="34" fontId="38" numFmtId="4" xfId="0" applyAlignment="1" applyBorder="1" applyFont="1" applyNumberFormat="1">
      <alignment horizontal="right" vertical="bottom"/>
    </xf>
    <xf borderId="0" fillId="29" fontId="38" numFmtId="0" xfId="0" applyAlignment="1" applyFont="1">
      <alignment vertical="bottom"/>
    </xf>
    <xf borderId="0" fillId="0" fontId="14" numFmtId="172" xfId="0" applyAlignment="1" applyFont="1" applyNumberFormat="1">
      <alignment horizontal="right" vertical="bottom"/>
    </xf>
    <xf borderId="0" fillId="29" fontId="17" numFmtId="10" xfId="0" applyAlignment="1" applyFont="1" applyNumberFormat="1">
      <alignment horizontal="right" vertical="bottom"/>
    </xf>
    <xf borderId="0" fillId="29" fontId="14" numFmtId="172" xfId="0" applyAlignment="1" applyFont="1" applyNumberFormat="1">
      <alignment horizontal="right" vertical="bottom"/>
    </xf>
    <xf borderId="0" fillId="0" fontId="14" numFmtId="4" xfId="0" applyAlignment="1" applyFont="1" applyNumberFormat="1">
      <alignment horizontal="right" readingOrder="0" vertical="bottom"/>
    </xf>
    <xf borderId="0" fillId="29" fontId="15" numFmtId="172" xfId="0" applyAlignment="1" applyFont="1" applyNumberFormat="1">
      <alignment horizontal="right" vertical="bottom"/>
    </xf>
    <xf borderId="0" fillId="29" fontId="15" numFmtId="4" xfId="0" applyAlignment="1" applyFont="1" applyNumberFormat="1">
      <alignment horizontal="right" readingOrder="0" vertical="bottom"/>
    </xf>
    <xf borderId="0" fillId="35" fontId="15" numFmtId="172" xfId="0" applyAlignment="1" applyFill="1" applyFont="1" applyNumberFormat="1">
      <alignment horizontal="right" vertical="bottom"/>
    </xf>
    <xf borderId="0" fillId="35" fontId="15" numFmtId="4" xfId="0" applyAlignment="1" applyFont="1" applyNumberFormat="1">
      <alignment horizontal="right" readingOrder="0" vertical="bottom"/>
    </xf>
    <xf borderId="0" fillId="0" fontId="14" numFmtId="173" xfId="0" applyAlignment="1" applyFont="1" applyNumberFormat="1">
      <alignment horizontal="right" vertical="bottom"/>
    </xf>
    <xf borderId="0" fillId="29" fontId="14" numFmtId="173" xfId="0" applyAlignment="1" applyFont="1" applyNumberFormat="1">
      <alignment horizontal="right" vertical="bottom"/>
    </xf>
    <xf borderId="0" fillId="35" fontId="14" numFmtId="0" xfId="0" applyAlignment="1" applyFont="1">
      <alignment vertical="bottom"/>
    </xf>
    <xf borderId="0" fillId="35" fontId="17" numFmtId="10" xfId="0" applyAlignment="1" applyFont="1" applyNumberFormat="1">
      <alignment vertical="bottom"/>
    </xf>
    <xf borderId="0" fillId="35" fontId="14" numFmtId="10" xfId="0" applyAlignment="1" applyFont="1" applyNumberFormat="1">
      <alignment vertical="bottom"/>
    </xf>
    <xf borderId="0" fillId="2" fontId="2" numFmtId="0" xfId="0" applyAlignment="1" applyFont="1">
      <alignment horizontal="center" shrinkToFit="0" vertical="center" wrapText="0"/>
    </xf>
    <xf borderId="0" fillId="2" fontId="4" numFmtId="0" xfId="0" applyAlignment="1" applyFont="1">
      <alignment horizontal="center" readingOrder="0" shrinkToFit="0" vertical="center" wrapText="0"/>
    </xf>
    <xf borderId="4" fillId="0" fontId="9" numFmtId="164" xfId="0" applyAlignment="1" applyBorder="1" applyFont="1" applyNumberFormat="1">
      <alignment horizontal="right" shrinkToFit="0" vertical="bottom" wrapText="0"/>
    </xf>
    <xf borderId="4" fillId="0" fontId="22" numFmtId="0" xfId="0" applyAlignment="1" applyBorder="1" applyFont="1">
      <alignment horizontal="left" shrinkToFit="0" vertical="bottom" wrapText="1"/>
    </xf>
    <xf borderId="2" fillId="0" fontId="9" numFmtId="164" xfId="0" applyAlignment="1" applyBorder="1" applyFont="1" applyNumberFormat="1">
      <alignment horizontal="right" shrinkToFit="0" vertical="bottom" wrapText="0"/>
    </xf>
    <xf borderId="2" fillId="0" fontId="22" numFmtId="0" xfId="0" applyAlignment="1" applyBorder="1" applyFont="1">
      <alignment horizontal="left" shrinkToFit="0" vertical="bottom" wrapText="1"/>
    </xf>
    <xf borderId="4" fillId="0" fontId="18" numFmtId="164" xfId="0" applyAlignment="1" applyBorder="1" applyFont="1" applyNumberFormat="1">
      <alignment horizontal="right" shrinkToFit="0" vertical="bottom" wrapText="0"/>
    </xf>
    <xf borderId="0" fillId="0" fontId="18" numFmtId="168" xfId="0" applyAlignment="1" applyFont="1" applyNumberFormat="1">
      <alignment horizontal="right" shrinkToFit="0" vertical="bottom" wrapText="0"/>
    </xf>
    <xf borderId="2" fillId="0" fontId="18" numFmtId="164" xfId="0" applyAlignment="1" applyBorder="1" applyFont="1" applyNumberFormat="1">
      <alignment horizontal="right" shrinkToFit="0" vertical="bottom" wrapText="0"/>
    </xf>
    <xf borderId="0" fillId="2" fontId="42" numFmtId="0" xfId="0" applyAlignment="1" applyFont="1">
      <alignment horizontal="left" readingOrder="0" shrinkToFit="0" vertical="center" wrapText="0"/>
    </xf>
    <xf borderId="6" fillId="0" fontId="7" numFmtId="0" xfId="0" applyAlignment="1" applyBorder="1" applyFont="1">
      <alignment horizontal="left" shrinkToFit="0" vertical="center" wrapText="0"/>
    </xf>
    <xf borderId="6" fillId="0" fontId="7" numFmtId="165" xfId="0" applyAlignment="1" applyBorder="1" applyFont="1" applyNumberFormat="1">
      <alignment horizontal="right" shrinkToFit="0" vertical="bottom" wrapText="0"/>
    </xf>
    <xf borderId="6" fillId="0" fontId="38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9">
    <tableStyle count="3" pivot="0" name="Beta Regression-style">
      <tableStyleElement dxfId="1" type="headerRow"/>
      <tableStyleElement dxfId="2" type="firstRowStripe"/>
      <tableStyleElement dxfId="3" type="secondRowStripe"/>
    </tableStyle>
    <tableStyle count="3" pivot="0" name="Beta Regression-style 2">
      <tableStyleElement dxfId="1" type="headerRow"/>
      <tableStyleElement dxfId="2" type="firstRowStripe"/>
      <tableStyleElement dxfId="3" type="secondRowStripe"/>
    </tableStyle>
    <tableStyle count="3" pivot="0" name="Beta Regression-style 3">
      <tableStyleElement dxfId="1" type="headerRow"/>
      <tableStyleElement dxfId="2" type="firstRowStripe"/>
      <tableStyleElement dxfId="3" type="secondRowStripe"/>
    </tableStyle>
    <tableStyle count="3" pivot="0" name="Beta Regression-style 4">
      <tableStyleElement dxfId="1" type="headerRow"/>
      <tableStyleElement dxfId="2" type="firstRowStripe"/>
      <tableStyleElement dxfId="3" type="secondRowStripe"/>
    </tableStyle>
    <tableStyle count="3" pivot="0" name="Beta Regression-style 5">
      <tableStyleElement dxfId="1" type="headerRow"/>
      <tableStyleElement dxfId="2" type="firstRowStripe"/>
      <tableStyleElement dxfId="3" type="secondRowStripe"/>
    </tableStyle>
    <tableStyle count="3" pivot="0" name="Beta Regression-style 6">
      <tableStyleElement dxfId="1" type="headerRow"/>
      <tableStyleElement dxfId="2" type="firstRowStripe"/>
      <tableStyleElement dxfId="3" type="secondRowStripe"/>
    </tableStyle>
    <tableStyle count="3" pivot="0" name="Beta Regression-style 7">
      <tableStyleElement dxfId="1" type="headerRow"/>
      <tableStyleElement dxfId="2" type="firstRowStripe"/>
      <tableStyleElement dxfId="3" type="secondRowStripe"/>
    </tableStyle>
    <tableStyle count="3" pivot="0" name="Beta Regression-style 8">
      <tableStyleElement dxfId="1" type="headerRow"/>
      <tableStyleElement dxfId="2" type="firstRowStripe"/>
      <tableStyleElement dxfId="3" type="secondRowStripe"/>
    </tableStyle>
    <tableStyle count="3" pivot="0" name="Beta Regression-style 9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445A82"/>
                </a:solidFill>
                <a:latin typeface="+mn-lt"/>
              </a:defRPr>
            </a:pPr>
            <a:r>
              <a:rPr b="1">
                <a:solidFill>
                  <a:srgbClr val="445A82"/>
                </a:solidFill>
                <a:latin typeface="+mn-lt"/>
              </a:rPr>
              <a:t>Football Field Analysis- Valuation Summary</a:t>
            </a:r>
          </a:p>
        </c:rich>
      </c:tx>
      <c:overlay val="0"/>
    </c:title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DCF!$B$90:$B$94</c:f>
            </c:strRef>
          </c:cat>
          <c:val>
            <c:numRef>
              <c:f>DCF!$D$90:$D$94</c:f>
              <c:numCache/>
            </c:numRef>
          </c:val>
          <c:smooth val="0"/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DCF!$B$90:$B$94</c:f>
            </c:strRef>
          </c:cat>
          <c:val>
            <c:numRef>
              <c:f>DCF!$F$90:$F$94</c:f>
              <c:numCache/>
            </c:numRef>
          </c:val>
          <c:smooth val="0"/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DCF!$B$90:$B$94</c:f>
            </c:strRef>
          </c:cat>
          <c:val>
            <c:numRef>
              <c:f>DCF!$C$90:$C$94</c:f>
              <c:numCache/>
            </c:numRef>
          </c:val>
          <c:smooth val="0"/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DCF!$B$90:$B$94</c:f>
            </c:strRef>
          </c:cat>
          <c:val>
            <c:numRef>
              <c:f>DCF!$E$90:$E$94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1903163819"/>
        <c:axId val="1444041025"/>
      </c:stockChart>
      <c:dateAx>
        <c:axId val="1903163819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041025"/>
      </c:dateAx>
      <c:valAx>
        <c:axId val="14440410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1638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63</xdr:row>
      <xdr:rowOff>142875</xdr:rowOff>
    </xdr:from>
    <xdr:ext cx="62769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D501" displayName="Table_1" name="Table_1" id="1">
  <tableColumns count="3">
    <tableColumn name="Date" id="1"/>
    <tableColumn name="Closing Price" id="2"/>
    <tableColumn name="Return" id="3"/>
  </tableColumns>
  <tableStyleInfo name="Beta Regression-style" showColumnStripes="0" showFirstColumn="1" showLastColumn="1" showRowStripes="1"/>
</table>
</file>

<file path=xl/tables/table2.xml><?xml version="1.0" encoding="utf-8"?>
<table xmlns="http://schemas.openxmlformats.org/spreadsheetml/2006/main" ref="F8:H501" displayName="Table_2" name="Table_2" id="2">
  <tableColumns count="3">
    <tableColumn name="Date" id="1"/>
    <tableColumn name="Closing Price" id="2"/>
    <tableColumn name="Return" id="3"/>
  </tableColumns>
  <tableStyleInfo name="Beta Regression-style 2" showColumnStripes="0" showFirstColumn="1" showLastColumn="1" showRowStripes="1"/>
</table>
</file>

<file path=xl/tables/table3.xml><?xml version="1.0" encoding="utf-8"?>
<table xmlns="http://schemas.openxmlformats.org/spreadsheetml/2006/main" ref="J8:L501" displayName="Table_3" name="Table_3" id="3">
  <tableColumns count="3">
    <tableColumn name="Date" id="1"/>
    <tableColumn name="Closing Price" id="2"/>
    <tableColumn name="Return" id="3"/>
  </tableColumns>
  <tableStyleInfo name="Beta Regression-style 3" showColumnStripes="0" showFirstColumn="1" showLastColumn="1" showRowStripes="1"/>
</table>
</file>

<file path=xl/tables/table4.xml><?xml version="1.0" encoding="utf-8"?>
<table xmlns="http://schemas.openxmlformats.org/spreadsheetml/2006/main" ref="N8:P501" displayName="Table_4" name="Table_4" id="4">
  <tableColumns count="3">
    <tableColumn name="Date" id="1"/>
    <tableColumn name="Closing Price" id="2"/>
    <tableColumn name="Return" id="3"/>
  </tableColumns>
  <tableStyleInfo name="Beta Regression-style 4" showColumnStripes="0" showFirstColumn="1" showLastColumn="1" showRowStripes="1"/>
</table>
</file>

<file path=xl/tables/table5.xml><?xml version="1.0" encoding="utf-8"?>
<table xmlns="http://schemas.openxmlformats.org/spreadsheetml/2006/main" ref="R8:T501" displayName="Table_5" name="Table_5" id="5">
  <tableColumns count="3">
    <tableColumn name="Date" id="1"/>
    <tableColumn name="Closing Price" id="2"/>
    <tableColumn name="Return" id="3"/>
  </tableColumns>
  <tableStyleInfo name="Beta Regression-style 5" showColumnStripes="0" showFirstColumn="1" showLastColumn="1" showRowStripes="1"/>
</table>
</file>

<file path=xl/tables/table6.xml><?xml version="1.0" encoding="utf-8"?>
<table xmlns="http://schemas.openxmlformats.org/spreadsheetml/2006/main" ref="V8:X501" displayName="Table_6" name="Table_6" id="6">
  <tableColumns count="3">
    <tableColumn name="Date" id="1"/>
    <tableColumn name="Closing Price" id="2"/>
    <tableColumn name="Return" id="3"/>
  </tableColumns>
  <tableStyleInfo name="Beta Regression-style 6" showColumnStripes="0" showFirstColumn="1" showLastColumn="1" showRowStripes="1"/>
</table>
</file>

<file path=xl/tables/table7.xml><?xml version="1.0" encoding="utf-8"?>
<table xmlns="http://schemas.openxmlformats.org/spreadsheetml/2006/main" ref="Z8:AB501" displayName="Table_7" name="Table_7" id="7">
  <tableColumns count="3">
    <tableColumn name="Date" id="1"/>
    <tableColumn name="Closing Price" id="2"/>
    <tableColumn name="Return" id="3"/>
  </tableColumns>
  <tableStyleInfo name="Beta Regression-style 7" showColumnStripes="0" showFirstColumn="1" showLastColumn="1" showRowStripes="1"/>
</table>
</file>

<file path=xl/tables/table8.xml><?xml version="1.0" encoding="utf-8"?>
<table xmlns="http://schemas.openxmlformats.org/spreadsheetml/2006/main" ref="AD8:AF501" displayName="Table_8" name="Table_8" id="8">
  <tableColumns count="3">
    <tableColumn name="Date" id="1"/>
    <tableColumn name="Closing Price" id="2"/>
    <tableColumn name="Return" id="3"/>
  </tableColumns>
  <tableStyleInfo name="Beta Regression-style 8" showColumnStripes="0" showFirstColumn="1" showLastColumn="1" showRowStripes="1"/>
</table>
</file>

<file path=xl/tables/table9.xml><?xml version="1.0" encoding="utf-8"?>
<table xmlns="http://schemas.openxmlformats.org/spreadsheetml/2006/main" headerRowCount="0" ref="AG8:AN501" displayName="Table_9" name="Table_9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eta Regression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0"/>
    <col customWidth="1" min="2" max="2" width="33.14"/>
    <col customWidth="1" min="3" max="8" width="16.0"/>
    <col customWidth="1" min="9" max="9" width="0.86"/>
    <col customWidth="1" min="10" max="11" width="16.0"/>
    <col customWidth="1" min="12" max="12" width="0.86"/>
    <col customWidth="1" min="13" max="14" width="16.0"/>
    <col customWidth="1" min="15" max="15" width="20.0"/>
    <col customWidth="1" min="16" max="31" width="8.71"/>
  </cols>
  <sheetData>
    <row r="1" ht="15.0" customHeight="1">
      <c r="A1" s="1"/>
      <c r="B1" s="2" t="s">
        <v>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5.0" customHeight="1">
      <c r="A2" s="1"/>
      <c r="B2" s="4" t="s">
        <v>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0" customHeight="1">
      <c r="A3" s="1"/>
      <c r="B3" s="5"/>
      <c r="C3" s="5"/>
      <c r="D3" s="5"/>
      <c r="E3" s="5"/>
      <c r="F3" s="5"/>
      <c r="G3" s="6" t="s">
        <v>2</v>
      </c>
      <c r="H3" s="7"/>
      <c r="I3" s="5"/>
      <c r="J3" s="6" t="s">
        <v>3</v>
      </c>
      <c r="K3" s="7"/>
      <c r="L3" s="5"/>
      <c r="M3" s="6" t="s">
        <v>4</v>
      </c>
      <c r="N3" s="7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5.0" customHeight="1">
      <c r="A4" s="1"/>
      <c r="B4" s="8"/>
      <c r="C4" s="8"/>
      <c r="D4" s="8"/>
      <c r="E4" s="8"/>
      <c r="F4" s="8"/>
      <c r="G4" s="8" t="s">
        <v>5</v>
      </c>
      <c r="H4" s="8" t="s">
        <v>6</v>
      </c>
      <c r="I4" s="8"/>
      <c r="J4" s="8" t="s">
        <v>7</v>
      </c>
      <c r="K4" s="8" t="s">
        <v>8</v>
      </c>
      <c r="L4" s="8"/>
      <c r="M4" s="8" t="s">
        <v>9</v>
      </c>
      <c r="N4" s="8" t="s">
        <v>10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5.0" customHeight="1">
      <c r="A5" s="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5.0" customHeight="1">
      <c r="A6" s="1"/>
      <c r="B6" s="10" t="s">
        <v>11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.0" customHeight="1">
      <c r="A7" s="1"/>
      <c r="B7" s="12" t="s">
        <v>12</v>
      </c>
      <c r="C7" s="12"/>
      <c r="D7" s="12"/>
      <c r="E7" s="12"/>
      <c r="F7" s="12"/>
      <c r="G7" s="12"/>
      <c r="H7" s="12"/>
      <c r="I7" s="12"/>
      <c r="J7" s="12" t="s">
        <v>13</v>
      </c>
      <c r="K7" s="12" t="s">
        <v>14</v>
      </c>
      <c r="L7" s="12"/>
      <c r="M7" s="12" t="s">
        <v>15</v>
      </c>
      <c r="N7" s="12" t="s">
        <v>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5.0" customHeight="1">
      <c r="A8" s="1"/>
      <c r="B8" s="13" t="s">
        <v>17</v>
      </c>
      <c r="C8" s="14"/>
      <c r="D8" s="14"/>
      <c r="E8" s="14"/>
      <c r="F8" s="14"/>
      <c r="G8" s="14">
        <v>1777.0</v>
      </c>
      <c r="H8" s="14">
        <v>1752.0</v>
      </c>
      <c r="I8" s="14"/>
      <c r="J8" s="14">
        <f>H8*(1+-0.02)</f>
        <v>1716.96</v>
      </c>
      <c r="K8" s="14">
        <f>J8*(1+-0.015)</f>
        <v>1691.2056</v>
      </c>
      <c r="L8" s="14"/>
      <c r="M8" s="14">
        <f>K8*(1+0.01)</f>
        <v>1708.117656</v>
      </c>
      <c r="N8" s="14">
        <f t="shared" ref="N8:N9" si="1">M8*(1+0.02)</f>
        <v>1742.280009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5.0" customHeight="1">
      <c r="A9" s="1"/>
      <c r="B9" s="13" t="s">
        <v>18</v>
      </c>
      <c r="C9" s="14"/>
      <c r="D9" s="14"/>
      <c r="E9" s="14"/>
      <c r="F9" s="14"/>
      <c r="G9" s="14">
        <v>662.0</v>
      </c>
      <c r="H9" s="14">
        <v>691.0</v>
      </c>
      <c r="I9" s="14"/>
      <c r="J9" s="14">
        <f t="shared" ref="J9:J11" si="2">H9*(1+-0.02)</f>
        <v>677.18</v>
      </c>
      <c r="K9" s="14">
        <f t="shared" ref="K9:K11" si="3">J9*(1+-0.015)</f>
        <v>667.0223</v>
      </c>
      <c r="L9" s="14"/>
      <c r="M9" s="14">
        <f t="shared" ref="M9:M11" si="4">K9*(1+0.01)</f>
        <v>673.692523</v>
      </c>
      <c r="N9" s="14">
        <f t="shared" si="1"/>
        <v>687.1663735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5.0" customHeight="1">
      <c r="A10" s="1"/>
      <c r="B10" s="13" t="s">
        <v>19</v>
      </c>
      <c r="C10" s="14"/>
      <c r="D10" s="14"/>
      <c r="E10" s="14"/>
      <c r="F10" s="14"/>
      <c r="G10" s="14">
        <v>3849.0</v>
      </c>
      <c r="H10" s="14">
        <v>3691.0</v>
      </c>
      <c r="I10" s="14"/>
      <c r="J10" s="14">
        <f t="shared" si="2"/>
        <v>3617.18</v>
      </c>
      <c r="K10" s="14">
        <f t="shared" si="3"/>
        <v>3562.9223</v>
      </c>
      <c r="L10" s="14"/>
      <c r="M10" s="14">
        <f t="shared" si="4"/>
        <v>3598.551523</v>
      </c>
      <c r="N10" s="14">
        <f>M10*(1+-0.02)</f>
        <v>3526.580493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0" customHeight="1">
      <c r="A11" s="1"/>
      <c r="B11" s="13" t="s">
        <v>20</v>
      </c>
      <c r="C11" s="14"/>
      <c r="D11" s="14"/>
      <c r="E11" s="14"/>
      <c r="F11" s="14"/>
      <c r="G11" s="14">
        <v>115.0</v>
      </c>
      <c r="H11" s="14">
        <v>82.0</v>
      </c>
      <c r="I11" s="14"/>
      <c r="J11" s="14">
        <f t="shared" si="2"/>
        <v>80.36</v>
      </c>
      <c r="K11" s="14">
        <f t="shared" si="3"/>
        <v>79.1546</v>
      </c>
      <c r="L11" s="14"/>
      <c r="M11" s="14">
        <f t="shared" si="4"/>
        <v>79.946146</v>
      </c>
      <c r="N11" s="14">
        <f>M11*(1+0.02)</f>
        <v>81.54506892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0" customHeight="1">
      <c r="A12" s="1"/>
      <c r="B12" s="15" t="s">
        <v>21</v>
      </c>
      <c r="C12" s="16"/>
      <c r="D12" s="16"/>
      <c r="E12" s="16"/>
      <c r="F12" s="16"/>
      <c r="G12" s="16">
        <f t="shared" ref="G12:H12" si="5">G8+G9+G10+G11</f>
        <v>6403</v>
      </c>
      <c r="H12" s="16">
        <f t="shared" si="5"/>
        <v>6216</v>
      </c>
      <c r="I12" s="16"/>
      <c r="J12" s="16">
        <f t="shared" ref="J12:K12" si="6">J8+J9+J10+J11</f>
        <v>6091.68</v>
      </c>
      <c r="K12" s="16">
        <f t="shared" si="6"/>
        <v>6000.3048</v>
      </c>
      <c r="L12" s="16"/>
      <c r="M12" s="16">
        <f t="shared" ref="M12:N12" si="7">M8+M9+M10+M11</f>
        <v>6060.307848</v>
      </c>
      <c r="N12" s="16">
        <f t="shared" si="7"/>
        <v>6037.571944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75" customHeight="1">
      <c r="A13" s="1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0" customHeight="1">
      <c r="A14" s="1"/>
      <c r="B14" s="18" t="s">
        <v>22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0" customHeight="1">
      <c r="A15" s="1"/>
      <c r="B15" s="19" t="s">
        <v>23</v>
      </c>
      <c r="C15" s="20"/>
      <c r="D15" s="20"/>
      <c r="E15" s="20"/>
      <c r="F15" s="20"/>
      <c r="G15" s="20">
        <f>'Historical Data'!$F$12</f>
        <v>0.5705371485</v>
      </c>
      <c r="H15" s="20">
        <f>'Historical Data'!$F$12</f>
        <v>0.5705371485</v>
      </c>
      <c r="I15" s="20"/>
      <c r="J15" s="20">
        <f>'Historical Data'!$F$12</f>
        <v>0.5705371485</v>
      </c>
      <c r="K15" s="20">
        <f>'Historical Data'!$F$12</f>
        <v>0.5705371485</v>
      </c>
      <c r="L15" s="20"/>
      <c r="M15" s="20">
        <f>'Historical Data'!$F$12</f>
        <v>0.5705371485</v>
      </c>
      <c r="N15" s="20">
        <f>'Historical Data'!$F$12</f>
        <v>0.5705371485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0" customHeight="1">
      <c r="A16" s="1"/>
      <c r="B16" s="19" t="s">
        <v>24</v>
      </c>
      <c r="C16" s="20"/>
      <c r="D16" s="20"/>
      <c r="E16" s="20"/>
      <c r="F16" s="20"/>
      <c r="G16" s="20">
        <f>'Historical Data'!$F$13</f>
        <v>0.2846628744</v>
      </c>
      <c r="H16" s="20">
        <f>'Historical Data'!$F$13</f>
        <v>0.2846628744</v>
      </c>
      <c r="I16" s="20"/>
      <c r="J16" s="20">
        <f>'Historical Data'!$F$13</f>
        <v>0.2846628744</v>
      </c>
      <c r="K16" s="20">
        <f>'Historical Data'!$F$13</f>
        <v>0.2846628744</v>
      </c>
      <c r="L16" s="20"/>
      <c r="M16" s="20">
        <f>'Historical Data'!$F$13</f>
        <v>0.2846628744</v>
      </c>
      <c r="N16" s="20">
        <f>'Historical Data'!$F$13</f>
        <v>0.2846628744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5.0" customHeight="1">
      <c r="A17" s="1"/>
      <c r="B17" s="19" t="s">
        <v>25</v>
      </c>
      <c r="C17" s="20"/>
      <c r="D17" s="20"/>
      <c r="E17" s="20"/>
      <c r="F17" s="20"/>
      <c r="G17" s="20">
        <v>0.073</v>
      </c>
      <c r="H17" s="20">
        <v>0.059</v>
      </c>
      <c r="I17" s="20"/>
      <c r="J17" s="20">
        <v>0.055</v>
      </c>
      <c r="K17" s="20">
        <v>0.052</v>
      </c>
      <c r="L17" s="20"/>
      <c r="M17" s="20">
        <v>0.05</v>
      </c>
      <c r="N17" s="20">
        <v>0.049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0" customHeight="1">
      <c r="A18" s="1"/>
      <c r="B18" s="13" t="s">
        <v>26</v>
      </c>
      <c r="C18" s="14"/>
      <c r="D18" s="14"/>
      <c r="E18" s="14"/>
      <c r="F18" s="14"/>
      <c r="G18" s="14">
        <v>3715.0</v>
      </c>
      <c r="H18" s="14">
        <v>3313.0</v>
      </c>
      <c r="I18" s="14"/>
      <c r="J18" s="14">
        <f t="shared" ref="J18:K18" si="8">J12*J15</f>
        <v>3475.529737</v>
      </c>
      <c r="K18" s="14">
        <f t="shared" si="8"/>
        <v>3423.396791</v>
      </c>
      <c r="L18" s="14"/>
      <c r="M18" s="14">
        <f t="shared" ref="M18:N18" si="9">M12*M15</f>
        <v>3457.630758</v>
      </c>
      <c r="N18" s="14">
        <f t="shared" si="9"/>
        <v>3444.659081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0" customHeight="1">
      <c r="A19" s="1"/>
      <c r="B19" s="13" t="s">
        <v>27</v>
      </c>
      <c r="C19" s="14"/>
      <c r="D19" s="14"/>
      <c r="E19" s="14"/>
      <c r="F19" s="14"/>
      <c r="G19" s="14">
        <v>1760.0</v>
      </c>
      <c r="H19" s="14">
        <v>1721.0</v>
      </c>
      <c r="I19" s="14"/>
      <c r="J19" s="14">
        <f t="shared" ref="J19:K19" si="10">J12*J16</f>
        <v>1734.075139</v>
      </c>
      <c r="K19" s="14">
        <f t="shared" si="10"/>
        <v>1708.064012</v>
      </c>
      <c r="L19" s="14"/>
      <c r="M19" s="14">
        <f t="shared" ref="M19:N19" si="11">M12*M16</f>
        <v>1725.144652</v>
      </c>
      <c r="N19" s="14">
        <f t="shared" si="11"/>
        <v>1718.672584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0" customHeight="1">
      <c r="A20" s="1"/>
      <c r="B20" s="13" t="s">
        <v>28</v>
      </c>
      <c r="C20" s="14"/>
      <c r="D20" s="14"/>
      <c r="E20" s="14"/>
      <c r="F20" s="14"/>
      <c r="G20" s="14">
        <v>469.0</v>
      </c>
      <c r="H20" s="14">
        <v>366.0</v>
      </c>
      <c r="I20" s="14"/>
      <c r="J20" s="14">
        <f t="shared" ref="J20:K20" si="12">J12*J17</f>
        <v>335.0424</v>
      </c>
      <c r="K20" s="14">
        <f t="shared" si="12"/>
        <v>312.0158496</v>
      </c>
      <c r="L20" s="14"/>
      <c r="M20" s="14">
        <f t="shared" ref="M20:N20" si="13">M12*M17</f>
        <v>303.0153924</v>
      </c>
      <c r="N20" s="14">
        <f t="shared" si="13"/>
        <v>295.8410253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0" customHeight="1">
      <c r="A21" s="1"/>
      <c r="B21" s="15" t="s">
        <v>29</v>
      </c>
      <c r="C21" s="16"/>
      <c r="D21" s="16"/>
      <c r="E21" s="16"/>
      <c r="F21" s="16"/>
      <c r="G21" s="16">
        <v>1374.0</v>
      </c>
      <c r="H21" s="16">
        <v>824.0</v>
      </c>
      <c r="I21" s="16"/>
      <c r="J21" s="16">
        <f t="shared" ref="J21:K21" si="14">J18-J19-J20</f>
        <v>1406.412198</v>
      </c>
      <c r="K21" s="16">
        <f t="shared" si="14"/>
        <v>1403.316929</v>
      </c>
      <c r="L21" s="16"/>
      <c r="M21" s="16">
        <f t="shared" ref="M21:N21" si="15">M18-M19-M20</f>
        <v>1429.470714</v>
      </c>
      <c r="N21" s="16">
        <f t="shared" si="15"/>
        <v>1430.145471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0" customHeight="1">
      <c r="A22" s="1"/>
      <c r="B22" s="13" t="s">
        <v>30</v>
      </c>
      <c r="C22" s="20"/>
      <c r="D22" s="20"/>
      <c r="E22" s="20"/>
      <c r="F22" s="20"/>
      <c r="G22" s="20">
        <f t="shared" ref="G22:H22" si="16">G21/G12</f>
        <v>0.2145869124</v>
      </c>
      <c r="H22" s="20">
        <f t="shared" si="16"/>
        <v>0.1325611326</v>
      </c>
      <c r="I22" s="20"/>
      <c r="J22" s="20">
        <f t="shared" ref="J22:K22" si="17">J21/J12</f>
        <v>0.230874274</v>
      </c>
      <c r="K22" s="20">
        <f t="shared" si="17"/>
        <v>0.233874274</v>
      </c>
      <c r="L22" s="20"/>
      <c r="M22" s="20">
        <f t="shared" ref="M22:N22" si="18">M21/M12</f>
        <v>0.235874274</v>
      </c>
      <c r="N22" s="20">
        <f t="shared" si="18"/>
        <v>0.236874274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0" customHeight="1">
      <c r="A23" s="1"/>
      <c r="B23" s="19" t="s">
        <v>31</v>
      </c>
      <c r="C23" s="20"/>
      <c r="D23" s="20"/>
      <c r="E23" s="20"/>
      <c r="F23" s="20"/>
      <c r="G23" s="20">
        <v>0.21</v>
      </c>
      <c r="H23" s="20">
        <v>0.21</v>
      </c>
      <c r="I23" s="20"/>
      <c r="J23" s="20">
        <v>0.21</v>
      </c>
      <c r="K23" s="20">
        <v>0.21</v>
      </c>
      <c r="L23" s="20"/>
      <c r="M23" s="20">
        <v>0.21</v>
      </c>
      <c r="N23" s="20">
        <v>0.21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0" customHeight="1">
      <c r="A24" s="1"/>
      <c r="B24" s="21" t="s">
        <v>32</v>
      </c>
      <c r="C24" s="22"/>
      <c r="D24" s="22"/>
      <c r="E24" s="22"/>
      <c r="F24" s="22"/>
      <c r="G24" s="22">
        <f t="shared" ref="G24:H24" si="19">G21*(1-G23)</f>
        <v>1085.46</v>
      </c>
      <c r="H24" s="22">
        <f t="shared" si="19"/>
        <v>650.96</v>
      </c>
      <c r="I24" s="22"/>
      <c r="J24" s="22">
        <f t="shared" ref="J24:K24" si="20">J21*(1-J23)</f>
        <v>1111.065636</v>
      </c>
      <c r="K24" s="22">
        <f t="shared" si="20"/>
        <v>1108.620374</v>
      </c>
      <c r="L24" s="22"/>
      <c r="M24" s="22">
        <f t="shared" ref="M24:N24" si="21">M21*(1-M23)</f>
        <v>1129.281864</v>
      </c>
      <c r="N24" s="22">
        <f t="shared" si="21"/>
        <v>1129.814922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0" customHeight="1">
      <c r="A26" s="1"/>
      <c r="B26" s="18" t="s">
        <v>33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0" customHeight="1">
      <c r="A27" s="1"/>
      <c r="B27" s="13" t="s">
        <v>34</v>
      </c>
      <c r="C27" s="20"/>
      <c r="D27" s="20"/>
      <c r="E27" s="20"/>
      <c r="F27" s="20"/>
      <c r="G27" s="20">
        <f>'Historical Data'!$F$59</f>
        <v>0.04633950891</v>
      </c>
      <c r="H27" s="20">
        <f>'Historical Data'!$F$59</f>
        <v>0.04633950891</v>
      </c>
      <c r="I27" s="20"/>
      <c r="J27" s="20">
        <f>'Historical Data'!$F$59</f>
        <v>0.04633950891</v>
      </c>
      <c r="K27" s="20">
        <f>'Historical Data'!$F$59</f>
        <v>0.04633950891</v>
      </c>
      <c r="L27" s="20"/>
      <c r="M27" s="20">
        <f>'Historical Data'!$F$59</f>
        <v>0.04633950891</v>
      </c>
      <c r="N27" s="20">
        <f>'Historical Data'!$F$59</f>
        <v>0.04633950891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0" customHeight="1">
      <c r="A28" s="1"/>
      <c r="B28" s="13" t="s">
        <v>35</v>
      </c>
      <c r="C28" s="14"/>
      <c r="D28" s="14"/>
      <c r="E28" s="14"/>
      <c r="F28" s="14"/>
      <c r="G28" s="14">
        <f t="shared" ref="G28:H28" si="22">G12*G27</f>
        <v>296.7118755</v>
      </c>
      <c r="H28" s="14">
        <f t="shared" si="22"/>
        <v>288.0463874</v>
      </c>
      <c r="I28" s="14"/>
      <c r="J28" s="14">
        <f t="shared" ref="J28:K28" si="23">J12*J27</f>
        <v>282.2854596</v>
      </c>
      <c r="K28" s="14">
        <f t="shared" si="23"/>
        <v>278.0511777</v>
      </c>
      <c r="L28" s="14"/>
      <c r="M28" s="14">
        <f t="shared" ref="M28:N28" si="24">M12*M27</f>
        <v>280.8316895</v>
      </c>
      <c r="N28" s="14">
        <f t="shared" si="24"/>
        <v>279.7781189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0" customHeight="1">
      <c r="A29" s="1"/>
      <c r="B29" s="19" t="s">
        <v>36</v>
      </c>
      <c r="C29" s="20"/>
      <c r="D29" s="20"/>
      <c r="E29" s="20"/>
      <c r="F29" s="20"/>
      <c r="G29" s="20">
        <f>'Historical Data'!$F$58</f>
        <v>0.03115645176</v>
      </c>
      <c r="H29" s="20">
        <f>'Historical Data'!$F$58</f>
        <v>0.03115645176</v>
      </c>
      <c r="I29" s="20"/>
      <c r="J29" s="20">
        <f>'Historical Data'!$F$58</f>
        <v>0.03115645176</v>
      </c>
      <c r="K29" s="20">
        <f>'Historical Data'!$F$58</f>
        <v>0.03115645176</v>
      </c>
      <c r="L29" s="20"/>
      <c r="M29" s="20">
        <f>'Historical Data'!$F$58</f>
        <v>0.03115645176</v>
      </c>
      <c r="N29" s="20">
        <f>'Historical Data'!$F$58</f>
        <v>0.03115645176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0" customHeight="1">
      <c r="A30" s="1"/>
      <c r="B30" s="13" t="s">
        <v>37</v>
      </c>
      <c r="C30" s="14"/>
      <c r="D30" s="14"/>
      <c r="E30" s="14"/>
      <c r="F30" s="14"/>
      <c r="G30" s="14">
        <f t="shared" ref="G30:H30" si="25">G12*G29</f>
        <v>199.4947606</v>
      </c>
      <c r="H30" s="14">
        <f t="shared" si="25"/>
        <v>193.6685041</v>
      </c>
      <c r="I30" s="14"/>
      <c r="J30" s="14">
        <f t="shared" ref="J30:K30" si="26">J12*J29</f>
        <v>189.795134</v>
      </c>
      <c r="K30" s="14">
        <f t="shared" si="26"/>
        <v>186.948207</v>
      </c>
      <c r="L30" s="14"/>
      <c r="M30" s="14">
        <f t="shared" ref="M30:N30" si="27">M12*M29</f>
        <v>188.8176891</v>
      </c>
      <c r="N30" s="14">
        <f t="shared" si="27"/>
        <v>188.109319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0" customHeight="1">
      <c r="A31" s="1"/>
      <c r="B31" s="13" t="s">
        <v>38</v>
      </c>
      <c r="C31" s="14"/>
      <c r="D31" s="14"/>
      <c r="E31" s="14"/>
      <c r="F31" s="14"/>
      <c r="G31" s="14">
        <f t="shared" ref="G31:H31" si="28">G30-G28</f>
        <v>-97.21711493</v>
      </c>
      <c r="H31" s="14">
        <f t="shared" si="28"/>
        <v>-94.37788324</v>
      </c>
      <c r="I31" s="14"/>
      <c r="J31" s="14">
        <f t="shared" ref="J31:K31" si="29">J30-J28</f>
        <v>-92.49032558</v>
      </c>
      <c r="K31" s="14">
        <f t="shared" si="29"/>
        <v>-91.10297069</v>
      </c>
      <c r="L31" s="14"/>
      <c r="M31" s="14">
        <f t="shared" ref="M31:N31" si="30">M30-M28</f>
        <v>-92.0140004</v>
      </c>
      <c r="N31" s="14">
        <f t="shared" si="30"/>
        <v>-91.66879987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0" customHeight="1">
      <c r="A32" s="1"/>
      <c r="B32" s="19" t="s">
        <v>39</v>
      </c>
      <c r="C32" s="20"/>
      <c r="D32" s="20"/>
      <c r="E32" s="20"/>
      <c r="F32" s="20"/>
      <c r="G32" s="20">
        <f>'Historical Data'!$F$53</f>
        <v>0.2849417432</v>
      </c>
      <c r="H32" s="20">
        <f>'Historical Data'!$F$53</f>
        <v>0.2849417432</v>
      </c>
      <c r="I32" s="20"/>
      <c r="J32" s="20">
        <f>'Historical Data'!$F$53</f>
        <v>0.2849417432</v>
      </c>
      <c r="K32" s="20">
        <f>'Historical Data'!$F$53</f>
        <v>0.2849417432</v>
      </c>
      <c r="L32" s="20"/>
      <c r="M32" s="20">
        <f>'Historical Data'!$F$53</f>
        <v>0.2849417432</v>
      </c>
      <c r="N32" s="20">
        <f>'Historical Data'!$F$53</f>
        <v>0.2849417432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0" customHeight="1">
      <c r="A33" s="1"/>
      <c r="B33" s="19" t="s">
        <v>40</v>
      </c>
      <c r="C33" s="14"/>
      <c r="D33" s="14"/>
      <c r="E33" s="14"/>
      <c r="F33" s="14"/>
      <c r="G33" s="14">
        <f t="shared" ref="G33:H33" si="31">G12*G32</f>
        <v>1824.481982</v>
      </c>
      <c r="H33" s="14">
        <f t="shared" si="31"/>
        <v>1771.197876</v>
      </c>
      <c r="I33" s="14"/>
      <c r="J33" s="14">
        <f t="shared" ref="J33:K33" si="32">J12*J32</f>
        <v>1735.773918</v>
      </c>
      <c r="K33" s="14">
        <f t="shared" si="32"/>
        <v>1709.73731</v>
      </c>
      <c r="L33" s="14"/>
      <c r="M33" s="14">
        <f t="shared" ref="M33:N33" si="33">M12*M32</f>
        <v>1726.834683</v>
      </c>
      <c r="N33" s="14">
        <f t="shared" si="33"/>
        <v>1720.356275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0" customHeight="1">
      <c r="A34" s="1"/>
      <c r="B34" s="19" t="s">
        <v>41</v>
      </c>
      <c r="C34" s="14"/>
      <c r="D34" s="14"/>
      <c r="E34" s="14"/>
      <c r="F34" s="14"/>
      <c r="G34" s="14"/>
      <c r="H34" s="14">
        <f>H33-G33</f>
        <v>-53.28410599</v>
      </c>
      <c r="I34" s="14"/>
      <c r="J34" s="14">
        <f>J33-H33</f>
        <v>-35.42395752</v>
      </c>
      <c r="K34" s="14">
        <f>K33-J33</f>
        <v>-26.03660878</v>
      </c>
      <c r="L34" s="14"/>
      <c r="M34" s="14">
        <f>M33-K33</f>
        <v>17.0973731</v>
      </c>
      <c r="N34" s="14">
        <f>N33-M33</f>
        <v>-6.478408109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0" customHeight="1">
      <c r="A35" s="1"/>
      <c r="B35" s="24" t="s">
        <v>42</v>
      </c>
      <c r="C35" s="16"/>
      <c r="D35" s="16"/>
      <c r="E35" s="16"/>
      <c r="F35" s="16"/>
      <c r="G35" s="16"/>
      <c r="H35" s="16"/>
      <c r="I35" s="16"/>
      <c r="J35" s="16">
        <f t="shared" ref="J35:K35" si="34">J24+J28-J30-J34</f>
        <v>1238.979919</v>
      </c>
      <c r="K35" s="16">
        <f t="shared" si="34"/>
        <v>1225.759953</v>
      </c>
      <c r="L35" s="16"/>
      <c r="M35" s="16">
        <f t="shared" ref="M35:N35" si="35">M24+M28-M30-M34</f>
        <v>1204.198491</v>
      </c>
      <c r="N35" s="16">
        <f t="shared" si="35"/>
        <v>1227.96213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0" hidden="1" customHeight="1">
      <c r="A36" s="1"/>
      <c r="B36" s="13" t="s">
        <v>43</v>
      </c>
      <c r="C36" s="1"/>
      <c r="D36" s="1"/>
      <c r="E36" s="1"/>
      <c r="F36" s="1"/>
      <c r="G36" s="1"/>
      <c r="H36" s="1"/>
      <c r="I36" s="25"/>
      <c r="J36" s="25">
        <v>0.5</v>
      </c>
      <c r="K36" s="25">
        <v>1.5</v>
      </c>
      <c r="L36" s="25"/>
      <c r="M36" s="25">
        <v>2.5</v>
      </c>
      <c r="N36" s="25">
        <v>3.5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0" hidden="1" customHeight="1">
      <c r="A37" s="1"/>
      <c r="B37" s="26" t="s">
        <v>44</v>
      </c>
      <c r="C37" s="27"/>
      <c r="D37" s="27"/>
      <c r="E37" s="27"/>
      <c r="F37" s="27"/>
      <c r="G37" s="27"/>
      <c r="H37" s="27"/>
      <c r="I37" s="28"/>
      <c r="J37" s="28">
        <f t="shared" ref="J37:K37" si="36">1/(1+$G$42)^J36</f>
        <v>0.9604836239</v>
      </c>
      <c r="K37" s="28">
        <f t="shared" si="36"/>
        <v>0.886073797</v>
      </c>
      <c r="L37" s="28"/>
      <c r="M37" s="28">
        <f t="shared" ref="M37:N37" si="37">1/(1+$G$42)^M36</f>
        <v>0.8174285894</v>
      </c>
      <c r="N37" s="28">
        <f t="shared" si="37"/>
        <v>0.7541014089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0" customHeight="1">
      <c r="A38" s="1"/>
      <c r="B38" s="15" t="s">
        <v>45</v>
      </c>
      <c r="C38" s="27"/>
      <c r="D38" s="27"/>
      <c r="E38" s="27"/>
      <c r="F38" s="27"/>
      <c r="G38" s="27"/>
      <c r="H38" s="27"/>
      <c r="I38" s="16"/>
      <c r="J38" s="16">
        <f t="shared" ref="J38:K38" si="38">J35*J37</f>
        <v>1190.019923</v>
      </c>
      <c r="K38" s="16">
        <f t="shared" si="38"/>
        <v>1086.113776</v>
      </c>
      <c r="L38" s="16"/>
      <c r="M38" s="16">
        <f t="shared" ref="M38:N38" si="39">M35*M37</f>
        <v>984.3462742</v>
      </c>
      <c r="N38" s="16">
        <f t="shared" si="39"/>
        <v>926.0079725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1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0" customHeight="1">
      <c r="A40" s="1"/>
      <c r="B40" s="10" t="s">
        <v>46</v>
      </c>
      <c r="C40" s="11"/>
      <c r="D40" s="11"/>
      <c r="E40" s="11"/>
      <c r="F40" s="11"/>
      <c r="G40" s="11"/>
      <c r="H40" s="9"/>
      <c r="I40" s="9"/>
      <c r="J40" s="9"/>
      <c r="K40" s="9"/>
      <c r="L40" s="9"/>
      <c r="M40" s="9"/>
      <c r="N40" s="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8.0" customHeight="1">
      <c r="A41" s="1"/>
      <c r="B41" s="13" t="s">
        <v>47</v>
      </c>
      <c r="C41" s="20"/>
      <c r="D41" s="20"/>
      <c r="E41" s="20"/>
      <c r="F41" s="20"/>
      <c r="G41" s="29">
        <v>0.015</v>
      </c>
      <c r="H41" s="30"/>
      <c r="I41" s="1"/>
      <c r="J41" s="1"/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0" customHeight="1">
      <c r="A42" s="1"/>
      <c r="B42" s="19" t="s">
        <v>48</v>
      </c>
      <c r="C42" s="20"/>
      <c r="D42" s="20"/>
      <c r="E42" s="20"/>
      <c r="F42" s="20"/>
      <c r="G42" s="29">
        <f>WACC!J46</f>
        <v>0.08397700857</v>
      </c>
      <c r="H42" s="1"/>
      <c r="I42" s="1"/>
      <c r="J42" s="1"/>
      <c r="K42" s="1"/>
      <c r="L42" s="1"/>
      <c r="M42" s="1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0" customHeight="1">
      <c r="A43" s="1"/>
      <c r="B43" s="13" t="s">
        <v>49</v>
      </c>
      <c r="C43" s="14"/>
      <c r="D43" s="14"/>
      <c r="E43" s="14"/>
      <c r="F43" s="14"/>
      <c r="G43" s="14">
        <f>N35*(1+G41)</f>
        <v>1246.381562</v>
      </c>
      <c r="H43" s="1"/>
      <c r="I43" s="1"/>
      <c r="J43" s="1"/>
      <c r="K43" s="1"/>
      <c r="L43" s="1"/>
      <c r="M43" s="1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0" customHeight="1">
      <c r="A44" s="1"/>
      <c r="B44" s="15" t="s">
        <v>50</v>
      </c>
      <c r="C44" s="16"/>
      <c r="D44" s="16"/>
      <c r="E44" s="16"/>
      <c r="F44" s="16"/>
      <c r="G44" s="16">
        <f>G43/(G42-G41)</f>
        <v>18069.52183</v>
      </c>
      <c r="H44" s="1"/>
      <c r="I44" s="1"/>
      <c r="J44" s="1"/>
      <c r="K44" s="1"/>
      <c r="L44" s="1"/>
      <c r="M44" s="1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1"/>
      <c r="B45" s="17"/>
      <c r="C45" s="17"/>
      <c r="D45" s="17"/>
      <c r="E45" s="17"/>
      <c r="F45" s="17"/>
      <c r="G45" s="17"/>
      <c r="H45" s="1"/>
      <c r="I45" s="1"/>
      <c r="J45" s="1"/>
      <c r="K45" s="1"/>
      <c r="L45" s="1"/>
      <c r="M45" s="1"/>
      <c r="N45" s="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0" customHeight="1">
      <c r="A46" s="1"/>
      <c r="B46" s="10" t="s">
        <v>51</v>
      </c>
      <c r="C46" s="10"/>
      <c r="D46" s="10"/>
      <c r="E46" s="10"/>
      <c r="F46" s="10"/>
      <c r="G46" s="10"/>
      <c r="H46" s="31"/>
      <c r="I46" s="31"/>
      <c r="J46" s="31"/>
      <c r="K46" s="31"/>
      <c r="L46" s="31"/>
      <c r="M46" s="31"/>
      <c r="N46" s="3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0" customHeight="1">
      <c r="A47" s="1"/>
      <c r="B47" s="32" t="s">
        <v>52</v>
      </c>
      <c r="C47" s="33"/>
      <c r="D47" s="33"/>
      <c r="E47" s="33"/>
      <c r="F47" s="33"/>
      <c r="G47" s="33">
        <f>SUM(J38:N38)</f>
        <v>4186.487946</v>
      </c>
      <c r="H47" s="1"/>
      <c r="I47" s="1"/>
      <c r="J47" s="1"/>
      <c r="K47" s="1"/>
      <c r="L47" s="1"/>
      <c r="M47" s="1"/>
      <c r="N47" s="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0" customHeight="1">
      <c r="A48" s="1"/>
      <c r="B48" s="9" t="s">
        <v>53</v>
      </c>
      <c r="C48" s="33"/>
      <c r="D48" s="33"/>
      <c r="E48" s="33"/>
      <c r="F48" s="33"/>
      <c r="G48" s="33">
        <f>G44/(1+G42)^(N36+1)</f>
        <v>12570.60968</v>
      </c>
      <c r="H48" s="1"/>
      <c r="I48" s="1"/>
      <c r="J48" s="1"/>
      <c r="K48" s="1"/>
      <c r="L48" s="1"/>
      <c r="M48" s="1"/>
      <c r="N48" s="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0" customHeight="1">
      <c r="A49" s="1"/>
      <c r="B49" s="15" t="s">
        <v>54</v>
      </c>
      <c r="C49" s="34"/>
      <c r="D49" s="34"/>
      <c r="E49" s="34"/>
      <c r="F49" s="34"/>
      <c r="G49" s="34">
        <f>G47+G48</f>
        <v>16757.09762</v>
      </c>
      <c r="H49" s="1"/>
      <c r="I49" s="1"/>
      <c r="J49" s="1"/>
      <c r="K49" s="1"/>
      <c r="L49" s="1"/>
      <c r="M49" s="1"/>
      <c r="N49" s="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1"/>
      <c r="B50" s="35" t="s">
        <v>55</v>
      </c>
      <c r="C50" s="14"/>
      <c r="D50" s="14"/>
      <c r="E50" s="14"/>
      <c r="F50" s="14"/>
      <c r="G50" s="14">
        <v>-8070.0</v>
      </c>
      <c r="H50" s="30"/>
      <c r="I50" s="1"/>
      <c r="J50" s="1"/>
      <c r="K50" s="1"/>
      <c r="L50" s="1"/>
      <c r="M50" s="1"/>
      <c r="N50" s="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0" customHeight="1">
      <c r="A51" s="1"/>
      <c r="B51" s="15" t="s">
        <v>56</v>
      </c>
      <c r="C51" s="34"/>
      <c r="D51" s="34"/>
      <c r="E51" s="34"/>
      <c r="F51" s="34"/>
      <c r="G51" s="34">
        <f>G49+G50</f>
        <v>8687.097621</v>
      </c>
      <c r="H51" s="1"/>
      <c r="I51" s="1"/>
      <c r="J51" s="1"/>
      <c r="K51" s="1"/>
      <c r="L51" s="1"/>
      <c r="M51" s="1"/>
      <c r="N51" s="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1"/>
      <c r="B52" s="19" t="s">
        <v>57</v>
      </c>
      <c r="C52" s="14"/>
      <c r="D52" s="14"/>
      <c r="E52" s="14"/>
      <c r="F52" s="14"/>
      <c r="G52" s="14">
        <v>260316.0</v>
      </c>
      <c r="H52" s="30"/>
      <c r="I52" s="1"/>
      <c r="J52" s="1"/>
      <c r="K52" s="1"/>
      <c r="L52" s="1"/>
      <c r="M52" s="1"/>
      <c r="N52" s="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0" customHeight="1">
      <c r="A53" s="1"/>
      <c r="B53" s="15" t="s">
        <v>58</v>
      </c>
      <c r="C53" s="36"/>
      <c r="D53" s="36"/>
      <c r="E53" s="36"/>
      <c r="F53" s="36"/>
      <c r="G53" s="36">
        <f>G51*1000/G52</f>
        <v>33.3713549</v>
      </c>
      <c r="H53" s="1"/>
      <c r="I53" s="1"/>
      <c r="J53" s="1"/>
      <c r="K53" s="1"/>
      <c r="L53" s="1"/>
      <c r="M53" s="1"/>
      <c r="N53" s="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0" customHeight="1">
      <c r="A54" s="1"/>
      <c r="B54" s="19" t="s">
        <v>59</v>
      </c>
      <c r="C54" s="37"/>
      <c r="D54" s="37"/>
      <c r="E54" s="37"/>
      <c r="F54" s="37"/>
      <c r="G54" s="37">
        <v>14.0</v>
      </c>
      <c r="H54" s="1"/>
      <c r="I54" s="1"/>
      <c r="J54" s="1"/>
      <c r="K54" s="1"/>
      <c r="L54" s="1"/>
      <c r="M54" s="1"/>
      <c r="N54" s="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1"/>
      <c r="B55" s="13" t="s">
        <v>60</v>
      </c>
      <c r="C55" s="20"/>
      <c r="D55" s="20"/>
      <c r="E55" s="20"/>
      <c r="F55" s="20"/>
      <c r="G55" s="20">
        <f>G54/G53-1</f>
        <v>-0.5804785259</v>
      </c>
      <c r="H55" s="30"/>
      <c r="I55" s="1"/>
      <c r="J55" s="1"/>
      <c r="K55" s="1"/>
      <c r="L55" s="1"/>
      <c r="M55" s="1"/>
      <c r="N55" s="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0" customHeight="1">
      <c r="A57" s="1"/>
      <c r="B57" s="38" t="s">
        <v>61</v>
      </c>
      <c r="D57" s="39" t="s">
        <v>62</v>
      </c>
      <c r="E57" s="40"/>
      <c r="F57" s="40"/>
      <c r="G57" s="40"/>
      <c r="H57" s="40"/>
      <c r="I57" s="9"/>
      <c r="J57" s="9"/>
      <c r="K57" s="9"/>
      <c r="L57" s="9"/>
      <c r="M57" s="9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0" customHeight="1">
      <c r="A58" s="1"/>
      <c r="D58" s="41">
        <v>0.075</v>
      </c>
      <c r="E58" s="42">
        <v>0.08</v>
      </c>
      <c r="F58" s="42">
        <v>0.084</v>
      </c>
      <c r="G58" s="42">
        <v>0.09</v>
      </c>
      <c r="H58" s="42">
        <v>0.095</v>
      </c>
      <c r="I58" s="30"/>
      <c r="J58" s="30"/>
      <c r="K58" s="30"/>
      <c r="L58" s="30"/>
      <c r="M58" s="30"/>
      <c r="N58" s="3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0" customHeight="1">
      <c r="A59" s="1"/>
      <c r="B59" s="43" t="s">
        <v>63</v>
      </c>
      <c r="C59" s="44">
        <v>0.01</v>
      </c>
      <c r="D59" s="45">
        <v>38.27</v>
      </c>
      <c r="E59" s="46">
        <v>33.33</v>
      </c>
      <c r="F59" s="47">
        <v>29.89</v>
      </c>
      <c r="G59" s="48">
        <v>25.32</v>
      </c>
      <c r="H59" s="49">
        <v>22.0</v>
      </c>
      <c r="I59" s="1"/>
      <c r="J59" s="1"/>
      <c r="K59" s="1"/>
      <c r="L59" s="1"/>
      <c r="M59" s="1"/>
      <c r="N59" s="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1"/>
      <c r="B60" s="50"/>
      <c r="C60" s="44">
        <v>0.0125</v>
      </c>
      <c r="D60" s="51">
        <v>40.53</v>
      </c>
      <c r="E60" s="52">
        <v>35.24</v>
      </c>
      <c r="F60" s="53">
        <v>31.57</v>
      </c>
      <c r="G60" s="54">
        <v>26.73</v>
      </c>
      <c r="H60" s="55">
        <v>23.26</v>
      </c>
      <c r="I60" s="1"/>
      <c r="J60" s="1"/>
      <c r="K60" s="1"/>
      <c r="L60" s="1"/>
      <c r="M60" s="1"/>
      <c r="N60" s="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0" customHeight="1">
      <c r="A61" s="1"/>
      <c r="B61" s="50"/>
      <c r="C61" s="44">
        <v>0.015</v>
      </c>
      <c r="D61" s="56">
        <v>42.97</v>
      </c>
      <c r="E61" s="57">
        <v>37.29</v>
      </c>
      <c r="F61" s="58">
        <v>33.37</v>
      </c>
      <c r="G61" s="59">
        <v>28.23</v>
      </c>
      <c r="H61" s="60">
        <v>24.56</v>
      </c>
      <c r="I61" s="61"/>
      <c r="J61" s="61"/>
      <c r="K61" s="61"/>
      <c r="L61" s="61"/>
      <c r="M61" s="61"/>
      <c r="N61" s="6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1"/>
      <c r="B62" s="50"/>
      <c r="C62" s="44">
        <v>0.0175</v>
      </c>
      <c r="D62" s="62">
        <v>45.62</v>
      </c>
      <c r="E62" s="63">
        <v>39.51</v>
      </c>
      <c r="F62" s="64">
        <v>35.31</v>
      </c>
      <c r="G62" s="65">
        <v>29.84</v>
      </c>
      <c r="H62" s="66">
        <v>25.94</v>
      </c>
      <c r="I62" s="1"/>
      <c r="J62" s="1"/>
      <c r="K62" s="1"/>
      <c r="L62" s="1"/>
      <c r="M62" s="1"/>
      <c r="N62" s="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0" customHeight="1">
      <c r="A63" s="1"/>
      <c r="B63" s="67"/>
      <c r="C63" s="44">
        <v>0.02</v>
      </c>
      <c r="D63" s="68">
        <v>48.52</v>
      </c>
      <c r="E63" s="69">
        <v>41.91</v>
      </c>
      <c r="F63" s="70">
        <v>37.4</v>
      </c>
      <c r="G63" s="71">
        <v>31.55</v>
      </c>
      <c r="H63" s="72">
        <v>27.42</v>
      </c>
      <c r="I63" s="9"/>
      <c r="J63" s="9"/>
      <c r="K63" s="9"/>
      <c r="L63" s="9"/>
      <c r="M63" s="9"/>
      <c r="N63" s="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0" customHeight="1">
      <c r="A64" s="1"/>
      <c r="B64" s="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0" customHeight="1">
      <c r="A65" s="1"/>
      <c r="B65" s="12"/>
      <c r="C65" s="20"/>
      <c r="D65" s="20"/>
      <c r="E65" s="20"/>
      <c r="F65" s="20"/>
      <c r="G65" s="73" t="s">
        <v>64</v>
      </c>
      <c r="H65" s="74"/>
      <c r="I65" s="74"/>
      <c r="J65" s="74"/>
      <c r="K65" s="75"/>
      <c r="L65" s="20"/>
      <c r="M65" s="20"/>
      <c r="N65" s="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0" customHeight="1">
      <c r="A66" s="1"/>
      <c r="B66" s="20"/>
      <c r="C66" s="37"/>
      <c r="D66" s="37"/>
      <c r="E66" s="37"/>
      <c r="F66" s="37"/>
      <c r="G66" s="76"/>
      <c r="K66" s="77"/>
      <c r="L66" s="20"/>
      <c r="M66" s="20"/>
      <c r="N66" s="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0" customHeight="1">
      <c r="A67" s="1"/>
      <c r="B67" s="20"/>
      <c r="C67" s="37"/>
      <c r="D67" s="37"/>
      <c r="E67" s="37"/>
      <c r="F67" s="37"/>
      <c r="G67" s="76"/>
      <c r="K67" s="77"/>
      <c r="L67" s="20"/>
      <c r="M67" s="20"/>
      <c r="N67" s="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0" customHeight="1">
      <c r="A68" s="1"/>
      <c r="B68" s="20"/>
      <c r="C68" s="37"/>
      <c r="D68" s="37"/>
      <c r="E68" s="37"/>
      <c r="F68" s="37"/>
      <c r="G68" s="76"/>
      <c r="K68" s="77"/>
      <c r="L68" s="20"/>
      <c r="M68" s="20"/>
      <c r="N68" s="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0" customHeight="1">
      <c r="A69" s="1"/>
      <c r="B69" s="20"/>
      <c r="C69" s="37"/>
      <c r="D69" s="37"/>
      <c r="E69" s="37"/>
      <c r="F69" s="37"/>
      <c r="G69" s="78"/>
      <c r="H69" s="79"/>
      <c r="I69" s="79"/>
      <c r="J69" s="79"/>
      <c r="K69" s="80"/>
      <c r="L69" s="1"/>
      <c r="M69" s="1"/>
      <c r="N69" s="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0" customHeight="1">
      <c r="A70" s="1"/>
      <c r="B70" s="20"/>
      <c r="C70" s="37"/>
      <c r="D70" s="37"/>
      <c r="E70" s="37"/>
      <c r="F70" s="37"/>
      <c r="G70" s="37"/>
      <c r="H70" s="37"/>
      <c r="I70" s="37"/>
      <c r="J70" s="37"/>
      <c r="K70" s="37"/>
      <c r="L70" s="1"/>
      <c r="M70" s="1"/>
      <c r="N70" s="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0" customHeight="1">
      <c r="A72" s="1"/>
      <c r="B72" s="30"/>
      <c r="C72" s="30"/>
      <c r="D72" s="30"/>
      <c r="E72" s="30"/>
      <c r="F72" s="30"/>
      <c r="L72" s="30"/>
      <c r="M72" s="30"/>
      <c r="N72" s="30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1"/>
      <c r="B73" s="1"/>
      <c r="C73" s="1"/>
      <c r="D73" s="1"/>
      <c r="E73" s="1"/>
      <c r="F73" s="1"/>
      <c r="L73" s="1"/>
      <c r="M73" s="1"/>
      <c r="N73" s="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0" customHeight="1">
      <c r="A74" s="1"/>
      <c r="B74" s="9"/>
      <c r="C74" s="9"/>
      <c r="D74" s="9"/>
      <c r="E74" s="9"/>
      <c r="F74" s="9"/>
      <c r="L74" s="9"/>
      <c r="M74" s="9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0" customHeight="1">
      <c r="A75" s="1"/>
      <c r="B75" s="13"/>
      <c r="C75" s="20"/>
      <c r="D75" s="20"/>
      <c r="E75" s="20"/>
      <c r="F75" s="20"/>
      <c r="L75" s="1"/>
      <c r="M75" s="1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0" customHeight="1">
      <c r="A76" s="1"/>
      <c r="B76" s="13"/>
      <c r="C76" s="20"/>
      <c r="D76" s="20"/>
      <c r="E76" s="20"/>
      <c r="F76" s="20"/>
      <c r="L76" s="1"/>
      <c r="M76" s="1"/>
      <c r="N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0" customHeight="1">
      <c r="A77" s="1"/>
      <c r="B77" s="13"/>
      <c r="C77" s="14"/>
      <c r="D77" s="14"/>
      <c r="E77" s="14"/>
      <c r="F77" s="14"/>
      <c r="G77" s="14"/>
      <c r="H77" s="81"/>
      <c r="I77" s="1"/>
      <c r="J77" s="1"/>
      <c r="K77" s="1"/>
      <c r="L77" s="1"/>
      <c r="M77" s="1"/>
      <c r="N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0" customHeight="1">
      <c r="A78" s="1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1"/>
      <c r="B79" s="1"/>
      <c r="C79" s="1"/>
      <c r="D79" s="1"/>
      <c r="E79" s="1"/>
      <c r="F79" s="1"/>
      <c r="G79" s="83"/>
      <c r="H79" s="1"/>
      <c r="I79" s="1"/>
      <c r="J79" s="1"/>
      <c r="K79" s="1"/>
      <c r="L79" s="1"/>
      <c r="M79" s="1"/>
      <c r="N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1"/>
      <c r="B89" s="84"/>
      <c r="C89" s="85" t="s">
        <v>65</v>
      </c>
      <c r="D89" s="85" t="s">
        <v>66</v>
      </c>
      <c r="E89" s="86" t="s">
        <v>67</v>
      </c>
      <c r="F89" s="85" t="s">
        <v>68</v>
      </c>
      <c r="G89" s="1"/>
      <c r="H89" s="1"/>
      <c r="I89" s="1"/>
      <c r="J89" s="1"/>
      <c r="K89" s="1"/>
      <c r="L89" s="1"/>
      <c r="M89" s="1"/>
      <c r="N89" s="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1"/>
      <c r="B90" s="84" t="s">
        <v>69</v>
      </c>
      <c r="C90" s="87">
        <f>'Comps Analysis'!M21</f>
        <v>26.52160357</v>
      </c>
      <c r="D90" s="87">
        <v>26.521603572201844</v>
      </c>
      <c r="E90" s="87">
        <f>'Comps Analysis'!L21</f>
        <v>49.41997693</v>
      </c>
      <c r="F90" s="87">
        <v>49.419976929455316</v>
      </c>
      <c r="G90" s="1"/>
      <c r="H90" s="1"/>
      <c r="I90" s="1"/>
      <c r="J90" s="1"/>
      <c r="K90" s="1"/>
      <c r="L90" s="1"/>
      <c r="M90" s="1"/>
      <c r="N90" s="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1"/>
      <c r="B91" s="84" t="s">
        <v>70</v>
      </c>
      <c r="C91" s="87">
        <f>H59</f>
        <v>22</v>
      </c>
      <c r="D91" s="87">
        <v>22.0</v>
      </c>
      <c r="E91" s="87">
        <f>H63</f>
        <v>27.42</v>
      </c>
      <c r="F91" s="87">
        <v>27.42</v>
      </c>
      <c r="G91" s="1"/>
      <c r="H91" s="1"/>
      <c r="I91" s="1"/>
      <c r="J91" s="1"/>
      <c r="K91" s="1"/>
      <c r="L91" s="1"/>
      <c r="M91" s="1"/>
      <c r="N91" s="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1"/>
      <c r="B92" s="84" t="s">
        <v>71</v>
      </c>
      <c r="C92" s="87">
        <f>F59</f>
        <v>29.89</v>
      </c>
      <c r="D92" s="87">
        <v>29.89</v>
      </c>
      <c r="E92" s="87">
        <f>F63</f>
        <v>37.4</v>
      </c>
      <c r="F92" s="87">
        <v>37.4</v>
      </c>
      <c r="G92" s="1"/>
      <c r="H92" s="1"/>
      <c r="I92" s="1"/>
      <c r="J92" s="1"/>
      <c r="K92" s="1"/>
      <c r="L92" s="1"/>
      <c r="M92" s="1"/>
      <c r="N92" s="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1"/>
      <c r="B93" s="84" t="s">
        <v>72</v>
      </c>
      <c r="C93" s="87">
        <f>D59</f>
        <v>38.27</v>
      </c>
      <c r="D93" s="87">
        <v>38.27</v>
      </c>
      <c r="E93" s="87">
        <f>D63</f>
        <v>48.52</v>
      </c>
      <c r="F93" s="87">
        <v>48.52</v>
      </c>
      <c r="G93" s="1"/>
      <c r="H93" s="1"/>
      <c r="I93" s="1"/>
      <c r="J93" s="1"/>
      <c r="K93" s="1"/>
      <c r="L93" s="1"/>
      <c r="M93" s="1"/>
      <c r="N93" s="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1"/>
      <c r="B94" s="84" t="s">
        <v>73</v>
      </c>
      <c r="C94" s="88">
        <v>5.7</v>
      </c>
      <c r="D94" s="88">
        <v>5.7</v>
      </c>
      <c r="E94" s="88">
        <v>13.16</v>
      </c>
      <c r="F94" s="88">
        <v>13.16</v>
      </c>
      <c r="G94" s="1"/>
      <c r="H94" s="1"/>
      <c r="I94" s="1"/>
      <c r="J94" s="1"/>
      <c r="K94" s="1"/>
      <c r="L94" s="1"/>
      <c r="M94" s="1"/>
      <c r="N94" s="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</sheetData>
  <mergeCells count="9">
    <mergeCell ref="B1:N1"/>
    <mergeCell ref="B2:N2"/>
    <mergeCell ref="G3:H3"/>
    <mergeCell ref="J3:K3"/>
    <mergeCell ref="M3:N3"/>
    <mergeCell ref="D57:H57"/>
    <mergeCell ref="B57:C58"/>
    <mergeCell ref="B59:B63"/>
    <mergeCell ref="G65:K69"/>
  </mergeCells>
  <conditionalFormatting sqref="D59:H63">
    <cfRule type="colorScale" priority="1">
      <colorScale>
        <cfvo type="min"/>
        <cfvo type="max"/>
        <color rgb="FFCFE2F3"/>
        <color rgb="FF1C4587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0"/>
    <col customWidth="1" min="2" max="2" width="44.0"/>
    <col customWidth="1" min="3" max="3" width="21.71"/>
    <col customWidth="1" min="4" max="5" width="14.43"/>
    <col customWidth="1" min="6" max="6" width="20.43"/>
    <col customWidth="1" min="7" max="8" width="14.43"/>
    <col customWidth="1" min="9" max="9" width="23.29"/>
    <col customWidth="1" min="10" max="10" width="20.14"/>
    <col customWidth="1" min="11" max="11" width="20.57"/>
    <col customWidth="1" min="12" max="12" width="16.86"/>
    <col customWidth="1" min="13" max="26" width="8.71"/>
  </cols>
  <sheetData>
    <row r="1" ht="15.0" customHeight="1">
      <c r="A1" s="89"/>
      <c r="B1" s="90" t="s">
        <v>74</v>
      </c>
      <c r="C1" s="91"/>
      <c r="D1" s="91"/>
      <c r="E1" s="91"/>
      <c r="F1" s="91"/>
      <c r="G1" s="91"/>
      <c r="H1" s="92"/>
    </row>
    <row r="2" ht="15.0" customHeight="1">
      <c r="A2" s="89"/>
      <c r="B2" s="9"/>
      <c r="C2" s="9"/>
      <c r="D2" s="9"/>
      <c r="E2" s="9"/>
      <c r="F2" s="9"/>
      <c r="G2" s="9"/>
      <c r="H2" s="9"/>
    </row>
    <row r="3" ht="15.0" customHeight="1">
      <c r="A3" s="89"/>
      <c r="B3" s="10" t="s">
        <v>75</v>
      </c>
      <c r="C3" s="11"/>
      <c r="D3" s="9"/>
      <c r="E3" s="9"/>
      <c r="F3" s="9"/>
      <c r="G3" s="9"/>
      <c r="H3" s="9"/>
    </row>
    <row r="4" ht="15.0" customHeight="1">
      <c r="A4" s="89"/>
      <c r="B4" s="12" t="s">
        <v>76</v>
      </c>
      <c r="C4" s="12" t="s">
        <v>77</v>
      </c>
      <c r="D4" s="12"/>
      <c r="E4" s="12"/>
      <c r="F4" s="12"/>
      <c r="G4" s="89"/>
      <c r="H4" s="89"/>
      <c r="I4" s="89"/>
    </row>
    <row r="5" ht="15.0" customHeight="1">
      <c r="A5" s="89"/>
      <c r="B5" s="13" t="s">
        <v>78</v>
      </c>
      <c r="C5" s="93">
        <v>2250.0</v>
      </c>
      <c r="D5" s="13"/>
      <c r="E5" s="13"/>
      <c r="F5" s="93"/>
      <c r="G5" s="89"/>
      <c r="H5" s="89"/>
      <c r="I5" s="89"/>
    </row>
    <row r="6" ht="15.0" customHeight="1">
      <c r="A6" s="89"/>
      <c r="B6" s="13" t="s">
        <v>79</v>
      </c>
      <c r="C6" s="93">
        <v>9500.0</v>
      </c>
      <c r="D6" s="13"/>
      <c r="E6" s="13"/>
      <c r="F6" s="93"/>
      <c r="G6" s="89"/>
      <c r="H6" s="89"/>
      <c r="I6" s="89"/>
    </row>
    <row r="7" ht="15.0" customHeight="1">
      <c r="A7" s="89"/>
      <c r="B7" s="15" t="s">
        <v>80</v>
      </c>
      <c r="C7" s="16">
        <f>C5+C6</f>
        <v>11750</v>
      </c>
      <c r="D7" s="13"/>
      <c r="E7" s="13"/>
      <c r="F7" s="93"/>
      <c r="G7" s="89"/>
      <c r="H7" s="89"/>
      <c r="I7" s="89"/>
    </row>
    <row r="8" ht="15.0" customHeight="1">
      <c r="A8" s="89"/>
      <c r="B8" s="94"/>
      <c r="C8" s="95"/>
      <c r="D8" s="13"/>
      <c r="E8" s="13"/>
      <c r="F8" s="93"/>
      <c r="G8" s="89"/>
      <c r="H8" s="89"/>
      <c r="I8" s="89"/>
    </row>
    <row r="9" ht="15.0" customHeight="1">
      <c r="A9" s="89"/>
      <c r="B9" s="96" t="s">
        <v>81</v>
      </c>
      <c r="C9" s="96" t="s">
        <v>77</v>
      </c>
      <c r="D9" s="13"/>
      <c r="E9" s="13"/>
      <c r="F9" s="93"/>
      <c r="G9" s="89"/>
      <c r="H9" s="89"/>
      <c r="I9" s="89"/>
    </row>
    <row r="10" ht="15.0" customHeight="1">
      <c r="A10" s="89"/>
      <c r="B10" s="97" t="s">
        <v>82</v>
      </c>
      <c r="C10" s="98">
        <v>3150.0</v>
      </c>
      <c r="D10" s="13"/>
      <c r="E10" s="13"/>
      <c r="F10" s="93"/>
      <c r="G10" s="89"/>
      <c r="H10" s="89"/>
      <c r="I10" s="89"/>
    </row>
    <row r="11" ht="15.0" customHeight="1">
      <c r="A11" s="89"/>
      <c r="B11" s="97" t="s">
        <v>83</v>
      </c>
      <c r="C11" s="98">
        <v>8070.0</v>
      </c>
      <c r="D11" s="13"/>
      <c r="E11" s="13"/>
      <c r="F11" s="93"/>
      <c r="G11" s="89"/>
      <c r="H11" s="89"/>
      <c r="I11" s="89"/>
    </row>
    <row r="12" ht="15.0" customHeight="1">
      <c r="A12" s="89"/>
      <c r="B12" s="97" t="s">
        <v>84</v>
      </c>
      <c r="C12" s="98">
        <v>130.0</v>
      </c>
      <c r="D12" s="13"/>
      <c r="E12" s="13"/>
      <c r="F12" s="93"/>
      <c r="G12" s="89"/>
      <c r="H12" s="89"/>
      <c r="I12" s="89"/>
    </row>
    <row r="13" ht="15.0" customHeight="1">
      <c r="A13" s="89"/>
      <c r="B13" s="97" t="s">
        <v>85</v>
      </c>
      <c r="C13" s="98">
        <v>400.0</v>
      </c>
      <c r="D13" s="13"/>
      <c r="E13" s="13"/>
      <c r="F13" s="93"/>
      <c r="G13" s="89"/>
      <c r="H13" s="89"/>
      <c r="I13" s="89"/>
    </row>
    <row r="14" ht="15.0" customHeight="1">
      <c r="A14" s="89"/>
      <c r="B14" s="99" t="s">
        <v>86</v>
      </c>
      <c r="C14" s="100">
        <f>C10+C11+C12+C13</f>
        <v>11750</v>
      </c>
      <c r="D14" s="13"/>
      <c r="E14" s="13"/>
      <c r="F14" s="93"/>
      <c r="G14" s="89"/>
      <c r="H14" s="89"/>
      <c r="I14" s="89"/>
    </row>
    <row r="15" ht="15.0" customHeight="1">
      <c r="A15" s="89"/>
      <c r="B15" s="94"/>
      <c r="C15" s="95"/>
      <c r="D15" s="13"/>
      <c r="E15" s="13"/>
      <c r="F15" s="93"/>
      <c r="G15" s="89"/>
      <c r="H15" s="89"/>
      <c r="I15" s="89"/>
    </row>
    <row r="16" ht="15.0" customHeight="1">
      <c r="A16" s="89"/>
      <c r="B16" s="13"/>
      <c r="C16" s="89"/>
      <c r="D16" s="9"/>
      <c r="E16" s="9"/>
      <c r="F16" s="33"/>
      <c r="G16" s="89"/>
      <c r="H16" s="89"/>
      <c r="I16" s="89"/>
    </row>
    <row r="17">
      <c r="A17" s="89"/>
      <c r="B17" s="89"/>
      <c r="C17" s="89"/>
      <c r="D17" s="89"/>
      <c r="E17" s="89"/>
      <c r="F17" s="89"/>
      <c r="G17" s="89"/>
      <c r="H17" s="89"/>
    </row>
    <row r="18" ht="15.0" customHeight="1">
      <c r="A18" s="89"/>
      <c r="B18" s="101" t="s">
        <v>87</v>
      </c>
      <c r="C18" s="102"/>
      <c r="D18" s="11"/>
      <c r="E18" s="11"/>
      <c r="F18" s="11"/>
      <c r="G18" s="11"/>
      <c r="H18" s="11"/>
    </row>
    <row r="19" ht="15.75" customHeight="1">
      <c r="A19" s="89"/>
      <c r="B19" s="12"/>
      <c r="C19" s="103"/>
      <c r="D19" s="104"/>
      <c r="E19" s="12"/>
      <c r="F19" s="104"/>
      <c r="G19" s="12"/>
      <c r="H19" s="105"/>
    </row>
    <row r="20" ht="15.75" customHeight="1">
      <c r="A20" s="89"/>
      <c r="B20" s="106" t="s">
        <v>88</v>
      </c>
      <c r="C20" s="107" t="s">
        <v>89</v>
      </c>
      <c r="D20" s="108" t="s">
        <v>90</v>
      </c>
      <c r="E20" s="109" t="s">
        <v>91</v>
      </c>
      <c r="F20" s="108" t="s">
        <v>92</v>
      </c>
      <c r="G20" s="109" t="s">
        <v>93</v>
      </c>
      <c r="H20" s="105"/>
    </row>
    <row r="21" ht="15.75" customHeight="1">
      <c r="A21" s="89"/>
      <c r="B21" s="110" t="s">
        <v>94</v>
      </c>
      <c r="C21" s="93">
        <v>9500.0</v>
      </c>
      <c r="D21" s="111">
        <v>0.0875</v>
      </c>
      <c r="E21" s="14">
        <f t="shared" ref="E21:E22" si="1">C21*D21</f>
        <v>831.25</v>
      </c>
      <c r="F21" s="111">
        <v>0.06</v>
      </c>
      <c r="G21" s="14">
        <f t="shared" ref="G21:G22" si="2">C21*F21</f>
        <v>570</v>
      </c>
      <c r="H21" s="105"/>
      <c r="I21" s="112" t="s">
        <v>95</v>
      </c>
      <c r="L21" s="113"/>
      <c r="M21" s="113"/>
      <c r="N21" s="113"/>
    </row>
    <row r="22" ht="15.75" customHeight="1">
      <c r="A22" s="89"/>
      <c r="B22" s="110" t="s">
        <v>96</v>
      </c>
      <c r="C22" s="93">
        <v>700.0</v>
      </c>
      <c r="D22" s="111">
        <v>0.07</v>
      </c>
      <c r="E22" s="14">
        <f t="shared" si="1"/>
        <v>49</v>
      </c>
      <c r="F22" s="111">
        <v>0.07</v>
      </c>
      <c r="G22" s="14">
        <f t="shared" si="2"/>
        <v>49</v>
      </c>
      <c r="H22" s="105"/>
      <c r="L22" s="113"/>
      <c r="M22" s="113"/>
      <c r="N22" s="113"/>
    </row>
    <row r="23" ht="15.75" customHeight="1">
      <c r="A23" s="89"/>
      <c r="B23" s="114" t="s">
        <v>97</v>
      </c>
      <c r="C23" s="89"/>
      <c r="D23" s="89"/>
      <c r="E23" s="33">
        <f>SUM(E21,E22)</f>
        <v>880.25</v>
      </c>
      <c r="F23" s="89"/>
      <c r="G23" s="33">
        <f>SUM(G21,G22)</f>
        <v>619</v>
      </c>
      <c r="H23" s="105"/>
      <c r="L23" s="113"/>
      <c r="M23" s="113"/>
      <c r="N23" s="113"/>
    </row>
    <row r="24">
      <c r="A24" s="89"/>
      <c r="B24" s="89"/>
      <c r="C24" s="89"/>
      <c r="D24" s="89"/>
      <c r="E24" s="89"/>
      <c r="F24" s="89"/>
      <c r="G24" s="89"/>
      <c r="H24" s="89"/>
    </row>
    <row r="25" ht="15.0" customHeight="1">
      <c r="A25" s="89"/>
      <c r="B25" s="115" t="s">
        <v>98</v>
      </c>
      <c r="C25" s="102"/>
      <c r="D25" s="11"/>
      <c r="E25" s="11"/>
      <c r="F25" s="11"/>
      <c r="G25" s="11"/>
      <c r="H25" s="11"/>
    </row>
    <row r="26" ht="15.75" customHeight="1">
      <c r="A26" s="89"/>
      <c r="B26" s="12"/>
      <c r="C26" s="116"/>
      <c r="D26" s="117"/>
      <c r="E26" s="117"/>
      <c r="F26" s="118"/>
      <c r="G26" s="117"/>
      <c r="H26" s="117"/>
      <c r="I26" s="117"/>
    </row>
    <row r="27" ht="15.75" customHeight="1">
      <c r="A27" s="89"/>
      <c r="B27" s="109" t="s">
        <v>99</v>
      </c>
      <c r="C27" s="119" t="s">
        <v>100</v>
      </c>
      <c r="D27" s="119" t="s">
        <v>101</v>
      </c>
      <c r="E27" s="119" t="s">
        <v>102</v>
      </c>
      <c r="F27" s="119" t="s">
        <v>103</v>
      </c>
      <c r="G27" s="119" t="s">
        <v>104</v>
      </c>
      <c r="H27" s="119" t="s">
        <v>105</v>
      </c>
      <c r="I27" s="117" t="s">
        <v>106</v>
      </c>
    </row>
    <row r="28" ht="15.75" customHeight="1">
      <c r="A28" s="89"/>
      <c r="B28" s="13" t="s">
        <v>107</v>
      </c>
      <c r="C28" s="120">
        <v>0.005</v>
      </c>
      <c r="D28" s="121">
        <f>C28*'Historical Data'!$E$10</f>
        <v>14.515</v>
      </c>
      <c r="E28" s="120">
        <v>0.015</v>
      </c>
      <c r="F28" s="121">
        <f>E28*'Historical Data'!$E$10</f>
        <v>43.545</v>
      </c>
      <c r="G28" s="120">
        <v>0.03</v>
      </c>
      <c r="H28" s="121">
        <f>G28*'Historical Data'!$E$10</f>
        <v>87.09</v>
      </c>
      <c r="I28" s="122" t="s">
        <v>108</v>
      </c>
    </row>
    <row r="29" ht="15.75" customHeight="1">
      <c r="A29" s="89"/>
      <c r="B29" s="13" t="s">
        <v>109</v>
      </c>
      <c r="C29" s="120">
        <v>0.02</v>
      </c>
      <c r="D29" s="121">
        <f>C29*'Historical Data'!$E$13</f>
        <v>34.42</v>
      </c>
      <c r="E29" s="120">
        <v>0.05</v>
      </c>
      <c r="F29" s="121">
        <f>E29*'Historical Data'!$E$13</f>
        <v>86.05</v>
      </c>
      <c r="G29" s="120">
        <v>0.08</v>
      </c>
      <c r="H29" s="121">
        <f>G29*'Historical Data'!$E$13</f>
        <v>137.68</v>
      </c>
      <c r="I29" s="122" t="s">
        <v>110</v>
      </c>
    </row>
    <row r="30" ht="15.75" customHeight="1">
      <c r="A30" s="89"/>
      <c r="B30" s="13" t="s">
        <v>111</v>
      </c>
      <c r="C30" s="120">
        <v>0.02</v>
      </c>
      <c r="D30" s="121">
        <f>C30*'Historical Data'!$E$14</f>
        <v>7.32</v>
      </c>
      <c r="E30" s="120">
        <v>0.05</v>
      </c>
      <c r="F30" s="121">
        <f>E30*'Historical Data'!$E$14</f>
        <v>18.3</v>
      </c>
      <c r="G30" s="120">
        <v>0.08</v>
      </c>
      <c r="H30" s="121">
        <f>G30*'Historical Data'!$E$14</f>
        <v>29.28</v>
      </c>
      <c r="I30" s="122" t="s">
        <v>112</v>
      </c>
    </row>
    <row r="31" ht="15.75" customHeight="1">
      <c r="A31" s="89"/>
      <c r="B31" s="13" t="s">
        <v>113</v>
      </c>
      <c r="C31" s="120">
        <v>0.005</v>
      </c>
      <c r="D31" s="121">
        <f>C31*'Historical Data'!$E$10</f>
        <v>14.515</v>
      </c>
      <c r="E31" s="120">
        <v>0.01</v>
      </c>
      <c r="F31" s="121">
        <f>E31*'Historical Data'!$E$10</f>
        <v>29.03</v>
      </c>
      <c r="G31" s="120">
        <v>0.02</v>
      </c>
      <c r="H31" s="121">
        <f>G31*'Historical Data'!$E$10</f>
        <v>58.06</v>
      </c>
      <c r="I31" s="122" t="s">
        <v>114</v>
      </c>
    </row>
    <row r="32" ht="15.75" customHeight="1">
      <c r="A32" s="89"/>
      <c r="B32" s="13" t="s">
        <v>115</v>
      </c>
      <c r="C32" s="120">
        <v>0.003</v>
      </c>
      <c r="D32" s="121">
        <f>C32*'Historical Data'!$E$5</f>
        <v>18.648</v>
      </c>
      <c r="E32" s="120">
        <v>0.01</v>
      </c>
      <c r="F32" s="121">
        <f>E32*'Historical Data'!$E$5</f>
        <v>62.16</v>
      </c>
      <c r="G32" s="120">
        <v>0.02</v>
      </c>
      <c r="H32" s="121">
        <f>G32*'Historical Data'!$E$5</f>
        <v>124.32</v>
      </c>
      <c r="I32" s="122" t="s">
        <v>116</v>
      </c>
    </row>
    <row r="33" ht="15.75" customHeight="1">
      <c r="A33" s="89"/>
      <c r="B33" s="123" t="s">
        <v>117</v>
      </c>
      <c r="C33" s="120">
        <v>0.001</v>
      </c>
      <c r="D33" s="121">
        <f>C33*'Historical Data'!$E$5</f>
        <v>6.216</v>
      </c>
      <c r="E33" s="120">
        <v>0.003</v>
      </c>
      <c r="F33" s="121">
        <f>E33*'Historical Data'!$E$5</f>
        <v>18.648</v>
      </c>
      <c r="G33" s="120">
        <v>0.008</v>
      </c>
      <c r="H33" s="121">
        <f>G33*'Historical Data'!$E$5</f>
        <v>49.728</v>
      </c>
      <c r="I33" s="122" t="s">
        <v>118</v>
      </c>
    </row>
    <row r="34" ht="15.75" customHeight="1">
      <c r="A34" s="89"/>
      <c r="B34" s="32" t="s">
        <v>119</v>
      </c>
      <c r="C34" s="16"/>
      <c r="D34" s="16">
        <f>SUM(D28:D33)</f>
        <v>95.634</v>
      </c>
      <c r="E34" s="16"/>
      <c r="F34" s="16">
        <f>SUM(F28:F33)</f>
        <v>257.733</v>
      </c>
      <c r="G34" s="124"/>
      <c r="H34" s="16">
        <f>SUM(H28:H33)</f>
        <v>486.158</v>
      </c>
      <c r="I34" s="125"/>
    </row>
    <row r="35" ht="15.75" customHeight="1">
      <c r="A35" s="89"/>
      <c r="B35" s="123" t="s">
        <v>120</v>
      </c>
      <c r="D35" s="93">
        <v>-250.0</v>
      </c>
      <c r="F35" s="126">
        <v>-150.0</v>
      </c>
      <c r="H35" s="127">
        <v>0.0</v>
      </c>
      <c r="I35" s="122" t="s">
        <v>121</v>
      </c>
    </row>
    <row r="36" ht="15.75" customHeight="1">
      <c r="A36" s="89"/>
      <c r="B36" s="32" t="s">
        <v>122</v>
      </c>
      <c r="C36" s="16"/>
      <c r="D36" s="128">
        <f>SUM(D34:D35)</f>
        <v>-154.366</v>
      </c>
      <c r="E36" s="129"/>
      <c r="F36" s="128">
        <f>SUM(F34:F35)</f>
        <v>107.733</v>
      </c>
      <c r="G36" s="124"/>
      <c r="H36" s="128">
        <f>SUM(H34:H35)</f>
        <v>486.158</v>
      </c>
      <c r="I36" s="130"/>
      <c r="J36" s="130"/>
    </row>
    <row r="37" ht="15.75" customHeight="1">
      <c r="A37" s="89"/>
      <c r="B37" s="89"/>
      <c r="C37" s="89"/>
      <c r="D37" s="89"/>
      <c r="E37" s="89"/>
      <c r="F37" s="89"/>
      <c r="G37" s="89"/>
      <c r="H37" s="89"/>
    </row>
    <row r="38" ht="15.0" customHeight="1">
      <c r="A38" s="89"/>
      <c r="B38" s="18" t="s">
        <v>123</v>
      </c>
    </row>
    <row r="39" ht="28.5" customHeight="1">
      <c r="A39" s="89"/>
      <c r="B39" s="131" t="s">
        <v>124</v>
      </c>
      <c r="C39" s="132" t="s">
        <v>125</v>
      </c>
      <c r="D39" s="133" t="s">
        <v>126</v>
      </c>
      <c r="E39" s="132" t="s">
        <v>127</v>
      </c>
      <c r="F39" s="132" t="s">
        <v>128</v>
      </c>
      <c r="G39" s="132" t="s">
        <v>129</v>
      </c>
      <c r="H39" s="132" t="s">
        <v>130</v>
      </c>
    </row>
    <row r="40" ht="15.0" customHeight="1">
      <c r="A40" s="89"/>
      <c r="B40" s="13" t="s">
        <v>131</v>
      </c>
      <c r="C40" s="93">
        <v>6000.0</v>
      </c>
      <c r="D40" s="93">
        <v>6750.0</v>
      </c>
      <c r="E40" s="89"/>
      <c r="F40" s="89"/>
      <c r="G40" s="89"/>
      <c r="H40" s="89"/>
      <c r="I40" s="134" t="s">
        <v>132</v>
      </c>
    </row>
    <row r="41" ht="15.0" customHeight="1">
      <c r="A41" s="89"/>
      <c r="B41" s="13" t="s">
        <v>133</v>
      </c>
      <c r="C41" s="93">
        <v>0.0</v>
      </c>
      <c r="D41" s="93">
        <v>0.0</v>
      </c>
      <c r="E41" s="14">
        <f>SUM(D32:D33)</f>
        <v>24.864</v>
      </c>
      <c r="F41" s="135">
        <f>sum(F32,F33)</f>
        <v>80.808</v>
      </c>
      <c r="G41" s="93">
        <v>35.0</v>
      </c>
      <c r="H41" s="136">
        <v>10.0</v>
      </c>
    </row>
    <row r="42" ht="15.0" customHeight="1">
      <c r="A42" s="89"/>
      <c r="B42" s="13" t="s">
        <v>134</v>
      </c>
      <c r="C42" s="93">
        <v>1235.0</v>
      </c>
      <c r="D42" s="93">
        <v>2000.0</v>
      </c>
      <c r="E42" s="89"/>
      <c r="F42" s="89"/>
      <c r="G42" s="89"/>
      <c r="H42" s="89"/>
    </row>
    <row r="43" ht="15.0" customHeight="1">
      <c r="A43" s="89"/>
      <c r="B43" s="13" t="s">
        <v>135</v>
      </c>
      <c r="C43" s="93">
        <v>0.0</v>
      </c>
      <c r="D43" s="93">
        <v>0.0</v>
      </c>
      <c r="E43" s="14">
        <f>SUM(D28:D31)</f>
        <v>70.77</v>
      </c>
      <c r="F43" s="14">
        <f>SUM(F28:F31)</f>
        <v>176.925</v>
      </c>
      <c r="G43" s="136">
        <v>90.0</v>
      </c>
      <c r="H43" s="136">
        <v>50.0</v>
      </c>
    </row>
    <row r="44" ht="15.75" customHeight="1">
      <c r="A44" s="89"/>
      <c r="B44" s="15" t="s">
        <v>136</v>
      </c>
      <c r="C44" s="137"/>
      <c r="D44" s="137"/>
      <c r="E44" s="16">
        <f>C42+D42+E43</f>
        <v>3305.77</v>
      </c>
      <c r="F44" s="16">
        <f>C42+D42+F43</f>
        <v>3411.925</v>
      </c>
      <c r="G44" s="16">
        <f>C42+D42+G43</f>
        <v>3325</v>
      </c>
      <c r="H44" s="16">
        <f>C42+D42+H43</f>
        <v>3285</v>
      </c>
      <c r="I44" s="105"/>
    </row>
    <row r="45" ht="15.0" customHeight="1">
      <c r="A45" s="89"/>
      <c r="B45" s="13" t="s">
        <v>137</v>
      </c>
      <c r="C45" s="93">
        <v>326.0</v>
      </c>
      <c r="D45" s="93">
        <v>310.0</v>
      </c>
      <c r="E45" s="14">
        <f>D45+C45</f>
        <v>636</v>
      </c>
      <c r="F45" s="14">
        <v>636.0</v>
      </c>
      <c r="G45" s="14">
        <v>636.0</v>
      </c>
      <c r="H45" s="14">
        <v>636.0</v>
      </c>
    </row>
    <row r="46" ht="15.0" customHeight="1">
      <c r="A46" s="89"/>
      <c r="B46" s="19" t="s">
        <v>138</v>
      </c>
      <c r="C46" s="93"/>
      <c r="D46" s="93"/>
      <c r="E46" s="14">
        <f>E23</f>
        <v>880.25</v>
      </c>
      <c r="F46" s="14">
        <f>G23</f>
        <v>619</v>
      </c>
      <c r="G46" s="14">
        <f>E23</f>
        <v>880.25</v>
      </c>
      <c r="H46" s="14">
        <f>E23</f>
        <v>880.25</v>
      </c>
    </row>
    <row r="47" ht="15.0" customHeight="1">
      <c r="A47" s="89"/>
      <c r="B47" s="13" t="s">
        <v>139</v>
      </c>
      <c r="C47" s="93"/>
      <c r="D47" s="93"/>
      <c r="E47" s="93">
        <v>-100.0</v>
      </c>
      <c r="F47" s="93">
        <v>-100.0</v>
      </c>
      <c r="G47" s="93">
        <v>-100.0</v>
      </c>
      <c r="H47" s="93">
        <v>-100.0</v>
      </c>
      <c r="I47" s="138" t="s">
        <v>140</v>
      </c>
    </row>
    <row r="48" ht="15.0" customHeight="1">
      <c r="A48" s="89"/>
      <c r="B48" s="139" t="s">
        <v>141</v>
      </c>
      <c r="C48" s="89"/>
      <c r="D48" s="89"/>
      <c r="E48" s="33">
        <f>D35</f>
        <v>-250</v>
      </c>
      <c r="F48" s="33">
        <f>F35</f>
        <v>-150</v>
      </c>
      <c r="G48" s="33">
        <f>D35</f>
        <v>-250</v>
      </c>
      <c r="H48" s="33">
        <f>D35</f>
        <v>-250</v>
      </c>
    </row>
    <row r="49" ht="15.0" customHeight="1">
      <c r="A49" s="89"/>
      <c r="B49" s="15" t="s">
        <v>142</v>
      </c>
      <c r="C49" s="137"/>
      <c r="D49" s="137"/>
      <c r="E49" s="16">
        <f t="shared" ref="E49:H49" si="3">E44-E45+E47+E48</f>
        <v>2319.77</v>
      </c>
      <c r="F49" s="16">
        <f t="shared" si="3"/>
        <v>2525.925</v>
      </c>
      <c r="G49" s="16">
        <f t="shared" si="3"/>
        <v>2339</v>
      </c>
      <c r="H49" s="16">
        <f t="shared" si="3"/>
        <v>2299</v>
      </c>
    </row>
    <row r="50" ht="15.0" customHeight="1">
      <c r="A50" s="89"/>
      <c r="B50" s="19" t="s">
        <v>143</v>
      </c>
      <c r="C50" s="89"/>
      <c r="D50" s="89"/>
      <c r="E50" s="14">
        <f t="shared" ref="E50:H50" si="4">MAX(E49-E46,0)*0.2</f>
        <v>287.904</v>
      </c>
      <c r="F50" s="14">
        <f t="shared" si="4"/>
        <v>381.385</v>
      </c>
      <c r="G50" s="14">
        <f t="shared" si="4"/>
        <v>291.75</v>
      </c>
      <c r="H50" s="14">
        <f t="shared" si="4"/>
        <v>283.75</v>
      </c>
    </row>
    <row r="51" ht="15.0" customHeight="1">
      <c r="A51" s="89"/>
      <c r="B51" s="15" t="s">
        <v>144</v>
      </c>
      <c r="C51" s="137"/>
      <c r="D51" s="137"/>
      <c r="E51" s="16">
        <f t="shared" ref="E51:H51" si="5">E49-E46-E50</f>
        <v>1151.616</v>
      </c>
      <c r="F51" s="16">
        <f t="shared" si="5"/>
        <v>1525.54</v>
      </c>
      <c r="G51" s="16">
        <f t="shared" si="5"/>
        <v>1167</v>
      </c>
      <c r="H51" s="16">
        <f t="shared" si="5"/>
        <v>1135</v>
      </c>
    </row>
    <row r="52" ht="15.0" customHeight="1">
      <c r="A52" s="89"/>
      <c r="B52" s="13" t="s">
        <v>145</v>
      </c>
      <c r="C52" s="93">
        <v>0.0</v>
      </c>
      <c r="D52" s="93">
        <v>50.0</v>
      </c>
      <c r="E52" s="93">
        <v>50.0</v>
      </c>
      <c r="F52" s="93">
        <v>50.0</v>
      </c>
      <c r="G52" s="93">
        <v>50.0</v>
      </c>
      <c r="H52" s="93">
        <v>50.0</v>
      </c>
      <c r="I52" s="140" t="s">
        <v>146</v>
      </c>
    </row>
    <row r="53" ht="15.0" customHeight="1">
      <c r="A53" s="89"/>
      <c r="B53" s="21" t="s">
        <v>147</v>
      </c>
      <c r="C53" s="141"/>
      <c r="D53" s="141"/>
      <c r="E53" s="22">
        <f t="shared" ref="E53:H53" si="6">E51-E52</f>
        <v>1101.616</v>
      </c>
      <c r="F53" s="22">
        <f t="shared" si="6"/>
        <v>1475.54</v>
      </c>
      <c r="G53" s="22">
        <f t="shared" si="6"/>
        <v>1117</v>
      </c>
      <c r="H53" s="22">
        <f t="shared" si="6"/>
        <v>1085</v>
      </c>
    </row>
    <row r="54" ht="15.75" customHeight="1">
      <c r="A54" s="89"/>
      <c r="B54" s="89"/>
      <c r="C54" s="89"/>
      <c r="D54" s="89"/>
      <c r="E54" s="89"/>
      <c r="F54" s="89"/>
      <c r="G54" s="89"/>
      <c r="H54" s="89"/>
    </row>
    <row r="55" ht="15.0" customHeight="1">
      <c r="A55" s="89"/>
      <c r="B55" s="10" t="s">
        <v>148</v>
      </c>
      <c r="C55" s="10"/>
      <c r="D55" s="10"/>
      <c r="E55" s="10"/>
      <c r="F55" s="10"/>
      <c r="G55" s="10"/>
      <c r="H55" s="31"/>
    </row>
    <row r="56" ht="15.0" customHeight="1">
      <c r="A56" s="89"/>
      <c r="B56" s="131" t="s">
        <v>149</v>
      </c>
      <c r="C56" s="8" t="s">
        <v>96</v>
      </c>
      <c r="D56" s="8" t="s">
        <v>150</v>
      </c>
      <c r="E56" s="8" t="s">
        <v>151</v>
      </c>
      <c r="F56" s="8" t="s">
        <v>152</v>
      </c>
      <c r="G56" s="8" t="s">
        <v>130</v>
      </c>
      <c r="H56" s="12"/>
    </row>
    <row r="57" ht="15.75" customHeight="1">
      <c r="A57" s="89"/>
      <c r="B57" s="13" t="s">
        <v>153</v>
      </c>
      <c r="C57" s="93">
        <v>1295.0</v>
      </c>
      <c r="D57" s="142" t="s">
        <v>154</v>
      </c>
      <c r="E57" s="142" t="s">
        <v>154</v>
      </c>
      <c r="F57" s="142" t="s">
        <v>154</v>
      </c>
      <c r="G57" s="142" t="s">
        <v>154</v>
      </c>
      <c r="H57" s="105"/>
    </row>
    <row r="58" ht="15.75" customHeight="1">
      <c r="A58" s="89"/>
      <c r="B58" s="13" t="s">
        <v>155</v>
      </c>
      <c r="C58" s="142" t="s">
        <v>154</v>
      </c>
      <c r="D58" s="14">
        <f t="shared" ref="D58:G58" si="7">E53</f>
        <v>1101.616</v>
      </c>
      <c r="E58" s="14">
        <f t="shared" si="7"/>
        <v>1475.54</v>
      </c>
      <c r="F58" s="14">
        <f t="shared" si="7"/>
        <v>1117</v>
      </c>
      <c r="G58" s="14">
        <f t="shared" si="7"/>
        <v>1085</v>
      </c>
      <c r="H58" s="105"/>
    </row>
    <row r="59" ht="15.0" customHeight="1">
      <c r="A59" s="89"/>
      <c r="B59" s="19" t="s">
        <v>156</v>
      </c>
      <c r="C59" s="37">
        <f>C57/C60</f>
        <v>0.5395833333</v>
      </c>
      <c r="D59" s="37">
        <f t="shared" ref="D59:G59" si="8">D58/$C$60</f>
        <v>0.4590066667</v>
      </c>
      <c r="E59" s="37">
        <f t="shared" si="8"/>
        <v>0.6148083333</v>
      </c>
      <c r="F59" s="37">
        <f t="shared" si="8"/>
        <v>0.4654166667</v>
      </c>
      <c r="G59" s="37">
        <f t="shared" si="8"/>
        <v>0.4520833333</v>
      </c>
      <c r="H59" s="105"/>
    </row>
    <row r="60" ht="15.0" customHeight="1">
      <c r="A60" s="89"/>
      <c r="B60" s="13" t="s">
        <v>157</v>
      </c>
      <c r="C60" s="136">
        <v>2400.0</v>
      </c>
      <c r="H60" s="105"/>
    </row>
    <row r="61" ht="15.0" customHeight="1">
      <c r="A61" s="89"/>
      <c r="B61" s="9" t="s">
        <v>158</v>
      </c>
      <c r="C61" s="89"/>
      <c r="D61" s="143">
        <f t="shared" ref="D61:G61" si="9">D59-$C$59</f>
        <v>-0.08057666667</v>
      </c>
      <c r="E61" s="143">
        <f t="shared" si="9"/>
        <v>0.075225</v>
      </c>
      <c r="F61" s="143">
        <f t="shared" si="9"/>
        <v>-0.07416666667</v>
      </c>
      <c r="G61" s="143">
        <f t="shared" si="9"/>
        <v>-0.0875</v>
      </c>
      <c r="H61" s="105"/>
    </row>
    <row r="62" ht="18.75" customHeight="1">
      <c r="A62" s="89"/>
      <c r="B62" s="9" t="s">
        <v>159</v>
      </c>
      <c r="C62" s="89"/>
      <c r="D62" s="144">
        <f>D61/C59</f>
        <v>-0.1493312741</v>
      </c>
      <c r="E62" s="144">
        <f>E61/C59</f>
        <v>0.1394131274</v>
      </c>
      <c r="F62" s="144">
        <f>F61/C59</f>
        <v>-0.1374517375</v>
      </c>
      <c r="G62" s="144">
        <f>G61/C59</f>
        <v>-0.1621621622</v>
      </c>
      <c r="H62" s="105"/>
    </row>
    <row r="63" ht="15.0" customHeight="1">
      <c r="A63" s="89"/>
      <c r="B63" s="21" t="s">
        <v>160</v>
      </c>
      <c r="C63" s="141"/>
      <c r="D63" s="145" t="str">
        <f t="shared" ref="D63:G63" si="10">IF(D61&gt;0,"ACCRETIVE","DILUTIVE")</f>
        <v>DILUTIVE</v>
      </c>
      <c r="E63" s="145" t="str">
        <f t="shared" si="10"/>
        <v>ACCRETIVE</v>
      </c>
      <c r="F63" s="145" t="str">
        <f t="shared" si="10"/>
        <v>DILUTIVE</v>
      </c>
      <c r="G63" s="145" t="str">
        <f t="shared" si="10"/>
        <v>DILUTIVE</v>
      </c>
      <c r="H63" s="105"/>
    </row>
    <row r="64" ht="15.75" customHeight="1">
      <c r="A64" s="89"/>
      <c r="B64" s="89"/>
      <c r="C64" s="89"/>
      <c r="D64" s="89"/>
      <c r="E64" s="89"/>
      <c r="F64" s="89"/>
      <c r="G64" s="89"/>
      <c r="H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</row>
    <row r="66" ht="15.0" customHeight="1">
      <c r="A66" s="89"/>
      <c r="B66" s="146" t="s">
        <v>161</v>
      </c>
      <c r="C66" s="147"/>
      <c r="D66" s="147"/>
      <c r="E66" s="147"/>
      <c r="F66" s="147"/>
      <c r="G66" s="147"/>
      <c r="H66" s="148"/>
    </row>
    <row r="67" ht="30.0" customHeight="1">
      <c r="A67" s="89"/>
      <c r="B67" s="149" t="s">
        <v>162</v>
      </c>
      <c r="H67" s="150"/>
    </row>
    <row r="68" ht="30.0" customHeight="1">
      <c r="A68" s="89"/>
      <c r="B68" s="149" t="s">
        <v>163</v>
      </c>
      <c r="H68" s="150"/>
    </row>
    <row r="69" ht="30.0" customHeight="1">
      <c r="A69" s="89"/>
      <c r="B69" s="151" t="s">
        <v>164</v>
      </c>
      <c r="H69" s="150"/>
    </row>
    <row r="70" ht="30.0" customHeight="1">
      <c r="A70" s="89"/>
      <c r="B70" s="152"/>
      <c r="C70" s="153"/>
      <c r="D70" s="153"/>
      <c r="E70" s="153"/>
      <c r="F70" s="153"/>
      <c r="G70" s="153"/>
      <c r="H70" s="153"/>
    </row>
    <row r="71" ht="30.0" customHeight="1">
      <c r="A71" s="89"/>
      <c r="C71" s="153"/>
      <c r="D71" s="153"/>
      <c r="E71" s="153"/>
      <c r="F71" s="153"/>
      <c r="G71" s="153"/>
      <c r="H71" s="153"/>
    </row>
    <row r="72" ht="30.0" customHeight="1">
      <c r="A72" s="89"/>
      <c r="B72" s="150"/>
    </row>
    <row r="73" ht="30.0" customHeight="1">
      <c r="A73" s="89"/>
      <c r="B73" s="150"/>
    </row>
    <row r="74" ht="30.0" customHeight="1">
      <c r="A74" s="89"/>
      <c r="B74" s="150"/>
    </row>
    <row r="75" ht="15.75" customHeight="1">
      <c r="A75" s="89"/>
      <c r="B75" s="89"/>
      <c r="C75" s="89"/>
      <c r="D75" s="89"/>
      <c r="E75" s="89"/>
      <c r="F75" s="89"/>
      <c r="G75" s="89"/>
      <c r="H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</row>
    <row r="1001" ht="15.75" customHeight="1">
      <c r="A1001" s="89"/>
      <c r="B1001" s="89"/>
      <c r="C1001" s="89"/>
      <c r="D1001" s="89"/>
      <c r="E1001" s="89"/>
      <c r="F1001" s="89"/>
      <c r="G1001" s="89"/>
      <c r="H1001" s="89"/>
    </row>
    <row r="1002" ht="15.75" customHeight="1">
      <c r="A1002" s="89"/>
      <c r="B1002" s="89"/>
      <c r="C1002" s="89"/>
      <c r="D1002" s="89"/>
      <c r="E1002" s="89"/>
      <c r="F1002" s="89"/>
      <c r="G1002" s="89"/>
      <c r="H1002" s="89"/>
    </row>
    <row r="1003" ht="15.75" customHeight="1">
      <c r="A1003" s="89"/>
      <c r="B1003" s="89"/>
      <c r="C1003" s="89"/>
      <c r="D1003" s="89"/>
      <c r="E1003" s="89"/>
      <c r="F1003" s="89"/>
      <c r="G1003" s="89"/>
      <c r="H1003" s="89"/>
    </row>
    <row r="1004" ht="15.75" customHeight="1">
      <c r="A1004" s="89"/>
      <c r="B1004" s="89"/>
      <c r="C1004" s="89"/>
      <c r="D1004" s="89"/>
      <c r="E1004" s="89"/>
      <c r="F1004" s="89"/>
      <c r="G1004" s="89"/>
      <c r="H1004" s="89"/>
    </row>
  </sheetData>
  <mergeCells count="19">
    <mergeCell ref="B1:H1"/>
    <mergeCell ref="I21:K23"/>
    <mergeCell ref="I27:L27"/>
    <mergeCell ref="I28:L28"/>
    <mergeCell ref="I29:L29"/>
    <mergeCell ref="I30:L30"/>
    <mergeCell ref="I31:L31"/>
    <mergeCell ref="B68:G68"/>
    <mergeCell ref="B69:G69"/>
    <mergeCell ref="B72:H72"/>
    <mergeCell ref="B73:H73"/>
    <mergeCell ref="B74:H74"/>
    <mergeCell ref="I32:L32"/>
    <mergeCell ref="I33:L33"/>
    <mergeCell ref="I34:L34"/>
    <mergeCell ref="I35:L35"/>
    <mergeCell ref="B38:H38"/>
    <mergeCell ref="I40:L40"/>
    <mergeCell ref="B67:G6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43"/>
    <col customWidth="1" min="4" max="4" width="26.0"/>
    <col customWidth="1" min="6" max="6" width="14.86"/>
    <col customWidth="1" min="7" max="7" width="16.86"/>
  </cols>
  <sheetData>
    <row r="1">
      <c r="A1" s="154"/>
      <c r="B1" s="155" t="s">
        <v>165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</row>
    <row r="3">
      <c r="A3" s="157"/>
      <c r="B3" s="158" t="s">
        <v>166</v>
      </c>
      <c r="C3" s="158" t="s">
        <v>167</v>
      </c>
      <c r="D3" s="159" t="s">
        <v>168</v>
      </c>
      <c r="E3" s="159" t="s">
        <v>169</v>
      </c>
      <c r="F3" s="160" t="s">
        <v>170</v>
      </c>
      <c r="G3" s="160" t="s">
        <v>54</v>
      </c>
      <c r="H3" s="160" t="s">
        <v>131</v>
      </c>
      <c r="I3" s="160" t="s">
        <v>171</v>
      </c>
      <c r="J3" s="160" t="s">
        <v>172</v>
      </c>
      <c r="K3" s="160" t="s">
        <v>173</v>
      </c>
      <c r="L3" s="160" t="s">
        <v>174</v>
      </c>
      <c r="M3" s="160" t="s">
        <v>175</v>
      </c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</row>
    <row r="4">
      <c r="A4" s="157"/>
      <c r="B4" s="157"/>
      <c r="C4" s="157"/>
      <c r="D4" s="161"/>
      <c r="E4" s="157"/>
      <c r="F4" s="157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</row>
    <row r="5">
      <c r="A5" s="154"/>
      <c r="B5" s="162" t="s">
        <v>176</v>
      </c>
      <c r="C5" s="163" t="s">
        <v>177</v>
      </c>
      <c r="D5" s="164">
        <f>'Beta Regression'!C9</f>
        <v>11.26</v>
      </c>
      <c r="E5" s="136">
        <v>8600.0</v>
      </c>
      <c r="F5" s="136">
        <v>3150.0</v>
      </c>
      <c r="G5" s="165">
        <f t="shared" ref="G5:G13" si="1">F5+E5</f>
        <v>11750</v>
      </c>
      <c r="H5" s="166">
        <v>6216.0</v>
      </c>
      <c r="I5" s="166">
        <v>1290.0</v>
      </c>
      <c r="J5" s="166">
        <v>187.0</v>
      </c>
      <c r="K5" s="165">
        <f>G5/I5</f>
        <v>9.108527132</v>
      </c>
      <c r="L5" s="165">
        <f t="shared" ref="L5:L13" si="2">G5/H5</f>
        <v>1.89028314</v>
      </c>
      <c r="M5" s="165">
        <f>F5/J5</f>
        <v>16.84491979</v>
      </c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</row>
    <row r="6">
      <c r="A6" s="154"/>
      <c r="B6" s="167" t="s">
        <v>178</v>
      </c>
      <c r="C6" s="163" t="s">
        <v>177</v>
      </c>
      <c r="D6" s="164">
        <f>'Beta Regression'!G9</f>
        <v>14.59</v>
      </c>
      <c r="E6" s="136">
        <v>11145.0</v>
      </c>
      <c r="F6" s="136">
        <v>18551.0</v>
      </c>
      <c r="G6" s="165">
        <f t="shared" si="1"/>
        <v>29696</v>
      </c>
      <c r="H6" s="166">
        <v>14299.0</v>
      </c>
      <c r="I6" s="166">
        <v>-395.0</v>
      </c>
      <c r="J6" s="166">
        <v>-3514.0</v>
      </c>
      <c r="K6" s="168" t="s">
        <v>154</v>
      </c>
      <c r="L6" s="165">
        <f t="shared" si="2"/>
        <v>2.076788587</v>
      </c>
      <c r="M6" s="168" t="s">
        <v>154</v>
      </c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</row>
    <row r="7">
      <c r="A7" s="154"/>
      <c r="B7" s="167" t="s">
        <v>179</v>
      </c>
      <c r="C7" s="163" t="s">
        <v>177</v>
      </c>
      <c r="D7" s="164">
        <f>'Beta Regression'!K9</f>
        <v>30.64</v>
      </c>
      <c r="E7" s="136">
        <v>11718.0</v>
      </c>
      <c r="F7" s="136">
        <v>38729.0</v>
      </c>
      <c r="G7" s="165">
        <f t="shared" si="1"/>
        <v>50447</v>
      </c>
      <c r="H7" s="166">
        <v>17257.0</v>
      </c>
      <c r="I7" s="166">
        <v>3141.0</v>
      </c>
      <c r="J7" s="166">
        <v>1410.0</v>
      </c>
      <c r="K7" s="165">
        <f t="shared" ref="K7:K8" si="3">G7/I7</f>
        <v>16.06080866</v>
      </c>
      <c r="L7" s="165">
        <f t="shared" si="2"/>
        <v>2.923277511</v>
      </c>
      <c r="M7" s="165">
        <f t="shared" ref="M7:M8" si="4">F7/J7</f>
        <v>27.46737589</v>
      </c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>
      <c r="A8" s="154"/>
      <c r="B8" s="167" t="s">
        <v>180</v>
      </c>
      <c r="C8" s="169" t="s">
        <v>181</v>
      </c>
      <c r="D8" s="164">
        <f>'Beta Regression'!O9*1.34</f>
        <v>1855.9</v>
      </c>
      <c r="E8" s="136">
        <v>1247.0</v>
      </c>
      <c r="F8" s="136">
        <v>3108.0</v>
      </c>
      <c r="G8" s="165">
        <f t="shared" si="1"/>
        <v>4355</v>
      </c>
      <c r="H8" s="166">
        <v>3349.0</v>
      </c>
      <c r="I8" s="166">
        <v>845.0</v>
      </c>
      <c r="J8" s="166">
        <v>402.0</v>
      </c>
      <c r="K8" s="165">
        <f t="shared" si="3"/>
        <v>5.153846154</v>
      </c>
      <c r="L8" s="165">
        <f t="shared" si="2"/>
        <v>1.300388176</v>
      </c>
      <c r="M8" s="165">
        <f t="shared" si="4"/>
        <v>7.731343284</v>
      </c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</row>
    <row r="9">
      <c r="A9" s="154"/>
      <c r="B9" s="167" t="s">
        <v>182</v>
      </c>
      <c r="C9" s="163" t="s">
        <v>183</v>
      </c>
      <c r="D9" s="164">
        <f>'Beta Regression'!S9</f>
        <v>11.82</v>
      </c>
      <c r="E9" s="136">
        <v>3072.0</v>
      </c>
      <c r="F9" s="136">
        <v>1606.0</v>
      </c>
      <c r="G9" s="165">
        <f t="shared" si="1"/>
        <v>4678</v>
      </c>
      <c r="H9" s="166">
        <v>4253.0</v>
      </c>
      <c r="I9" s="166">
        <v>-797.0</v>
      </c>
      <c r="J9" s="166">
        <v>-1425.0</v>
      </c>
      <c r="K9" s="168" t="s">
        <v>154</v>
      </c>
      <c r="L9" s="165">
        <f t="shared" si="2"/>
        <v>1.099929462</v>
      </c>
      <c r="M9" s="168" t="s">
        <v>154</v>
      </c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</row>
    <row r="10">
      <c r="A10" s="154"/>
      <c r="B10" s="167" t="s">
        <v>184</v>
      </c>
      <c r="C10" s="163" t="s">
        <v>185</v>
      </c>
      <c r="D10" s="164">
        <f>'Beta Regression'!W9 *0.01</f>
        <v>13.171</v>
      </c>
      <c r="E10" s="136">
        <v>0.0</v>
      </c>
      <c r="F10" s="136">
        <v>11017.0</v>
      </c>
      <c r="G10" s="165">
        <f t="shared" si="1"/>
        <v>11017</v>
      </c>
      <c r="H10" s="166">
        <v>3359.0</v>
      </c>
      <c r="I10" s="166">
        <v>791.0</v>
      </c>
      <c r="J10" s="166">
        <v>428.0</v>
      </c>
      <c r="K10" s="165">
        <f t="shared" ref="K10:K13" si="5">G10/I10</f>
        <v>13.92793932</v>
      </c>
      <c r="L10" s="165">
        <f t="shared" si="2"/>
        <v>3.279845192</v>
      </c>
      <c r="M10" s="165">
        <f t="shared" ref="M10:M13" si="6">F10/J10</f>
        <v>25.74065421</v>
      </c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</row>
    <row r="11">
      <c r="A11" s="154"/>
      <c r="B11" s="167" t="s">
        <v>186</v>
      </c>
      <c r="C11" s="163" t="s">
        <v>185</v>
      </c>
      <c r="D11" s="164">
        <f>'Beta Regression'!AA9 *0.01</f>
        <v>12.95</v>
      </c>
      <c r="E11" s="136">
        <v>0.0</v>
      </c>
      <c r="F11" s="136">
        <v>11660.0</v>
      </c>
      <c r="G11" s="165">
        <f t="shared" si="1"/>
        <v>11660</v>
      </c>
      <c r="H11" s="166">
        <v>2771.0</v>
      </c>
      <c r="I11" s="166">
        <v>635.0</v>
      </c>
      <c r="J11" s="166">
        <v>387.0</v>
      </c>
      <c r="K11" s="165">
        <f t="shared" si="5"/>
        <v>18.36220472</v>
      </c>
      <c r="L11" s="165">
        <f t="shared" si="2"/>
        <v>4.207867196</v>
      </c>
      <c r="M11" s="165">
        <f t="shared" si="6"/>
        <v>30.12919897</v>
      </c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</row>
    <row r="12">
      <c r="A12" s="154"/>
      <c r="B12" s="167" t="s">
        <v>187</v>
      </c>
      <c r="C12" s="163" t="s">
        <v>188</v>
      </c>
      <c r="D12" s="164">
        <f>'Beta Regression'!AE9</f>
        <v>3.38</v>
      </c>
      <c r="E12" s="136">
        <v>1228.0</v>
      </c>
      <c r="F12" s="136">
        <v>1323.0</v>
      </c>
      <c r="G12" s="165">
        <f t="shared" si="1"/>
        <v>2551</v>
      </c>
      <c r="H12" s="166">
        <v>586.0</v>
      </c>
      <c r="I12" s="166">
        <v>311.0</v>
      </c>
      <c r="J12" s="166">
        <v>27.0</v>
      </c>
      <c r="K12" s="165">
        <f t="shared" si="5"/>
        <v>8.202572347</v>
      </c>
      <c r="L12" s="165">
        <f t="shared" si="2"/>
        <v>4.353242321</v>
      </c>
      <c r="M12" s="165">
        <f t="shared" si="6"/>
        <v>49</v>
      </c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</row>
    <row r="13">
      <c r="A13" s="154"/>
      <c r="B13" s="167" t="s">
        <v>189</v>
      </c>
      <c r="C13" s="163" t="s">
        <v>185</v>
      </c>
      <c r="D13" s="164">
        <f>'Beta Regression'!AI9 *0.01</f>
        <v>3.4985</v>
      </c>
      <c r="E13" s="136">
        <v>1301.5</v>
      </c>
      <c r="F13" s="136">
        <v>7050.0</v>
      </c>
      <c r="G13" s="165">
        <f t="shared" si="1"/>
        <v>8351.5</v>
      </c>
      <c r="H13" s="166">
        <v>1677.0</v>
      </c>
      <c r="I13" s="166">
        <v>339.0</v>
      </c>
      <c r="J13" s="166">
        <v>38.0</v>
      </c>
      <c r="K13" s="165">
        <f t="shared" si="5"/>
        <v>24.63569322</v>
      </c>
      <c r="L13" s="165">
        <f t="shared" si="2"/>
        <v>4.980023852</v>
      </c>
      <c r="M13" s="165">
        <f t="shared" si="6"/>
        <v>185.5263158</v>
      </c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</row>
    <row r="14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</row>
    <row r="15">
      <c r="A15" s="154"/>
      <c r="B15" s="170" t="s">
        <v>190</v>
      </c>
      <c r="C15" s="170"/>
      <c r="D15" s="170"/>
      <c r="E15" s="170"/>
      <c r="F15" s="170"/>
      <c r="G15" s="170"/>
      <c r="H15" s="170"/>
      <c r="I15" s="170"/>
      <c r="J15" s="170"/>
      <c r="K15" s="171">
        <f t="shared" ref="K15:M15" si="7">AVERAGE(K5:K13)</f>
        <v>13.63594165</v>
      </c>
      <c r="L15" s="171">
        <f t="shared" si="7"/>
        <v>2.901293937</v>
      </c>
      <c r="M15" s="171">
        <f t="shared" si="7"/>
        <v>48.91997256</v>
      </c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</row>
    <row r="16">
      <c r="A16" s="154"/>
      <c r="B16" s="170" t="s">
        <v>191</v>
      </c>
      <c r="C16" s="170"/>
      <c r="D16" s="170"/>
      <c r="E16" s="170"/>
      <c r="F16" s="170"/>
      <c r="G16" s="170"/>
      <c r="H16" s="170"/>
      <c r="I16" s="170"/>
      <c r="J16" s="170"/>
      <c r="K16" s="171">
        <f t="shared" ref="K16:M16" si="8">MEDIAN(K5:K13)</f>
        <v>13.92793932</v>
      </c>
      <c r="L16" s="171">
        <f t="shared" si="8"/>
        <v>2.923277511</v>
      </c>
      <c r="M16" s="171">
        <f t="shared" si="8"/>
        <v>27.46737589</v>
      </c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</row>
    <row r="17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</row>
    <row r="18">
      <c r="A18" s="154"/>
      <c r="B18" s="172" t="s">
        <v>192</v>
      </c>
      <c r="C18" s="156"/>
      <c r="D18" s="156"/>
      <c r="E18" s="156"/>
      <c r="F18" s="156"/>
      <c r="G18" s="156"/>
      <c r="H18" s="156"/>
      <c r="I18" s="156"/>
      <c r="J18" s="156"/>
      <c r="K18" s="173" t="s">
        <v>173</v>
      </c>
      <c r="L18" s="173" t="s">
        <v>174</v>
      </c>
      <c r="M18" s="173" t="s">
        <v>175</v>
      </c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</row>
    <row r="19">
      <c r="A19" s="154"/>
      <c r="B19" s="154" t="s">
        <v>193</v>
      </c>
      <c r="C19" s="154"/>
      <c r="D19" s="154"/>
      <c r="E19" s="154"/>
      <c r="F19" s="154"/>
      <c r="G19" s="154"/>
      <c r="H19" s="154"/>
      <c r="I19" s="154"/>
      <c r="J19" s="154"/>
      <c r="K19" s="174">
        <f>K16*I5</f>
        <v>17967.04172</v>
      </c>
      <c r="L19" s="174">
        <f>L16*H5</f>
        <v>18171.09301</v>
      </c>
      <c r="M19" s="174">
        <f>M16*J5 +E5</f>
        <v>13736.39929</v>
      </c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</row>
    <row r="20">
      <c r="A20" s="154"/>
      <c r="B20" s="154" t="s">
        <v>194</v>
      </c>
      <c r="C20" s="154"/>
      <c r="D20" s="154"/>
      <c r="E20" s="154"/>
      <c r="F20" s="154"/>
      <c r="G20" s="154"/>
      <c r="H20" s="154"/>
      <c r="I20" s="154"/>
      <c r="J20" s="154"/>
      <c r="K20" s="174">
        <f t="shared" ref="K20:M20" si="9">K19-$E$5</f>
        <v>9367.041719</v>
      </c>
      <c r="L20" s="174">
        <f t="shared" si="9"/>
        <v>9571.093006</v>
      </c>
      <c r="M20" s="174">
        <f t="shared" si="9"/>
        <v>5136.399291</v>
      </c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</row>
    <row r="21">
      <c r="A21" s="154"/>
      <c r="B21" s="154" t="s">
        <v>58</v>
      </c>
      <c r="C21" s="154"/>
      <c r="D21" s="154"/>
      <c r="E21" s="154"/>
      <c r="F21" s="154"/>
      <c r="G21" s="154"/>
      <c r="H21" s="154"/>
      <c r="I21" s="154"/>
      <c r="J21" s="154"/>
      <c r="K21" s="174">
        <f>K20/DCF!$H$30</f>
        <v>48.36636583</v>
      </c>
      <c r="L21" s="174">
        <f>L20/DCF!$H$30</f>
        <v>49.41997693</v>
      </c>
      <c r="M21" s="174">
        <f>M20/DCF!$H$30</f>
        <v>26.52160357</v>
      </c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</row>
    <row r="22">
      <c r="A22" s="154"/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</row>
    <row r="23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</row>
    <row r="24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</row>
    <row r="25">
      <c r="A25" s="154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</row>
    <row r="26">
      <c r="A26" s="154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</row>
    <row r="27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</row>
    <row r="28">
      <c r="A28" s="154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</row>
    <row r="29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</row>
    <row r="30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</row>
    <row r="31">
      <c r="A31" s="154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</row>
    <row r="32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</row>
    <row r="33">
      <c r="A33" s="154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</row>
    <row r="34">
      <c r="A34" s="154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>
      <c r="A35" s="154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</row>
    <row r="36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</row>
    <row r="38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</row>
    <row r="39">
      <c r="A39" s="154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</row>
    <row r="40">
      <c r="A40" s="154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  <c r="AA40" s="154"/>
      <c r="AB40" s="154"/>
    </row>
    <row r="41">
      <c r="A41" s="154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</row>
    <row r="43">
      <c r="A43" s="154"/>
      <c r="B43" s="154"/>
      <c r="C43" s="154"/>
      <c r="D43" s="154"/>
      <c r="E43" s="154"/>
      <c r="F43" s="154"/>
      <c r="G43" s="154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</row>
    <row r="44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</row>
    <row r="46">
      <c r="A46" s="154"/>
      <c r="B46" s="154"/>
      <c r="C46" s="154"/>
      <c r="D46" s="154"/>
      <c r="E46" s="154"/>
      <c r="F46" s="154"/>
      <c r="G46" s="154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  <c r="AA59" s="154"/>
      <c r="AB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  <c r="AA63" s="154"/>
      <c r="AB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  <c r="AA73" s="154"/>
      <c r="AB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</row>
    <row r="20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</row>
    <row r="20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</row>
    <row r="20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</row>
    <row r="204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</row>
    <row r="205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</row>
    <row r="206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</row>
    <row r="207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</row>
    <row r="208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</row>
    <row r="209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</row>
    <row r="210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</row>
    <row r="21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</row>
    <row r="21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</row>
    <row r="213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</row>
    <row r="214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</row>
    <row r="215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</row>
    <row r="216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</row>
    <row r="217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</row>
    <row r="218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</row>
    <row r="219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</row>
    <row r="220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</row>
    <row r="22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</row>
    <row r="22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</row>
    <row r="22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</row>
    <row r="224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</row>
    <row r="225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</row>
    <row r="226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</row>
    <row r="227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</row>
    <row r="228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</row>
    <row r="229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</row>
    <row r="230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</row>
    <row r="23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</row>
    <row r="23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</row>
    <row r="233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</row>
    <row r="234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</row>
    <row r="235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</row>
    <row r="236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</row>
    <row r="237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</row>
    <row r="238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</row>
    <row r="239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</row>
    <row r="240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</row>
    <row r="24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</row>
    <row r="24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</row>
    <row r="24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</row>
    <row r="244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</row>
    <row r="245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</row>
    <row r="246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</row>
    <row r="247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</row>
    <row r="248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</row>
    <row r="249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</row>
    <row r="250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</row>
    <row r="25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</row>
    <row r="25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</row>
    <row r="25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</row>
    <row r="254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</row>
    <row r="255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</row>
    <row r="256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</row>
    <row r="257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</row>
    <row r="258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</row>
    <row r="259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</row>
    <row r="260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</row>
    <row r="26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</row>
    <row r="26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</row>
    <row r="26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</row>
    <row r="264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</row>
    <row r="265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</row>
    <row r="266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</row>
    <row r="267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</row>
    <row r="268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</row>
    <row r="269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</row>
    <row r="270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</row>
    <row r="27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</row>
    <row r="27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</row>
    <row r="27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</row>
    <row r="274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</row>
    <row r="275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</row>
    <row r="276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</row>
    <row r="277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</row>
    <row r="278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</row>
    <row r="279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</row>
    <row r="280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</row>
    <row r="28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</row>
    <row r="28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</row>
    <row r="28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</row>
    <row r="284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</row>
    <row r="285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</row>
    <row r="286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</row>
    <row r="287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</row>
    <row r="288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</row>
    <row r="289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</row>
    <row r="290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</row>
    <row r="29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</row>
    <row r="29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</row>
    <row r="29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</row>
    <row r="294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</row>
    <row r="295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</row>
    <row r="296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</row>
    <row r="297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</row>
    <row r="298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</row>
    <row r="299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</row>
    <row r="300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</row>
    <row r="30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</row>
    <row r="30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</row>
    <row r="30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</row>
    <row r="304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</row>
    <row r="305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</row>
    <row r="306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</row>
    <row r="307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</row>
    <row r="308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</row>
    <row r="309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</row>
    <row r="310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</row>
    <row r="31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</row>
    <row r="31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</row>
    <row r="31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</row>
    <row r="314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</row>
    <row r="315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</row>
    <row r="316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</row>
    <row r="317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</row>
    <row r="318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</row>
    <row r="319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</row>
    <row r="320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</row>
    <row r="32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</row>
    <row r="32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</row>
    <row r="32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</row>
    <row r="324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</row>
    <row r="325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</row>
    <row r="326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</row>
    <row r="327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</row>
    <row r="328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</row>
    <row r="329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</row>
    <row r="330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</row>
    <row r="33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</row>
    <row r="33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</row>
    <row r="33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</row>
    <row r="334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</row>
    <row r="335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</row>
    <row r="336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</row>
    <row r="337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</row>
    <row r="338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</row>
    <row r="339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</row>
    <row r="340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</row>
    <row r="34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</row>
    <row r="34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</row>
    <row r="343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</row>
    <row r="344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</row>
    <row r="345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</row>
    <row r="346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</row>
    <row r="347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</row>
    <row r="348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</row>
    <row r="349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</row>
    <row r="350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</row>
    <row r="35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</row>
    <row r="35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</row>
    <row r="353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</row>
    <row r="354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</row>
    <row r="355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</row>
    <row r="356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</row>
    <row r="357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</row>
    <row r="358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</row>
    <row r="359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</row>
    <row r="360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</row>
    <row r="36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</row>
    <row r="36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</row>
    <row r="363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</row>
    <row r="364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</row>
    <row r="365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</row>
    <row r="366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</row>
    <row r="367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</row>
    <row r="368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</row>
    <row r="369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</row>
    <row r="370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</row>
    <row r="37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</row>
    <row r="37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</row>
    <row r="373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</row>
    <row r="374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</row>
    <row r="375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</row>
    <row r="376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</row>
    <row r="377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</row>
    <row r="378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</row>
    <row r="379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</row>
    <row r="380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</row>
    <row r="38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</row>
    <row r="38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</row>
    <row r="383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</row>
    <row r="384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</row>
    <row r="385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</row>
    <row r="386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</row>
    <row r="387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</row>
    <row r="388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</row>
    <row r="389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</row>
    <row r="390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</row>
    <row r="39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</row>
    <row r="39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</row>
    <row r="393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</row>
    <row r="394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</row>
    <row r="395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</row>
    <row r="396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</row>
    <row r="397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</row>
    <row r="398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</row>
    <row r="399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</row>
    <row r="400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</row>
    <row r="40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</row>
    <row r="40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</row>
    <row r="403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</row>
    <row r="404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</row>
    <row r="405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</row>
    <row r="406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</row>
    <row r="407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</row>
    <row r="408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</row>
    <row r="409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</row>
    <row r="410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</row>
    <row r="41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</row>
    <row r="41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</row>
    <row r="413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</row>
    <row r="414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</row>
    <row r="415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</row>
    <row r="416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</row>
    <row r="417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</row>
    <row r="418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</row>
    <row r="419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</row>
    <row r="420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</row>
    <row r="42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</row>
    <row r="42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</row>
    <row r="423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</row>
    <row r="424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</row>
    <row r="425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</row>
    <row r="426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</row>
    <row r="427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</row>
    <row r="428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</row>
    <row r="429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</row>
    <row r="430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</row>
    <row r="43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</row>
    <row r="43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</row>
    <row r="433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</row>
    <row r="434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</row>
    <row r="435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  <c r="AA995" s="154"/>
      <c r="AB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  <c r="AA996" s="154"/>
      <c r="AB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  <c r="AA997" s="154"/>
      <c r="AB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  <c r="AA998" s="154"/>
      <c r="AB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  <c r="AA999" s="154"/>
      <c r="AB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  <c r="AA1000" s="154"/>
      <c r="AB1000" s="154"/>
    </row>
    <row r="1001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  <c r="AA1001" s="154"/>
      <c r="AB1001" s="154"/>
    </row>
    <row r="1002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  <c r="AA1002" s="154"/>
      <c r="AB1002" s="154"/>
    </row>
    <row r="1003">
      <c r="A1003" s="154"/>
      <c r="B1003" s="154"/>
      <c r="C1003" s="154"/>
      <c r="D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  <c r="AA1003" s="154"/>
      <c r="AB1003" s="154"/>
    </row>
    <row r="1004">
      <c r="A1004" s="154"/>
      <c r="B1004" s="154"/>
      <c r="C1004" s="154"/>
      <c r="D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  <c r="AA1004" s="154"/>
      <c r="AB1004" s="1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0"/>
    <col customWidth="1" min="2" max="2" width="46.0"/>
    <col customWidth="1" min="3" max="3" width="34.43"/>
    <col customWidth="1" min="4" max="4" width="28.14"/>
    <col customWidth="1" min="5" max="5" width="12.0"/>
    <col customWidth="1" min="6" max="6" width="17.43"/>
    <col customWidth="1" min="7" max="7" width="16.57"/>
    <col customWidth="1" min="8" max="8" width="12.0"/>
    <col customWidth="1" min="9" max="9" width="15.86"/>
    <col customWidth="1" min="10" max="10" width="39.57"/>
    <col customWidth="1" min="11" max="11" width="45.0"/>
    <col customWidth="1" min="12" max="26" width="8.71"/>
  </cols>
  <sheetData>
    <row r="1" ht="15.0" customHeight="1">
      <c r="A1" s="175"/>
      <c r="B1" s="176" t="s">
        <v>195</v>
      </c>
      <c r="C1" s="40"/>
      <c r="D1" s="40"/>
      <c r="E1" s="40"/>
      <c r="F1" s="40"/>
      <c r="G1" s="40"/>
      <c r="H1" s="40"/>
      <c r="I1" s="40"/>
      <c r="J1" s="40"/>
      <c r="K1" s="177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ht="15.0" customHeight="1">
      <c r="A2" s="175"/>
      <c r="B2" s="9"/>
      <c r="C2" s="9"/>
      <c r="D2" s="9"/>
      <c r="E2" s="9"/>
      <c r="F2" s="9"/>
      <c r="G2" s="9"/>
      <c r="H2" s="9"/>
      <c r="I2" s="9"/>
      <c r="J2" s="9"/>
      <c r="K2" s="9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ht="15.0" customHeight="1">
      <c r="A3" s="175"/>
      <c r="B3" s="18" t="s">
        <v>196</v>
      </c>
      <c r="C3" s="18"/>
      <c r="D3" s="18"/>
      <c r="E3" s="18"/>
      <c r="F3" s="179"/>
      <c r="G3" s="179"/>
      <c r="H3" s="179"/>
      <c r="I3" s="179"/>
      <c r="J3" s="179"/>
      <c r="K3" s="179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15.0" customHeight="1">
      <c r="A4" s="180"/>
      <c r="B4" s="181"/>
      <c r="C4" s="181"/>
      <c r="D4" s="181"/>
      <c r="E4" s="181"/>
      <c r="F4" s="181"/>
      <c r="G4" s="181"/>
      <c r="H4" s="181"/>
      <c r="I4" s="181"/>
      <c r="J4" s="181"/>
      <c r="K4" s="1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 ht="15.0" customHeight="1">
      <c r="A5" s="180"/>
      <c r="B5" s="183" t="s">
        <v>197</v>
      </c>
      <c r="C5" s="184" t="s">
        <v>198</v>
      </c>
      <c r="D5" s="185" t="s">
        <v>199</v>
      </c>
      <c r="E5" s="184" t="s">
        <v>200</v>
      </c>
      <c r="F5" s="184" t="s">
        <v>201</v>
      </c>
      <c r="G5" s="184" t="s">
        <v>202</v>
      </c>
      <c r="H5" s="184" t="s">
        <v>203</v>
      </c>
      <c r="I5" s="184" t="s">
        <v>204</v>
      </c>
      <c r="J5" s="184" t="s">
        <v>205</v>
      </c>
      <c r="K5" s="186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 ht="15.75" customHeight="1">
      <c r="A6" s="175"/>
      <c r="B6" s="187" t="s">
        <v>179</v>
      </c>
      <c r="C6" s="188" t="s">
        <v>206</v>
      </c>
      <c r="D6" s="189">
        <v>42186.0</v>
      </c>
      <c r="E6" s="190">
        <v>40500.0</v>
      </c>
      <c r="F6" s="190">
        <v>7800.0</v>
      </c>
      <c r="G6" s="190">
        <v>2700.0</v>
      </c>
      <c r="H6" s="191">
        <v>5.2</v>
      </c>
      <c r="I6" s="191">
        <v>15.0</v>
      </c>
      <c r="J6" s="192" t="s">
        <v>207</v>
      </c>
      <c r="K6" s="105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5.75" customHeight="1">
      <c r="A7" s="175"/>
      <c r="B7" s="187" t="s">
        <v>208</v>
      </c>
      <c r="C7" s="188" t="s">
        <v>209</v>
      </c>
      <c r="D7" s="189">
        <v>43617.0</v>
      </c>
      <c r="E7" s="190">
        <v>84200.0</v>
      </c>
      <c r="F7" s="190">
        <v>15788.0</v>
      </c>
      <c r="G7" s="190">
        <v>7760.0</v>
      </c>
      <c r="H7" s="191">
        <v>5.3</v>
      </c>
      <c r="I7" s="191">
        <v>10.9</v>
      </c>
      <c r="J7" s="192" t="s">
        <v>210</v>
      </c>
      <c r="K7" s="105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5.75" customHeight="1">
      <c r="A8" s="175"/>
      <c r="B8" s="187" t="s">
        <v>211</v>
      </c>
      <c r="C8" s="188" t="s">
        <v>212</v>
      </c>
      <c r="D8" s="189">
        <v>38777.0</v>
      </c>
      <c r="E8" s="190">
        <v>21500.0</v>
      </c>
      <c r="F8" s="190">
        <v>6400.0</v>
      </c>
      <c r="G8" s="190">
        <v>1450.0</v>
      </c>
      <c r="H8" s="191">
        <v>3.4</v>
      </c>
      <c r="I8" s="191">
        <v>14.8</v>
      </c>
      <c r="J8" s="192" t="s">
        <v>213</v>
      </c>
      <c r="K8" s="105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15.75" customHeight="1">
      <c r="A9" s="175"/>
      <c r="B9" s="187" t="s">
        <v>182</v>
      </c>
      <c r="C9" s="188" t="s">
        <v>214</v>
      </c>
      <c r="D9" s="189">
        <v>44440.0</v>
      </c>
      <c r="E9" s="190">
        <v>2100.0</v>
      </c>
      <c r="F9" s="190">
        <v>290.0</v>
      </c>
      <c r="G9" s="190">
        <v>115.0</v>
      </c>
      <c r="H9" s="191">
        <v>7.2</v>
      </c>
      <c r="I9" s="191">
        <v>18.3</v>
      </c>
      <c r="J9" s="192" t="s">
        <v>215</v>
      </c>
      <c r="K9" s="105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5.75" customHeight="1">
      <c r="A10" s="175"/>
      <c r="B10" s="187" t="s">
        <v>216</v>
      </c>
      <c r="C10" s="188" t="s">
        <v>217</v>
      </c>
      <c r="D10" s="189">
        <v>41730.0</v>
      </c>
      <c r="E10" s="190">
        <v>4000.0</v>
      </c>
      <c r="F10" s="190">
        <v>2100.0</v>
      </c>
      <c r="G10" s="190">
        <v>270.0</v>
      </c>
      <c r="H10" s="191">
        <v>1.9</v>
      </c>
      <c r="I10" s="191">
        <v>14.8</v>
      </c>
      <c r="J10" s="192" t="s">
        <v>218</v>
      </c>
      <c r="K10" s="105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5.75" customHeight="1">
      <c r="A11" s="175"/>
      <c r="B11" s="187" t="s">
        <v>180</v>
      </c>
      <c r="C11" s="188" t="s">
        <v>219</v>
      </c>
      <c r="D11" s="189">
        <v>44440.0</v>
      </c>
      <c r="E11" s="190">
        <v>375.0</v>
      </c>
      <c r="F11" s="190">
        <v>80.0</v>
      </c>
      <c r="G11" s="190">
        <v>25.0</v>
      </c>
      <c r="H11" s="191">
        <v>4.7</v>
      </c>
      <c r="I11" s="191">
        <v>15.0</v>
      </c>
      <c r="J11" s="192" t="s">
        <v>220</v>
      </c>
      <c r="K11" s="105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5.75" customHeight="1">
      <c r="A12" s="175"/>
      <c r="B12" s="187" t="s">
        <v>221</v>
      </c>
      <c r="C12" s="188" t="s">
        <v>222</v>
      </c>
      <c r="D12" s="192">
        <v>2022.0</v>
      </c>
      <c r="E12" s="190">
        <v>170.0</v>
      </c>
      <c r="F12" s="190">
        <v>140.0</v>
      </c>
      <c r="G12" s="190">
        <v>35.0</v>
      </c>
      <c r="H12" s="191">
        <v>1.2</v>
      </c>
      <c r="I12" s="191">
        <v>4.9</v>
      </c>
      <c r="J12" s="192" t="s">
        <v>223</v>
      </c>
      <c r="K12" s="105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5.75" customHeight="1">
      <c r="A13" s="175"/>
      <c r="B13" s="187" t="s">
        <v>176</v>
      </c>
      <c r="C13" s="188" t="s">
        <v>224</v>
      </c>
      <c r="D13" s="189">
        <v>45536.0</v>
      </c>
      <c r="E13" s="190">
        <v>1200.0</v>
      </c>
      <c r="F13" s="190">
        <v>75.0</v>
      </c>
      <c r="G13" s="188">
        <v>-50.0</v>
      </c>
      <c r="H13" s="191">
        <v>16.0</v>
      </c>
      <c r="I13" s="193" t="s">
        <v>225</v>
      </c>
      <c r="J13" s="192" t="s">
        <v>226</v>
      </c>
      <c r="K13" s="105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5.75" customHeight="1">
      <c r="A14" s="175"/>
      <c r="B14" s="187" t="s">
        <v>227</v>
      </c>
      <c r="C14" s="188" t="s">
        <v>228</v>
      </c>
      <c r="D14" s="189">
        <v>44621.0</v>
      </c>
      <c r="E14" s="190">
        <v>430.0</v>
      </c>
      <c r="F14" s="190">
        <v>100.0</v>
      </c>
      <c r="G14" s="190">
        <v>20.0</v>
      </c>
      <c r="H14" s="191">
        <v>4.3</v>
      </c>
      <c r="I14" s="191">
        <v>21.5</v>
      </c>
      <c r="J14" s="192" t="s">
        <v>229</v>
      </c>
      <c r="K14" s="105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5.75" customHeight="1">
      <c r="A15" s="175"/>
      <c r="B15" s="187" t="s">
        <v>230</v>
      </c>
      <c r="C15" s="188" t="s">
        <v>231</v>
      </c>
      <c r="D15" s="189">
        <v>45261.0</v>
      </c>
      <c r="E15" s="190">
        <v>450.0</v>
      </c>
      <c r="F15" s="190">
        <v>300.0</v>
      </c>
      <c r="G15" s="190">
        <v>90.0</v>
      </c>
      <c r="H15" s="191">
        <v>1.5</v>
      </c>
      <c r="I15" s="191">
        <v>5.0</v>
      </c>
      <c r="J15" s="192" t="s">
        <v>232</v>
      </c>
      <c r="K15" s="105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15.0" customHeight="1">
      <c r="A17" s="175"/>
      <c r="B17" s="18" t="s">
        <v>233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5.0" customHeight="1">
      <c r="A18" s="175"/>
      <c r="B18" s="13"/>
      <c r="C18" s="175"/>
      <c r="D18" s="175"/>
      <c r="E18" s="175"/>
      <c r="F18" s="175"/>
      <c r="G18" s="175"/>
      <c r="H18" s="194"/>
      <c r="I18" s="194"/>
      <c r="J18" s="175"/>
      <c r="K18" s="175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15.0" customHeight="1">
      <c r="A19" s="175"/>
      <c r="B19" s="195"/>
      <c r="C19" s="185" t="s">
        <v>234</v>
      </c>
      <c r="D19" s="185" t="s">
        <v>204</v>
      </c>
      <c r="E19" s="175"/>
      <c r="F19" s="175"/>
      <c r="G19" s="175"/>
      <c r="H19" s="194"/>
      <c r="I19" s="194"/>
      <c r="J19" s="175"/>
      <c r="K19" s="175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5.0" customHeight="1">
      <c r="A20" s="175"/>
      <c r="B20" s="110" t="s">
        <v>235</v>
      </c>
      <c r="C20" s="196">
        <f t="shared" ref="C20:D20" si="1">MIN(H6:H15)</f>
        <v>1.2</v>
      </c>
      <c r="D20" s="196">
        <f t="shared" si="1"/>
        <v>4.9</v>
      </c>
      <c r="E20" s="175"/>
      <c r="F20" s="175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15.0" customHeight="1">
      <c r="A21" s="175"/>
      <c r="B21" s="110" t="s">
        <v>236</v>
      </c>
      <c r="C21" s="196">
        <f t="shared" ref="C21:D21" si="2">PERCENTILE(H6:H15,0.25)</f>
        <v>2.275</v>
      </c>
      <c r="D21" s="196">
        <f t="shared" si="2"/>
        <v>10.9</v>
      </c>
      <c r="E21" s="175"/>
      <c r="F21" s="175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5.0" customHeight="1">
      <c r="A22" s="175"/>
      <c r="B22" s="197" t="s">
        <v>237</v>
      </c>
      <c r="C22" s="196">
        <f t="shared" ref="C22:D22" si="3">MEDIAN(H6:H15)</f>
        <v>4.5</v>
      </c>
      <c r="D22" s="196">
        <f t="shared" si="3"/>
        <v>14.8</v>
      </c>
      <c r="E22" s="175"/>
      <c r="F22" s="175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15.0" customHeight="1">
      <c r="A23" s="175"/>
      <c r="B23" s="110" t="s">
        <v>238</v>
      </c>
      <c r="C23" s="196">
        <f t="shared" ref="C23:D23" si="4">AVERAGE(H6:H15)</f>
        <v>5.07</v>
      </c>
      <c r="D23" s="196">
        <f t="shared" si="4"/>
        <v>13.35555556</v>
      </c>
      <c r="E23" s="175"/>
      <c r="F23" s="175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15.0" customHeight="1">
      <c r="A24" s="175"/>
      <c r="B24" s="110" t="s">
        <v>239</v>
      </c>
      <c r="C24" s="196">
        <f t="shared" ref="C24:D24" si="5">PERCENTILE(H6:H15,0.75)</f>
        <v>5.275</v>
      </c>
      <c r="D24" s="196">
        <f t="shared" si="5"/>
        <v>15</v>
      </c>
      <c r="E24" s="175"/>
      <c r="F24" s="175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5.0" customHeight="1">
      <c r="A25" s="175"/>
      <c r="B25" s="110" t="s">
        <v>240</v>
      </c>
      <c r="C25" s="196">
        <f t="shared" ref="C25:D25" si="6">MAX(H6:H15)</f>
        <v>16</v>
      </c>
      <c r="D25" s="196">
        <f t="shared" si="6"/>
        <v>21.5</v>
      </c>
      <c r="E25" s="175"/>
      <c r="F25" s="175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5.75" customHeight="1">
      <c r="A26" s="175"/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5.0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5.75" customHeight="1">
      <c r="A28" s="175"/>
      <c r="B28" s="18" t="s">
        <v>241</v>
      </c>
      <c r="C28" s="179"/>
      <c r="D28" s="32"/>
      <c r="E28" s="32"/>
      <c r="F28" s="32"/>
      <c r="G28" s="32"/>
      <c r="H28" s="32"/>
      <c r="I28" s="32"/>
      <c r="J28" s="32"/>
      <c r="K28" s="32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8.75" customHeight="1">
      <c r="A29" s="17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5.75" customHeight="1">
      <c r="A30" s="175"/>
      <c r="B30" s="13" t="s">
        <v>242</v>
      </c>
      <c r="C30" s="198"/>
      <c r="D30" s="199">
        <f>11750/'Historical Data'!E26</f>
        <v>8.020477816</v>
      </c>
      <c r="E30" s="200" t="s">
        <v>243</v>
      </c>
      <c r="H30" s="175"/>
      <c r="I30" s="175"/>
      <c r="J30" s="175"/>
      <c r="K30" s="175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5.75" customHeight="1">
      <c r="A31" s="175"/>
      <c r="B31" s="13" t="s">
        <v>244</v>
      </c>
      <c r="C31" s="198"/>
      <c r="D31" s="199">
        <f>11750/'Historical Data'!E5</f>
        <v>1.89028314</v>
      </c>
      <c r="E31" s="200" t="s">
        <v>243</v>
      </c>
      <c r="H31" s="175"/>
      <c r="I31" s="175"/>
      <c r="J31" s="175"/>
      <c r="K31" s="175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5.75" customHeight="1">
      <c r="A32" s="175"/>
      <c r="B32" s="13" t="s">
        <v>245</v>
      </c>
      <c r="C32" s="201"/>
      <c r="D32" s="202">
        <f>1-(D30/D22)</f>
        <v>0.4580758233</v>
      </c>
      <c r="E32" s="105"/>
      <c r="H32" s="175"/>
      <c r="I32" s="175"/>
      <c r="J32" s="175"/>
      <c r="K32" s="175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5.75" customHeight="1">
      <c r="A33" s="175"/>
      <c r="B33" s="9" t="s">
        <v>246</v>
      </c>
      <c r="C33" s="203" t="s">
        <v>247</v>
      </c>
      <c r="D33" s="9" t="s">
        <v>248</v>
      </c>
      <c r="H33" s="175"/>
      <c r="I33" s="175"/>
      <c r="J33" s="175"/>
      <c r="K33" s="175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5.0" customHeight="1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5.0" customHeight="1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36.75" customHeight="1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45.75" customHeight="1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45.75" customHeight="1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45.75" customHeight="1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54.75" customHeight="1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5.75" customHeight="1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5.75" customHeight="1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5.75" customHeight="1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5.75" customHeight="1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5.75" customHeight="1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5.75" customHeight="1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5.75" customHeight="1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5.75" customHeight="1">
      <c r="A48" s="175"/>
      <c r="B48" s="175"/>
      <c r="C48" s="175"/>
      <c r="D48" s="175"/>
      <c r="E48" s="175"/>
      <c r="F48" s="175"/>
      <c r="G48" s="175"/>
      <c r="H48" s="175"/>
      <c r="I48" s="175"/>
      <c r="J48" s="175"/>
      <c r="K48" s="175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5.75" customHeight="1">
      <c r="A49" s="175"/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5.75" customHeight="1">
      <c r="A50" s="175"/>
      <c r="B50" s="175"/>
      <c r="C50" s="175"/>
      <c r="D50" s="175"/>
      <c r="E50" s="175"/>
      <c r="F50" s="175"/>
      <c r="G50" s="175"/>
      <c r="H50" s="175"/>
      <c r="I50" s="175"/>
      <c r="J50" s="175"/>
      <c r="K50" s="175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5.75" customHeight="1">
      <c r="A51" s="175"/>
      <c r="B51" s="175"/>
      <c r="C51" s="175"/>
      <c r="D51" s="175"/>
      <c r="E51" s="175"/>
      <c r="F51" s="175"/>
      <c r="G51" s="175"/>
      <c r="H51" s="175"/>
      <c r="I51" s="175"/>
      <c r="J51" s="175"/>
      <c r="K51" s="175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5.75" customHeight="1">
      <c r="A52" s="175"/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5.75" customHeight="1">
      <c r="A53" s="175"/>
      <c r="B53" s="175"/>
      <c r="C53" s="175"/>
      <c r="D53" s="175"/>
      <c r="E53" s="175"/>
      <c r="F53" s="175"/>
      <c r="G53" s="175"/>
      <c r="H53" s="175"/>
      <c r="I53" s="175"/>
      <c r="J53" s="175"/>
      <c r="K53" s="175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5.75" customHeight="1">
      <c r="A54" s="175"/>
      <c r="B54" s="175"/>
      <c r="C54" s="175"/>
      <c r="D54" s="175"/>
      <c r="E54" s="175"/>
      <c r="F54" s="175"/>
      <c r="G54" s="175"/>
      <c r="H54" s="175"/>
      <c r="I54" s="175"/>
      <c r="J54" s="175"/>
      <c r="K54" s="175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5.75" customHeight="1">
      <c r="A55" s="175"/>
      <c r="B55" s="175"/>
      <c r="C55" s="175"/>
      <c r="D55" s="175"/>
      <c r="E55" s="175"/>
      <c r="F55" s="175"/>
      <c r="G55" s="175"/>
      <c r="H55" s="175"/>
      <c r="I55" s="175"/>
      <c r="J55" s="175"/>
      <c r="K55" s="175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5.75" customHeight="1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5.75" customHeight="1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5.75" customHeight="1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5.75" customHeight="1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5.75" customHeight="1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5.75" customHeight="1">
      <c r="A61" s="175"/>
      <c r="B61" s="175"/>
      <c r="C61" s="175"/>
      <c r="D61" s="175"/>
      <c r="E61" s="175"/>
      <c r="F61" s="175"/>
      <c r="G61" s="175"/>
      <c r="H61" s="175"/>
      <c r="I61" s="175"/>
      <c r="J61" s="175"/>
      <c r="K61" s="175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5.75" customHeight="1">
      <c r="A62" s="175"/>
      <c r="B62" s="175"/>
      <c r="C62" s="175"/>
      <c r="D62" s="175"/>
      <c r="E62" s="175"/>
      <c r="F62" s="175"/>
      <c r="G62" s="175"/>
      <c r="H62" s="175"/>
      <c r="I62" s="175"/>
      <c r="J62" s="175"/>
      <c r="K62" s="175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5.75" customHeight="1">
      <c r="A63" s="175"/>
      <c r="B63" s="175"/>
      <c r="C63" s="175"/>
      <c r="D63" s="175"/>
      <c r="E63" s="175"/>
      <c r="F63" s="175"/>
      <c r="G63" s="175"/>
      <c r="H63" s="175"/>
      <c r="I63" s="175"/>
      <c r="J63" s="175"/>
      <c r="K63" s="175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5.75" customHeight="1">
      <c r="A64" s="175"/>
      <c r="B64" s="175"/>
      <c r="C64" s="175"/>
      <c r="D64" s="175"/>
      <c r="E64" s="175"/>
      <c r="F64" s="175"/>
      <c r="G64" s="175"/>
      <c r="H64" s="175"/>
      <c r="I64" s="175"/>
      <c r="J64" s="175"/>
      <c r="K64" s="175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5.75" customHeight="1">
      <c r="A65" s="175"/>
      <c r="B65" s="175"/>
      <c r="C65" s="175"/>
      <c r="D65" s="175"/>
      <c r="E65" s="175"/>
      <c r="F65" s="175"/>
      <c r="G65" s="175"/>
      <c r="H65" s="175"/>
      <c r="I65" s="175"/>
      <c r="J65" s="175"/>
      <c r="K65" s="175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5.75" customHeight="1">
      <c r="A66" s="175"/>
      <c r="B66" s="175"/>
      <c r="C66" s="175"/>
      <c r="D66" s="175"/>
      <c r="E66" s="175"/>
      <c r="F66" s="175"/>
      <c r="G66" s="175"/>
      <c r="H66" s="175"/>
      <c r="I66" s="175"/>
      <c r="J66" s="175"/>
      <c r="K66" s="175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5.75" customHeight="1">
      <c r="A67" s="175"/>
      <c r="B67" s="175"/>
      <c r="C67" s="175"/>
      <c r="D67" s="175"/>
      <c r="E67" s="175"/>
      <c r="F67" s="175"/>
      <c r="G67" s="175"/>
      <c r="H67" s="175"/>
      <c r="I67" s="175"/>
      <c r="J67" s="175"/>
      <c r="K67" s="175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5.75" customHeight="1">
      <c r="A68" s="175"/>
      <c r="B68" s="175"/>
      <c r="C68" s="175"/>
      <c r="D68" s="175"/>
      <c r="E68" s="175"/>
      <c r="F68" s="175"/>
      <c r="G68" s="175"/>
      <c r="H68" s="175"/>
      <c r="I68" s="175"/>
      <c r="J68" s="175"/>
      <c r="K68" s="175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5.75" customHeight="1">
      <c r="A69" s="175"/>
      <c r="B69" s="175"/>
      <c r="C69" s="175"/>
      <c r="D69" s="175"/>
      <c r="E69" s="175"/>
      <c r="F69" s="175"/>
      <c r="G69" s="175"/>
      <c r="H69" s="175"/>
      <c r="I69" s="175"/>
      <c r="J69" s="175"/>
      <c r="K69" s="175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5.75" customHeight="1">
      <c r="A70" s="175"/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5.75" customHeight="1">
      <c r="A71" s="175"/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5.75" customHeight="1">
      <c r="A72" s="175"/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5.75" customHeight="1">
      <c r="A73" s="175"/>
      <c r="B73" s="175"/>
      <c r="C73" s="175"/>
      <c r="D73" s="175"/>
      <c r="E73" s="175"/>
      <c r="F73" s="175"/>
      <c r="G73" s="175"/>
      <c r="H73" s="175"/>
      <c r="I73" s="175"/>
      <c r="J73" s="175"/>
      <c r="K73" s="175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5.75" customHeight="1">
      <c r="A74" s="175"/>
      <c r="B74" s="175"/>
      <c r="C74" s="175"/>
      <c r="D74" s="175"/>
      <c r="E74" s="175"/>
      <c r="F74" s="175"/>
      <c r="G74" s="175"/>
      <c r="H74" s="175"/>
      <c r="I74" s="175"/>
      <c r="J74" s="175"/>
      <c r="K74" s="175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5.75" customHeight="1">
      <c r="A75" s="175"/>
      <c r="B75" s="175"/>
      <c r="C75" s="175"/>
      <c r="D75" s="175"/>
      <c r="E75" s="175"/>
      <c r="F75" s="175"/>
      <c r="G75" s="175"/>
      <c r="H75" s="175"/>
      <c r="I75" s="175"/>
      <c r="J75" s="175"/>
      <c r="K75" s="175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5.75" customHeight="1">
      <c r="A76" s="175"/>
      <c r="B76" s="175"/>
      <c r="C76" s="175"/>
      <c r="D76" s="175"/>
      <c r="E76" s="175"/>
      <c r="F76" s="175"/>
      <c r="G76" s="175"/>
      <c r="H76" s="175"/>
      <c r="I76" s="175"/>
      <c r="J76" s="175"/>
      <c r="K76" s="175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5.75" customHeight="1">
      <c r="A77" s="175"/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5.75" customHeight="1">
      <c r="A78" s="175"/>
      <c r="B78" s="175"/>
      <c r="C78" s="175"/>
      <c r="D78" s="175"/>
      <c r="E78" s="175"/>
      <c r="F78" s="175"/>
      <c r="G78" s="175"/>
      <c r="H78" s="175"/>
      <c r="I78" s="175"/>
      <c r="J78" s="175"/>
      <c r="K78" s="175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5.75" customHeight="1">
      <c r="A79" s="175"/>
      <c r="B79" s="175"/>
      <c r="C79" s="175"/>
      <c r="D79" s="175"/>
      <c r="E79" s="175"/>
      <c r="F79" s="175"/>
      <c r="G79" s="175"/>
      <c r="H79" s="175"/>
      <c r="I79" s="175"/>
      <c r="J79" s="175"/>
      <c r="K79" s="175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5.75" customHeight="1">
      <c r="A80" s="175"/>
      <c r="B80" s="175"/>
      <c r="C80" s="175"/>
      <c r="D80" s="175"/>
      <c r="E80" s="175"/>
      <c r="F80" s="175"/>
      <c r="G80" s="175"/>
      <c r="H80" s="175"/>
      <c r="I80" s="175"/>
      <c r="J80" s="175"/>
      <c r="K80" s="175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5.75" customHeight="1">
      <c r="A81" s="175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5.75" customHeight="1">
      <c r="A82" s="175"/>
      <c r="B82" s="175"/>
      <c r="C82" s="175"/>
      <c r="D82" s="175"/>
      <c r="E82" s="175"/>
      <c r="F82" s="175"/>
      <c r="G82" s="175"/>
      <c r="H82" s="175"/>
      <c r="I82" s="175"/>
      <c r="J82" s="175"/>
      <c r="K82" s="175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5.75" customHeight="1">
      <c r="A83" s="175"/>
      <c r="B83" s="175"/>
      <c r="C83" s="175"/>
      <c r="D83" s="175"/>
      <c r="E83" s="175"/>
      <c r="F83" s="175"/>
      <c r="G83" s="175"/>
      <c r="H83" s="175"/>
      <c r="I83" s="175"/>
      <c r="J83" s="175"/>
      <c r="K83" s="175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5.75" customHeight="1">
      <c r="A84" s="175"/>
      <c r="B84" s="175"/>
      <c r="C84" s="175"/>
      <c r="D84" s="175"/>
      <c r="E84" s="175"/>
      <c r="F84" s="175"/>
      <c r="G84" s="175"/>
      <c r="H84" s="175"/>
      <c r="I84" s="175"/>
      <c r="J84" s="175"/>
      <c r="K84" s="175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5.75" customHeight="1">
      <c r="A85" s="175"/>
      <c r="B85" s="175"/>
      <c r="C85" s="175"/>
      <c r="D85" s="175"/>
      <c r="E85" s="175"/>
      <c r="F85" s="175"/>
      <c r="G85" s="175"/>
      <c r="H85" s="175"/>
      <c r="I85" s="175"/>
      <c r="J85" s="175"/>
      <c r="K85" s="175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5.75" customHeight="1">
      <c r="A86" s="175"/>
      <c r="B86" s="175"/>
      <c r="C86" s="175"/>
      <c r="D86" s="175"/>
      <c r="E86" s="175"/>
      <c r="F86" s="175"/>
      <c r="G86" s="175"/>
      <c r="H86" s="175"/>
      <c r="I86" s="175"/>
      <c r="J86" s="175"/>
      <c r="K86" s="175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5.75" customHeight="1">
      <c r="A87" s="175"/>
      <c r="B87" s="175"/>
      <c r="C87" s="175"/>
      <c r="D87" s="175"/>
      <c r="E87" s="175"/>
      <c r="F87" s="175"/>
      <c r="G87" s="175"/>
      <c r="H87" s="175"/>
      <c r="I87" s="175"/>
      <c r="J87" s="175"/>
      <c r="K87" s="175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5.75" customHeight="1">
      <c r="A88" s="175"/>
      <c r="B88" s="175"/>
      <c r="C88" s="175"/>
      <c r="D88" s="175"/>
      <c r="E88" s="175"/>
      <c r="F88" s="175"/>
      <c r="G88" s="175"/>
      <c r="H88" s="175"/>
      <c r="I88" s="175"/>
      <c r="J88" s="175"/>
      <c r="K88" s="175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5.75" customHeight="1">
      <c r="A89" s="175"/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5.75" customHeight="1">
      <c r="A90" s="175"/>
      <c r="B90" s="175"/>
      <c r="C90" s="175"/>
      <c r="D90" s="175"/>
      <c r="E90" s="175"/>
      <c r="F90" s="175"/>
      <c r="G90" s="175"/>
      <c r="H90" s="175"/>
      <c r="I90" s="175"/>
      <c r="J90" s="175"/>
      <c r="K90" s="175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5.75" customHeight="1">
      <c r="A91" s="175"/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5.75" customHeight="1">
      <c r="A92" s="175"/>
      <c r="B92" s="175"/>
      <c r="C92" s="175"/>
      <c r="D92" s="175"/>
      <c r="E92" s="175"/>
      <c r="F92" s="175"/>
      <c r="G92" s="175"/>
      <c r="H92" s="175"/>
      <c r="I92" s="175"/>
      <c r="J92" s="175"/>
      <c r="K92" s="175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5.75" customHeight="1">
      <c r="A93" s="175"/>
      <c r="B93" s="175"/>
      <c r="C93" s="175"/>
      <c r="D93" s="175"/>
      <c r="E93" s="175"/>
      <c r="F93" s="175"/>
      <c r="G93" s="175"/>
      <c r="H93" s="175"/>
      <c r="I93" s="175"/>
      <c r="J93" s="175"/>
      <c r="K93" s="175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5.75" customHeight="1">
      <c r="A94" s="175"/>
      <c r="B94" s="175"/>
      <c r="C94" s="175"/>
      <c r="D94" s="175"/>
      <c r="E94" s="175"/>
      <c r="F94" s="175"/>
      <c r="G94" s="175"/>
      <c r="H94" s="175"/>
      <c r="I94" s="175"/>
      <c r="J94" s="175"/>
      <c r="K94" s="175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5.75" customHeight="1">
      <c r="A95" s="175"/>
      <c r="B95" s="175"/>
      <c r="C95" s="175"/>
      <c r="D95" s="175"/>
      <c r="E95" s="175"/>
      <c r="F95" s="175"/>
      <c r="G95" s="175"/>
      <c r="H95" s="175"/>
      <c r="I95" s="175"/>
      <c r="J95" s="175"/>
      <c r="K95" s="175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5.75" customHeight="1">
      <c r="A96" s="175"/>
      <c r="B96" s="175"/>
      <c r="C96" s="175"/>
      <c r="D96" s="175"/>
      <c r="E96" s="175"/>
      <c r="F96" s="175"/>
      <c r="G96" s="175"/>
      <c r="H96" s="175"/>
      <c r="I96" s="175"/>
      <c r="J96" s="175"/>
      <c r="K96" s="175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5.75" customHeight="1">
      <c r="A97" s="175"/>
      <c r="B97" s="175"/>
      <c r="C97" s="175"/>
      <c r="D97" s="175"/>
      <c r="E97" s="175"/>
      <c r="F97" s="175"/>
      <c r="G97" s="175"/>
      <c r="H97" s="175"/>
      <c r="I97" s="175"/>
      <c r="J97" s="175"/>
      <c r="K97" s="175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5.75" customHeight="1">
      <c r="A98" s="175"/>
      <c r="B98" s="175"/>
      <c r="C98" s="175"/>
      <c r="D98" s="175"/>
      <c r="E98" s="175"/>
      <c r="F98" s="175"/>
      <c r="G98" s="175"/>
      <c r="H98" s="175"/>
      <c r="I98" s="175"/>
      <c r="J98" s="175"/>
      <c r="K98" s="175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5.75" customHeight="1">
      <c r="A99" s="175"/>
      <c r="B99" s="175"/>
      <c r="C99" s="175"/>
      <c r="D99" s="175"/>
      <c r="E99" s="175"/>
      <c r="F99" s="175"/>
      <c r="G99" s="175"/>
      <c r="H99" s="175"/>
      <c r="I99" s="175"/>
      <c r="J99" s="175"/>
      <c r="K99" s="175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5.75" customHeight="1">
      <c r="A100" s="175"/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5.75" customHeight="1">
      <c r="A101" s="175"/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5.75" customHeight="1">
      <c r="A102" s="175"/>
      <c r="B102" s="175"/>
      <c r="C102" s="175"/>
      <c r="D102" s="175"/>
      <c r="E102" s="175"/>
      <c r="F102" s="175"/>
      <c r="G102" s="175"/>
      <c r="H102" s="175"/>
      <c r="I102" s="175"/>
      <c r="J102" s="175"/>
      <c r="K102" s="175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5.75" customHeight="1">
      <c r="A103" s="175"/>
      <c r="B103" s="175"/>
      <c r="C103" s="175"/>
      <c r="D103" s="175"/>
      <c r="E103" s="175"/>
      <c r="F103" s="175"/>
      <c r="G103" s="175"/>
      <c r="H103" s="175"/>
      <c r="I103" s="175"/>
      <c r="J103" s="175"/>
      <c r="K103" s="175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ht="15.75" customHeight="1">
      <c r="A104" s="175"/>
      <c r="B104" s="175"/>
      <c r="C104" s="175"/>
      <c r="D104" s="175"/>
      <c r="E104" s="175"/>
      <c r="F104" s="175"/>
      <c r="G104" s="175"/>
      <c r="H104" s="175"/>
      <c r="I104" s="175"/>
      <c r="J104" s="175"/>
      <c r="K104" s="175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ht="15.75" customHeight="1">
      <c r="A105" s="175"/>
      <c r="B105" s="175"/>
      <c r="C105" s="175"/>
      <c r="D105" s="175"/>
      <c r="E105" s="175"/>
      <c r="F105" s="175"/>
      <c r="G105" s="175"/>
      <c r="H105" s="175"/>
      <c r="I105" s="175"/>
      <c r="J105" s="175"/>
      <c r="K105" s="175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ht="15.75" customHeight="1">
      <c r="A106" s="175"/>
      <c r="B106" s="175"/>
      <c r="C106" s="175"/>
      <c r="D106" s="175"/>
      <c r="E106" s="175"/>
      <c r="F106" s="175"/>
      <c r="G106" s="175"/>
      <c r="H106" s="175"/>
      <c r="I106" s="175"/>
      <c r="J106" s="175"/>
      <c r="K106" s="175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ht="15.75" customHeight="1">
      <c r="A107" s="175"/>
      <c r="B107" s="175"/>
      <c r="C107" s="175"/>
      <c r="D107" s="175"/>
      <c r="E107" s="175"/>
      <c r="F107" s="175"/>
      <c r="G107" s="175"/>
      <c r="H107" s="175"/>
      <c r="I107" s="175"/>
      <c r="J107" s="175"/>
      <c r="K107" s="175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ht="15.75" customHeight="1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ht="15.75" customHeight="1">
      <c r="A109" s="175"/>
      <c r="B109" s="175"/>
      <c r="C109" s="175"/>
      <c r="D109" s="175"/>
      <c r="E109" s="175"/>
      <c r="F109" s="175"/>
      <c r="G109" s="175"/>
      <c r="H109" s="175"/>
      <c r="I109" s="175"/>
      <c r="J109" s="175"/>
      <c r="K109" s="175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ht="15.75" customHeight="1">
      <c r="A110" s="175"/>
      <c r="B110" s="175"/>
      <c r="C110" s="175"/>
      <c r="D110" s="175"/>
      <c r="E110" s="175"/>
      <c r="F110" s="175"/>
      <c r="G110" s="175"/>
      <c r="H110" s="175"/>
      <c r="I110" s="175"/>
      <c r="J110" s="175"/>
      <c r="K110" s="175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ht="15.75" customHeight="1">
      <c r="A111" s="175"/>
      <c r="B111" s="175"/>
      <c r="C111" s="175"/>
      <c r="D111" s="175"/>
      <c r="E111" s="175"/>
      <c r="F111" s="175"/>
      <c r="G111" s="175"/>
      <c r="H111" s="175"/>
      <c r="I111" s="175"/>
      <c r="J111" s="175"/>
      <c r="K111" s="175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5.75" customHeight="1">
      <c r="A112" s="175"/>
      <c r="B112" s="175"/>
      <c r="C112" s="175"/>
      <c r="D112" s="175"/>
      <c r="E112" s="175"/>
      <c r="F112" s="175"/>
      <c r="G112" s="175"/>
      <c r="H112" s="175"/>
      <c r="I112" s="175"/>
      <c r="J112" s="175"/>
      <c r="K112" s="175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ht="15.75" customHeight="1">
      <c r="A113" s="175"/>
      <c r="B113" s="175"/>
      <c r="C113" s="175"/>
      <c r="D113" s="175"/>
      <c r="E113" s="175"/>
      <c r="F113" s="175"/>
      <c r="G113" s="175"/>
      <c r="H113" s="175"/>
      <c r="I113" s="175"/>
      <c r="J113" s="175"/>
      <c r="K113" s="175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ht="15.75" customHeight="1">
      <c r="A114" s="175"/>
      <c r="B114" s="175"/>
      <c r="C114" s="175"/>
      <c r="D114" s="175"/>
      <c r="E114" s="175"/>
      <c r="F114" s="175"/>
      <c r="G114" s="175"/>
      <c r="H114" s="175"/>
      <c r="I114" s="175"/>
      <c r="J114" s="175"/>
      <c r="K114" s="175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ht="15.75" customHeight="1">
      <c r="A115" s="175"/>
      <c r="B115" s="175"/>
      <c r="C115" s="175"/>
      <c r="D115" s="175"/>
      <c r="E115" s="175"/>
      <c r="F115" s="175"/>
      <c r="G115" s="175"/>
      <c r="H115" s="175"/>
      <c r="I115" s="175"/>
      <c r="J115" s="175"/>
      <c r="K115" s="175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ht="15.75" customHeight="1">
      <c r="A116" s="175"/>
      <c r="B116" s="175"/>
      <c r="C116" s="175"/>
      <c r="D116" s="175"/>
      <c r="E116" s="175"/>
      <c r="F116" s="175"/>
      <c r="G116" s="175"/>
      <c r="H116" s="175"/>
      <c r="I116" s="175"/>
      <c r="J116" s="175"/>
      <c r="K116" s="175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ht="15.75" customHeight="1">
      <c r="A117" s="175"/>
      <c r="B117" s="175"/>
      <c r="C117" s="175"/>
      <c r="D117" s="175"/>
      <c r="E117" s="175"/>
      <c r="F117" s="175"/>
      <c r="G117" s="175"/>
      <c r="H117" s="175"/>
      <c r="I117" s="175"/>
      <c r="J117" s="175"/>
      <c r="K117" s="175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ht="15.75" customHeight="1">
      <c r="A118" s="175"/>
      <c r="B118" s="175"/>
      <c r="C118" s="175"/>
      <c r="D118" s="175"/>
      <c r="E118" s="175"/>
      <c r="F118" s="175"/>
      <c r="G118" s="175"/>
      <c r="H118" s="175"/>
      <c r="I118" s="175"/>
      <c r="J118" s="175"/>
      <c r="K118" s="175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ht="15.75" customHeight="1">
      <c r="A119" s="175"/>
      <c r="B119" s="175"/>
      <c r="C119" s="175"/>
      <c r="D119" s="175"/>
      <c r="E119" s="175"/>
      <c r="F119" s="175"/>
      <c r="G119" s="175"/>
      <c r="H119" s="175"/>
      <c r="I119" s="175"/>
      <c r="J119" s="175"/>
      <c r="K119" s="175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ht="15.75" customHeight="1">
      <c r="A120" s="175"/>
      <c r="B120" s="175"/>
      <c r="C120" s="175"/>
      <c r="D120" s="175"/>
      <c r="E120" s="175"/>
      <c r="F120" s="175"/>
      <c r="G120" s="175"/>
      <c r="H120" s="175"/>
      <c r="I120" s="175"/>
      <c r="J120" s="175"/>
      <c r="K120" s="175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ht="15.75" customHeight="1">
      <c r="A121" s="175"/>
      <c r="B121" s="175"/>
      <c r="C121" s="175"/>
      <c r="D121" s="175"/>
      <c r="E121" s="175"/>
      <c r="F121" s="175"/>
      <c r="G121" s="175"/>
      <c r="H121" s="175"/>
      <c r="I121" s="175"/>
      <c r="J121" s="175"/>
      <c r="K121" s="175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ht="15.75" customHeight="1">
      <c r="A122" s="175"/>
      <c r="B122" s="175"/>
      <c r="C122" s="175"/>
      <c r="D122" s="175"/>
      <c r="E122" s="175"/>
      <c r="F122" s="175"/>
      <c r="G122" s="175"/>
      <c r="H122" s="175"/>
      <c r="I122" s="175"/>
      <c r="J122" s="175"/>
      <c r="K122" s="175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ht="15.75" customHeight="1">
      <c r="A123" s="175"/>
      <c r="B123" s="175"/>
      <c r="C123" s="175"/>
      <c r="D123" s="175"/>
      <c r="E123" s="175"/>
      <c r="F123" s="175"/>
      <c r="G123" s="175"/>
      <c r="H123" s="175"/>
      <c r="I123" s="175"/>
      <c r="J123" s="175"/>
      <c r="K123" s="175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ht="15.75" customHeight="1">
      <c r="A124" s="175"/>
      <c r="B124" s="175"/>
      <c r="C124" s="175"/>
      <c r="D124" s="175"/>
      <c r="E124" s="175"/>
      <c r="F124" s="175"/>
      <c r="G124" s="175"/>
      <c r="H124" s="175"/>
      <c r="I124" s="175"/>
      <c r="J124" s="175"/>
      <c r="K124" s="175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ht="15.75" customHeight="1">
      <c r="A125" s="175"/>
      <c r="B125" s="175"/>
      <c r="C125" s="175"/>
      <c r="D125" s="175"/>
      <c r="E125" s="175"/>
      <c r="F125" s="175"/>
      <c r="G125" s="175"/>
      <c r="H125" s="175"/>
      <c r="I125" s="175"/>
      <c r="J125" s="175"/>
      <c r="K125" s="175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ht="15.75" customHeight="1">
      <c r="A126" s="175"/>
      <c r="B126" s="175"/>
      <c r="C126" s="175"/>
      <c r="D126" s="175"/>
      <c r="E126" s="175"/>
      <c r="F126" s="175"/>
      <c r="G126" s="175"/>
      <c r="H126" s="175"/>
      <c r="I126" s="175"/>
      <c r="J126" s="175"/>
      <c r="K126" s="175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ht="15.75" customHeight="1">
      <c r="A127" s="175"/>
      <c r="B127" s="175"/>
      <c r="C127" s="175"/>
      <c r="D127" s="175"/>
      <c r="E127" s="175"/>
      <c r="F127" s="175"/>
      <c r="G127" s="175"/>
      <c r="H127" s="175"/>
      <c r="I127" s="175"/>
      <c r="J127" s="175"/>
      <c r="K127" s="175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ht="15.75" customHeight="1">
      <c r="A128" s="175"/>
      <c r="B128" s="175"/>
      <c r="C128" s="175"/>
      <c r="D128" s="175"/>
      <c r="E128" s="175"/>
      <c r="F128" s="175"/>
      <c r="G128" s="175"/>
      <c r="H128" s="175"/>
      <c r="I128" s="175"/>
      <c r="J128" s="175"/>
      <c r="K128" s="175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5.75" customHeight="1">
      <c r="A129" s="175"/>
      <c r="B129" s="175"/>
      <c r="C129" s="175"/>
      <c r="D129" s="175"/>
      <c r="E129" s="175"/>
      <c r="F129" s="175"/>
      <c r="G129" s="175"/>
      <c r="H129" s="175"/>
      <c r="I129" s="175"/>
      <c r="J129" s="175"/>
      <c r="K129" s="175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ht="15.75" customHeight="1">
      <c r="A130" s="175"/>
      <c r="B130" s="175"/>
      <c r="C130" s="175"/>
      <c r="D130" s="175"/>
      <c r="E130" s="175"/>
      <c r="F130" s="175"/>
      <c r="G130" s="175"/>
      <c r="H130" s="175"/>
      <c r="I130" s="175"/>
      <c r="J130" s="175"/>
      <c r="K130" s="175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ht="15.75" customHeight="1">
      <c r="A131" s="175"/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ht="15.75" customHeight="1">
      <c r="A132" s="175"/>
      <c r="B132" s="175"/>
      <c r="C132" s="175"/>
      <c r="D132" s="175"/>
      <c r="E132" s="175"/>
      <c r="F132" s="175"/>
      <c r="G132" s="175"/>
      <c r="H132" s="175"/>
      <c r="I132" s="175"/>
      <c r="J132" s="175"/>
      <c r="K132" s="175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ht="15.75" customHeight="1">
      <c r="A133" s="175"/>
      <c r="B133" s="175"/>
      <c r="C133" s="175"/>
      <c r="D133" s="175"/>
      <c r="E133" s="175"/>
      <c r="F133" s="175"/>
      <c r="G133" s="175"/>
      <c r="H133" s="175"/>
      <c r="I133" s="175"/>
      <c r="J133" s="175"/>
      <c r="K133" s="175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ht="15.75" customHeight="1">
      <c r="A134" s="175"/>
      <c r="B134" s="175"/>
      <c r="C134" s="175"/>
      <c r="D134" s="175"/>
      <c r="E134" s="175"/>
      <c r="F134" s="175"/>
      <c r="G134" s="175"/>
      <c r="H134" s="175"/>
      <c r="I134" s="175"/>
      <c r="J134" s="175"/>
      <c r="K134" s="175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ht="15.75" customHeight="1">
      <c r="A135" s="175"/>
      <c r="B135" s="175"/>
      <c r="C135" s="175"/>
      <c r="D135" s="175"/>
      <c r="E135" s="175"/>
      <c r="F135" s="175"/>
      <c r="G135" s="175"/>
      <c r="H135" s="175"/>
      <c r="I135" s="175"/>
      <c r="J135" s="175"/>
      <c r="K135" s="175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ht="15.75" customHeight="1">
      <c r="A136" s="175"/>
      <c r="B136" s="175"/>
      <c r="C136" s="175"/>
      <c r="D136" s="175"/>
      <c r="E136" s="175"/>
      <c r="F136" s="175"/>
      <c r="G136" s="175"/>
      <c r="H136" s="175"/>
      <c r="I136" s="175"/>
      <c r="J136" s="175"/>
      <c r="K136" s="175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ht="15.75" customHeight="1">
      <c r="A137" s="175"/>
      <c r="B137" s="175"/>
      <c r="C137" s="175"/>
      <c r="D137" s="175"/>
      <c r="E137" s="175"/>
      <c r="F137" s="175"/>
      <c r="G137" s="175"/>
      <c r="H137" s="175"/>
      <c r="I137" s="175"/>
      <c r="J137" s="175"/>
      <c r="K137" s="175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ht="15.75" customHeight="1">
      <c r="A138" s="175"/>
      <c r="B138" s="175"/>
      <c r="C138" s="175"/>
      <c r="D138" s="175"/>
      <c r="E138" s="175"/>
      <c r="F138" s="175"/>
      <c r="G138" s="175"/>
      <c r="H138" s="175"/>
      <c r="I138" s="175"/>
      <c r="J138" s="175"/>
      <c r="K138" s="175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ht="15.75" customHeight="1">
      <c r="A139" s="175"/>
      <c r="B139" s="175"/>
      <c r="C139" s="175"/>
      <c r="D139" s="175"/>
      <c r="E139" s="175"/>
      <c r="F139" s="175"/>
      <c r="G139" s="175"/>
      <c r="H139" s="175"/>
      <c r="I139" s="175"/>
      <c r="J139" s="175"/>
      <c r="K139" s="175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5.75" customHeight="1">
      <c r="A140" s="175"/>
      <c r="B140" s="175"/>
      <c r="C140" s="175"/>
      <c r="D140" s="175"/>
      <c r="E140" s="175"/>
      <c r="F140" s="175"/>
      <c r="G140" s="175"/>
      <c r="H140" s="175"/>
      <c r="I140" s="175"/>
      <c r="J140" s="175"/>
      <c r="K140" s="175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5.75" customHeight="1">
      <c r="A141" s="175"/>
      <c r="B141" s="175"/>
      <c r="C141" s="175"/>
      <c r="D141" s="175"/>
      <c r="E141" s="175"/>
      <c r="F141" s="175"/>
      <c r="G141" s="175"/>
      <c r="H141" s="175"/>
      <c r="I141" s="175"/>
      <c r="J141" s="175"/>
      <c r="K141" s="175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15.75" customHeight="1">
      <c r="A142" s="175"/>
      <c r="B142" s="175"/>
      <c r="C142" s="175"/>
      <c r="D142" s="175"/>
      <c r="E142" s="175"/>
      <c r="F142" s="175"/>
      <c r="G142" s="175"/>
      <c r="H142" s="175"/>
      <c r="I142" s="175"/>
      <c r="J142" s="175"/>
      <c r="K142" s="175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5.75" customHeight="1">
      <c r="A143" s="175"/>
      <c r="B143" s="175"/>
      <c r="C143" s="175"/>
      <c r="D143" s="175"/>
      <c r="E143" s="175"/>
      <c r="F143" s="175"/>
      <c r="G143" s="175"/>
      <c r="H143" s="175"/>
      <c r="I143" s="175"/>
      <c r="J143" s="175"/>
      <c r="K143" s="175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ht="15.75" customHeight="1">
      <c r="A144" s="175"/>
      <c r="B144" s="175"/>
      <c r="C144" s="175"/>
      <c r="D144" s="175"/>
      <c r="E144" s="175"/>
      <c r="F144" s="175"/>
      <c r="G144" s="175"/>
      <c r="H144" s="175"/>
      <c r="I144" s="175"/>
      <c r="J144" s="175"/>
      <c r="K144" s="175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5.75" customHeight="1">
      <c r="A145" s="175"/>
      <c r="B145" s="175"/>
      <c r="C145" s="175"/>
      <c r="D145" s="175"/>
      <c r="E145" s="175"/>
      <c r="F145" s="175"/>
      <c r="G145" s="175"/>
      <c r="H145" s="175"/>
      <c r="I145" s="175"/>
      <c r="J145" s="175"/>
      <c r="K145" s="175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ht="15.75" customHeight="1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  <c r="K146" s="175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ht="15.75" customHeight="1">
      <c r="A147" s="175"/>
      <c r="B147" s="175"/>
      <c r="C147" s="175"/>
      <c r="D147" s="175"/>
      <c r="E147" s="175"/>
      <c r="F147" s="175"/>
      <c r="G147" s="175"/>
      <c r="H147" s="175"/>
      <c r="I147" s="175"/>
      <c r="J147" s="175"/>
      <c r="K147" s="175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ht="15.75" customHeight="1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  <c r="K148" s="175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ht="15.75" customHeight="1">
      <c r="A149" s="175"/>
      <c r="B149" s="175"/>
      <c r="C149" s="175"/>
      <c r="D149" s="175"/>
      <c r="E149" s="175"/>
      <c r="F149" s="175"/>
      <c r="G149" s="175"/>
      <c r="H149" s="175"/>
      <c r="I149" s="175"/>
      <c r="J149" s="175"/>
      <c r="K149" s="175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ht="15.75" customHeight="1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  <c r="K150" s="175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ht="15.75" customHeight="1">
      <c r="A151" s="175"/>
      <c r="B151" s="175"/>
      <c r="C151" s="175"/>
      <c r="D151" s="175"/>
      <c r="E151" s="175"/>
      <c r="F151" s="175"/>
      <c r="G151" s="175"/>
      <c r="H151" s="175"/>
      <c r="I151" s="175"/>
      <c r="J151" s="175"/>
      <c r="K151" s="175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ht="15.75" customHeight="1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  <c r="K152" s="175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ht="15.75" customHeight="1">
      <c r="A153" s="175"/>
      <c r="B153" s="175"/>
      <c r="C153" s="175"/>
      <c r="D153" s="175"/>
      <c r="E153" s="175"/>
      <c r="F153" s="175"/>
      <c r="G153" s="175"/>
      <c r="H153" s="175"/>
      <c r="I153" s="175"/>
      <c r="J153" s="175"/>
      <c r="K153" s="175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ht="15.75" customHeight="1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  <c r="K154" s="175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ht="15.75" customHeight="1">
      <c r="A155" s="175"/>
      <c r="B155" s="175"/>
      <c r="C155" s="175"/>
      <c r="D155" s="175"/>
      <c r="E155" s="175"/>
      <c r="F155" s="175"/>
      <c r="G155" s="175"/>
      <c r="H155" s="175"/>
      <c r="I155" s="175"/>
      <c r="J155" s="175"/>
      <c r="K155" s="175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ht="15.75" customHeight="1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  <c r="K156" s="175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ht="15.75" customHeight="1">
      <c r="A157" s="175"/>
      <c r="B157" s="175"/>
      <c r="C157" s="175"/>
      <c r="D157" s="175"/>
      <c r="E157" s="175"/>
      <c r="F157" s="175"/>
      <c r="G157" s="175"/>
      <c r="H157" s="175"/>
      <c r="I157" s="175"/>
      <c r="J157" s="175"/>
      <c r="K157" s="175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ht="15.75" customHeight="1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  <c r="K158" s="175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ht="15.75" customHeight="1">
      <c r="A159" s="175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ht="15.75" customHeight="1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  <c r="K160" s="175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ht="15.75" customHeight="1">
      <c r="A161" s="175"/>
      <c r="B161" s="175"/>
      <c r="C161" s="175"/>
      <c r="D161" s="175"/>
      <c r="E161" s="175"/>
      <c r="F161" s="175"/>
      <c r="G161" s="175"/>
      <c r="H161" s="175"/>
      <c r="I161" s="175"/>
      <c r="J161" s="175"/>
      <c r="K161" s="175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ht="15.75" customHeight="1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  <c r="K162" s="175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ht="15.75" customHeight="1">
      <c r="A163" s="175"/>
      <c r="B163" s="175"/>
      <c r="C163" s="175"/>
      <c r="D163" s="175"/>
      <c r="E163" s="175"/>
      <c r="F163" s="175"/>
      <c r="G163" s="175"/>
      <c r="H163" s="175"/>
      <c r="I163" s="175"/>
      <c r="J163" s="175"/>
      <c r="K163" s="175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ht="15.75" customHeight="1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  <c r="K164" s="175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ht="15.75" customHeight="1">
      <c r="A165" s="175"/>
      <c r="B165" s="175"/>
      <c r="C165" s="175"/>
      <c r="D165" s="175"/>
      <c r="E165" s="175"/>
      <c r="F165" s="175"/>
      <c r="G165" s="175"/>
      <c r="H165" s="175"/>
      <c r="I165" s="175"/>
      <c r="J165" s="175"/>
      <c r="K165" s="175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ht="15.75" customHeight="1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  <c r="K166" s="175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ht="15.75" customHeight="1">
      <c r="A167" s="175"/>
      <c r="B167" s="175"/>
      <c r="C167" s="175"/>
      <c r="D167" s="175"/>
      <c r="E167" s="175"/>
      <c r="F167" s="175"/>
      <c r="G167" s="175"/>
      <c r="H167" s="175"/>
      <c r="I167" s="175"/>
      <c r="J167" s="175"/>
      <c r="K167" s="175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ht="15.75" customHeight="1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  <c r="K168" s="175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ht="15.75" customHeight="1">
      <c r="A169" s="175"/>
      <c r="B169" s="175"/>
      <c r="C169" s="175"/>
      <c r="D169" s="175"/>
      <c r="E169" s="175"/>
      <c r="F169" s="175"/>
      <c r="G169" s="175"/>
      <c r="H169" s="175"/>
      <c r="I169" s="175"/>
      <c r="J169" s="175"/>
      <c r="K169" s="175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ht="15.75" customHeight="1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  <c r="K170" s="175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ht="15.75" customHeight="1">
      <c r="A171" s="175"/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ht="15.75" customHeight="1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ht="15.75" customHeight="1">
      <c r="A173" s="175"/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ht="15.75" customHeight="1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ht="15.75" customHeight="1">
      <c r="A175" s="175"/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ht="15.75" customHeight="1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  <c r="K176" s="175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ht="15.75" customHeight="1">
      <c r="A177" s="175"/>
      <c r="B177" s="175"/>
      <c r="C177" s="175"/>
      <c r="D177" s="175"/>
      <c r="E177" s="175"/>
      <c r="F177" s="175"/>
      <c r="G177" s="175"/>
      <c r="H177" s="175"/>
      <c r="I177" s="175"/>
      <c r="J177" s="175"/>
      <c r="K177" s="175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ht="15.75" customHeight="1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  <c r="K178" s="175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ht="15.75" customHeight="1">
      <c r="A179" s="175"/>
      <c r="B179" s="175"/>
      <c r="C179" s="175"/>
      <c r="D179" s="175"/>
      <c r="E179" s="175"/>
      <c r="F179" s="175"/>
      <c r="G179" s="175"/>
      <c r="H179" s="175"/>
      <c r="I179" s="175"/>
      <c r="J179" s="175"/>
      <c r="K179" s="175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ht="15.75" customHeight="1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  <c r="K180" s="175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ht="15.75" customHeight="1">
      <c r="A181" s="175"/>
      <c r="B181" s="175"/>
      <c r="C181" s="175"/>
      <c r="D181" s="175"/>
      <c r="E181" s="175"/>
      <c r="F181" s="175"/>
      <c r="G181" s="175"/>
      <c r="H181" s="175"/>
      <c r="I181" s="175"/>
      <c r="J181" s="175"/>
      <c r="K181" s="175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ht="15.75" customHeight="1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  <c r="K182" s="175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ht="15.75" customHeight="1">
      <c r="A183" s="175"/>
      <c r="B183" s="175"/>
      <c r="C183" s="175"/>
      <c r="D183" s="175"/>
      <c r="E183" s="175"/>
      <c r="F183" s="175"/>
      <c r="G183" s="175"/>
      <c r="H183" s="175"/>
      <c r="I183" s="175"/>
      <c r="J183" s="175"/>
      <c r="K183" s="175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ht="15.75" customHeight="1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  <c r="K184" s="175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ht="15.75" customHeight="1">
      <c r="A185" s="175"/>
      <c r="B185" s="175"/>
      <c r="C185" s="175"/>
      <c r="D185" s="175"/>
      <c r="E185" s="175"/>
      <c r="F185" s="175"/>
      <c r="G185" s="175"/>
      <c r="H185" s="175"/>
      <c r="I185" s="175"/>
      <c r="J185" s="175"/>
      <c r="K185" s="175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ht="15.75" customHeight="1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  <c r="K186" s="175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ht="15.75" customHeight="1">
      <c r="A187" s="175"/>
      <c r="B187" s="175"/>
      <c r="C187" s="175"/>
      <c r="D187" s="175"/>
      <c r="E187" s="175"/>
      <c r="F187" s="175"/>
      <c r="G187" s="175"/>
      <c r="H187" s="175"/>
      <c r="I187" s="175"/>
      <c r="J187" s="175"/>
      <c r="K187" s="175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ht="15.75" customHeight="1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  <c r="K188" s="175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ht="15.75" customHeight="1">
      <c r="A189" s="175"/>
      <c r="B189" s="175"/>
      <c r="C189" s="175"/>
      <c r="D189" s="175"/>
      <c r="E189" s="175"/>
      <c r="F189" s="175"/>
      <c r="G189" s="175"/>
      <c r="H189" s="175"/>
      <c r="I189" s="175"/>
      <c r="J189" s="175"/>
      <c r="K189" s="175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ht="15.75" customHeight="1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  <c r="K190" s="175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ht="15.75" customHeight="1">
      <c r="A191" s="175"/>
      <c r="B191" s="175"/>
      <c r="C191" s="175"/>
      <c r="D191" s="175"/>
      <c r="E191" s="175"/>
      <c r="F191" s="175"/>
      <c r="G191" s="175"/>
      <c r="H191" s="175"/>
      <c r="I191" s="175"/>
      <c r="J191" s="175"/>
      <c r="K191" s="175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ht="15.75" customHeight="1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  <c r="K192" s="175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ht="15.75" customHeight="1">
      <c r="A193" s="175"/>
      <c r="B193" s="175"/>
      <c r="C193" s="175"/>
      <c r="D193" s="175"/>
      <c r="E193" s="175"/>
      <c r="F193" s="175"/>
      <c r="G193" s="175"/>
      <c r="H193" s="175"/>
      <c r="I193" s="175"/>
      <c r="J193" s="175"/>
      <c r="K193" s="175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ht="15.75" customHeight="1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  <c r="K194" s="175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ht="15.75" customHeight="1">
      <c r="A195" s="175"/>
      <c r="B195" s="175"/>
      <c r="C195" s="175"/>
      <c r="D195" s="175"/>
      <c r="E195" s="175"/>
      <c r="F195" s="175"/>
      <c r="G195" s="175"/>
      <c r="H195" s="175"/>
      <c r="I195" s="175"/>
      <c r="J195" s="175"/>
      <c r="K195" s="175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ht="15.75" customHeight="1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  <c r="K196" s="175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ht="15.75" customHeight="1">
      <c r="A197" s="175"/>
      <c r="B197" s="175"/>
      <c r="C197" s="175"/>
      <c r="D197" s="175"/>
      <c r="E197" s="175"/>
      <c r="F197" s="175"/>
      <c r="G197" s="175"/>
      <c r="H197" s="175"/>
      <c r="I197" s="175"/>
      <c r="J197" s="175"/>
      <c r="K197" s="175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ht="15.75" customHeight="1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  <c r="K198" s="175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ht="15.75" customHeight="1">
      <c r="A199" s="175"/>
      <c r="B199" s="175"/>
      <c r="C199" s="175"/>
      <c r="D199" s="175"/>
      <c r="E199" s="175"/>
      <c r="F199" s="175"/>
      <c r="G199" s="175"/>
      <c r="H199" s="175"/>
      <c r="I199" s="175"/>
      <c r="J199" s="175"/>
      <c r="K199" s="175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ht="15.75" customHeight="1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  <c r="K200" s="175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ht="15.75" customHeight="1">
      <c r="A201" s="175"/>
      <c r="B201" s="175"/>
      <c r="C201" s="175"/>
      <c r="D201" s="175"/>
      <c r="E201" s="175"/>
      <c r="F201" s="175"/>
      <c r="G201" s="175"/>
      <c r="H201" s="175"/>
      <c r="I201" s="175"/>
      <c r="J201" s="175"/>
      <c r="K201" s="175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ht="15.75" customHeight="1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  <c r="K202" s="175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ht="15.75" customHeight="1">
      <c r="A203" s="175"/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ht="15.75" customHeight="1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  <c r="K204" s="175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ht="15.75" customHeight="1">
      <c r="A205" s="175"/>
      <c r="B205" s="175"/>
      <c r="C205" s="175"/>
      <c r="D205" s="175"/>
      <c r="E205" s="175"/>
      <c r="F205" s="175"/>
      <c r="G205" s="175"/>
      <c r="H205" s="175"/>
      <c r="I205" s="175"/>
      <c r="J205" s="175"/>
      <c r="K205" s="175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ht="15.75" customHeight="1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  <c r="K206" s="175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ht="15.75" customHeight="1">
      <c r="A207" s="175"/>
      <c r="B207" s="175"/>
      <c r="C207" s="175"/>
      <c r="D207" s="175"/>
      <c r="E207" s="175"/>
      <c r="F207" s="175"/>
      <c r="G207" s="175"/>
      <c r="H207" s="175"/>
      <c r="I207" s="175"/>
      <c r="J207" s="175"/>
      <c r="K207" s="175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ht="15.75" customHeight="1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  <c r="K208" s="175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ht="15.75" customHeight="1">
      <c r="A209" s="175"/>
      <c r="B209" s="175"/>
      <c r="C209" s="175"/>
      <c r="D209" s="175"/>
      <c r="E209" s="175"/>
      <c r="F209" s="175"/>
      <c r="G209" s="175"/>
      <c r="H209" s="175"/>
      <c r="I209" s="175"/>
      <c r="J209" s="175"/>
      <c r="K209" s="175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ht="15.75" customHeight="1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  <c r="K210" s="175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ht="15.75" customHeight="1">
      <c r="A211" s="175"/>
      <c r="B211" s="175"/>
      <c r="C211" s="175"/>
      <c r="D211" s="175"/>
      <c r="E211" s="175"/>
      <c r="F211" s="175"/>
      <c r="G211" s="175"/>
      <c r="H211" s="175"/>
      <c r="I211" s="175"/>
      <c r="J211" s="175"/>
      <c r="K211" s="175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ht="15.75" customHeight="1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  <c r="K212" s="175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ht="15.75" customHeight="1">
      <c r="A213" s="175"/>
      <c r="B213" s="175"/>
      <c r="C213" s="175"/>
      <c r="D213" s="175"/>
      <c r="E213" s="175"/>
      <c r="F213" s="175"/>
      <c r="G213" s="175"/>
      <c r="H213" s="175"/>
      <c r="I213" s="175"/>
      <c r="J213" s="175"/>
      <c r="K213" s="175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ht="15.75" customHeight="1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  <c r="K214" s="175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ht="15.75" customHeight="1">
      <c r="A215" s="175"/>
      <c r="B215" s="175"/>
      <c r="C215" s="175"/>
      <c r="D215" s="175"/>
      <c r="E215" s="175"/>
      <c r="F215" s="175"/>
      <c r="G215" s="175"/>
      <c r="H215" s="175"/>
      <c r="I215" s="175"/>
      <c r="J215" s="175"/>
      <c r="K215" s="175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ht="15.75" customHeight="1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  <c r="K216" s="175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ht="15.75" customHeight="1">
      <c r="A217" s="175"/>
      <c r="B217" s="175"/>
      <c r="C217" s="175"/>
      <c r="D217" s="175"/>
      <c r="E217" s="175"/>
      <c r="F217" s="175"/>
      <c r="G217" s="175"/>
      <c r="H217" s="175"/>
      <c r="I217" s="175"/>
      <c r="J217" s="175"/>
      <c r="K217" s="175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ht="15.75" customHeight="1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  <c r="K218" s="175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ht="15.75" customHeight="1">
      <c r="A219" s="175"/>
      <c r="B219" s="175"/>
      <c r="C219" s="175"/>
      <c r="D219" s="175"/>
      <c r="E219" s="175"/>
      <c r="F219" s="175"/>
      <c r="G219" s="175"/>
      <c r="H219" s="175"/>
      <c r="I219" s="175"/>
      <c r="J219" s="175"/>
      <c r="K219" s="175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ht="15.75" customHeight="1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  <c r="K220" s="175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ht="15.75" customHeight="1">
      <c r="A221" s="175"/>
      <c r="B221" s="175"/>
      <c r="C221" s="175"/>
      <c r="D221" s="175"/>
      <c r="E221" s="175"/>
      <c r="F221" s="175"/>
      <c r="G221" s="175"/>
      <c r="H221" s="175"/>
      <c r="I221" s="175"/>
      <c r="J221" s="175"/>
      <c r="K221" s="175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 ht="15.75" customHeight="1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 ht="15.75" customHeight="1">
      <c r="A223" s="175"/>
      <c r="B223" s="175"/>
      <c r="C223" s="175"/>
      <c r="D223" s="175"/>
      <c r="E223" s="175"/>
      <c r="F223" s="175"/>
      <c r="G223" s="175"/>
      <c r="H223" s="175"/>
      <c r="I223" s="175"/>
      <c r="J223" s="175"/>
      <c r="K223" s="175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 ht="15.75" customHeight="1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  <c r="K224" s="175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 ht="15.75" customHeight="1">
      <c r="A225" s="175"/>
      <c r="B225" s="175"/>
      <c r="C225" s="175"/>
      <c r="D225" s="175"/>
      <c r="E225" s="175"/>
      <c r="F225" s="175"/>
      <c r="G225" s="175"/>
      <c r="H225" s="175"/>
      <c r="I225" s="175"/>
      <c r="J225" s="175"/>
      <c r="K225" s="175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 ht="15.75" customHeight="1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  <c r="K226" s="175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 ht="15.75" customHeight="1">
      <c r="A227" s="175"/>
      <c r="B227" s="175"/>
      <c r="C227" s="175"/>
      <c r="D227" s="175"/>
      <c r="E227" s="175"/>
      <c r="F227" s="175"/>
      <c r="G227" s="175"/>
      <c r="H227" s="175"/>
      <c r="I227" s="175"/>
      <c r="J227" s="175"/>
      <c r="K227" s="175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 ht="15.75" customHeight="1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  <c r="K228" s="175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 ht="15.75" customHeight="1">
      <c r="A229" s="175"/>
      <c r="B229" s="175"/>
      <c r="C229" s="175"/>
      <c r="D229" s="175"/>
      <c r="E229" s="175"/>
      <c r="F229" s="175"/>
      <c r="G229" s="175"/>
      <c r="H229" s="175"/>
      <c r="I229" s="175"/>
      <c r="J229" s="175"/>
      <c r="K229" s="175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 ht="15.75" customHeight="1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  <c r="K230" s="175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 ht="15.75" customHeight="1">
      <c r="A231" s="175"/>
      <c r="B231" s="175"/>
      <c r="C231" s="175"/>
      <c r="D231" s="175"/>
      <c r="E231" s="175"/>
      <c r="F231" s="175"/>
      <c r="G231" s="175"/>
      <c r="H231" s="175"/>
      <c r="I231" s="175"/>
      <c r="J231" s="175"/>
      <c r="K231" s="175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 ht="15.75" customHeight="1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  <c r="K232" s="175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 ht="15.75" customHeight="1">
      <c r="A233" s="175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 ht="15.75" customHeight="1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  <c r="K234" s="175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 ht="15.75" customHeight="1">
      <c r="A235" s="175"/>
      <c r="B235" s="175"/>
      <c r="C235" s="175"/>
      <c r="D235" s="175"/>
      <c r="E235" s="175"/>
      <c r="F235" s="175"/>
      <c r="G235" s="175"/>
      <c r="H235" s="175"/>
      <c r="I235" s="175"/>
      <c r="J235" s="175"/>
      <c r="K235" s="175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 ht="15.75" customHeight="1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  <c r="K236" s="175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 ht="15.75" customHeight="1">
      <c r="A237" s="175"/>
      <c r="B237" s="175"/>
      <c r="C237" s="175"/>
      <c r="D237" s="175"/>
      <c r="E237" s="175"/>
      <c r="F237" s="175"/>
      <c r="G237" s="175"/>
      <c r="H237" s="175"/>
      <c r="I237" s="175"/>
      <c r="J237" s="175"/>
      <c r="K237" s="175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 ht="15.75" customHeight="1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  <c r="K238" s="175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 ht="15.75" customHeight="1">
      <c r="A239" s="175"/>
      <c r="B239" s="175"/>
      <c r="C239" s="175"/>
      <c r="D239" s="175"/>
      <c r="E239" s="175"/>
      <c r="F239" s="175"/>
      <c r="G239" s="175"/>
      <c r="H239" s="175"/>
      <c r="I239" s="175"/>
      <c r="J239" s="175"/>
      <c r="K239" s="175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 ht="15.75" customHeight="1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  <c r="K240" s="175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 ht="15.75" customHeight="1">
      <c r="A241" s="175"/>
      <c r="B241" s="175"/>
      <c r="C241" s="175"/>
      <c r="D241" s="175"/>
      <c r="E241" s="175"/>
      <c r="F241" s="175"/>
      <c r="G241" s="175"/>
      <c r="H241" s="175"/>
      <c r="I241" s="175"/>
      <c r="J241" s="175"/>
      <c r="K241" s="175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 ht="15.75" customHeight="1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  <c r="K242" s="175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 ht="15.75" customHeight="1">
      <c r="A243" s="175"/>
      <c r="B243" s="175"/>
      <c r="C243" s="175"/>
      <c r="D243" s="175"/>
      <c r="E243" s="175"/>
      <c r="F243" s="175"/>
      <c r="G243" s="175"/>
      <c r="H243" s="175"/>
      <c r="I243" s="175"/>
      <c r="J243" s="175"/>
      <c r="K243" s="175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 ht="15.75" customHeight="1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  <c r="K244" s="175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 ht="15.75" customHeight="1">
      <c r="A245" s="175"/>
      <c r="B245" s="175"/>
      <c r="C245" s="175"/>
      <c r="D245" s="175"/>
      <c r="E245" s="175"/>
      <c r="F245" s="175"/>
      <c r="G245" s="175"/>
      <c r="H245" s="175"/>
      <c r="I245" s="175"/>
      <c r="J245" s="175"/>
      <c r="K245" s="175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 ht="15.75" customHeight="1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  <c r="K246" s="175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 ht="15.75" customHeight="1">
      <c r="A247" s="175"/>
      <c r="B247" s="175"/>
      <c r="C247" s="175"/>
      <c r="D247" s="175"/>
      <c r="E247" s="175"/>
      <c r="F247" s="175"/>
      <c r="G247" s="175"/>
      <c r="H247" s="175"/>
      <c r="I247" s="175"/>
      <c r="J247" s="175"/>
      <c r="K247" s="175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 ht="15.75" customHeight="1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  <c r="K248" s="175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 ht="15.75" customHeight="1">
      <c r="A249" s="175"/>
      <c r="B249" s="175"/>
      <c r="C249" s="175"/>
      <c r="D249" s="175"/>
      <c r="E249" s="175"/>
      <c r="F249" s="175"/>
      <c r="G249" s="175"/>
      <c r="H249" s="175"/>
      <c r="I249" s="175"/>
      <c r="J249" s="175"/>
      <c r="K249" s="175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 ht="15.75" customHeight="1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  <c r="K250" s="175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 ht="15.75" customHeight="1">
      <c r="A251" s="175"/>
      <c r="B251" s="175"/>
      <c r="C251" s="175"/>
      <c r="D251" s="175"/>
      <c r="E251" s="175"/>
      <c r="F251" s="175"/>
      <c r="G251" s="175"/>
      <c r="H251" s="175"/>
      <c r="I251" s="175"/>
      <c r="J251" s="175"/>
      <c r="K251" s="175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 ht="15.75" customHeight="1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  <c r="K252" s="175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 ht="15.75" customHeight="1">
      <c r="A253" s="175"/>
      <c r="B253" s="175"/>
      <c r="C253" s="175"/>
      <c r="D253" s="175"/>
      <c r="E253" s="175"/>
      <c r="F253" s="175"/>
      <c r="G253" s="175"/>
      <c r="H253" s="175"/>
      <c r="I253" s="175"/>
      <c r="J253" s="175"/>
      <c r="K253" s="175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 ht="15.75" customHeight="1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  <c r="K254" s="175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 ht="15.75" customHeight="1">
      <c r="A255" s="175"/>
      <c r="B255" s="175"/>
      <c r="C255" s="175"/>
      <c r="D255" s="175"/>
      <c r="E255" s="175"/>
      <c r="F255" s="175"/>
      <c r="G255" s="175"/>
      <c r="H255" s="175"/>
      <c r="I255" s="175"/>
      <c r="J255" s="175"/>
      <c r="K255" s="175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 ht="15.75" customHeight="1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  <c r="K256" s="175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 ht="15.75" customHeight="1">
      <c r="A257" s="175"/>
      <c r="B257" s="175"/>
      <c r="C257" s="175"/>
      <c r="D257" s="175"/>
      <c r="E257" s="175"/>
      <c r="F257" s="175"/>
      <c r="G257" s="175"/>
      <c r="H257" s="175"/>
      <c r="I257" s="175"/>
      <c r="J257" s="175"/>
      <c r="K257" s="175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 ht="15.75" customHeight="1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  <c r="K258" s="175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 ht="15.75" customHeight="1">
      <c r="A259" s="175"/>
      <c r="B259" s="175"/>
      <c r="C259" s="175"/>
      <c r="D259" s="175"/>
      <c r="E259" s="175"/>
      <c r="F259" s="175"/>
      <c r="G259" s="175"/>
      <c r="H259" s="175"/>
      <c r="I259" s="175"/>
      <c r="J259" s="175"/>
      <c r="K259" s="175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 ht="15.75" customHeight="1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  <c r="K260" s="175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 ht="15.75" customHeight="1">
      <c r="A261" s="175"/>
      <c r="B261" s="175"/>
      <c r="C261" s="175"/>
      <c r="D261" s="175"/>
      <c r="E261" s="175"/>
      <c r="F261" s="175"/>
      <c r="G261" s="175"/>
      <c r="H261" s="175"/>
      <c r="I261" s="175"/>
      <c r="J261" s="175"/>
      <c r="K261" s="175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 ht="15.75" customHeight="1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  <c r="K262" s="175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 ht="15.75" customHeight="1">
      <c r="A263" s="175"/>
      <c r="B263" s="175"/>
      <c r="C263" s="175"/>
      <c r="D263" s="175"/>
      <c r="E263" s="175"/>
      <c r="F263" s="175"/>
      <c r="G263" s="175"/>
      <c r="H263" s="175"/>
      <c r="I263" s="175"/>
      <c r="J263" s="175"/>
      <c r="K263" s="175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 ht="15.75" customHeight="1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  <c r="K264" s="175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 ht="15.75" customHeight="1">
      <c r="A265" s="175"/>
      <c r="B265" s="175"/>
      <c r="C265" s="175"/>
      <c r="D265" s="175"/>
      <c r="E265" s="175"/>
      <c r="F265" s="175"/>
      <c r="G265" s="175"/>
      <c r="H265" s="175"/>
      <c r="I265" s="175"/>
      <c r="J265" s="175"/>
      <c r="K265" s="175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 ht="15.75" customHeight="1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  <c r="K266" s="175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 ht="15.75" customHeight="1">
      <c r="A267" s="175"/>
      <c r="B267" s="175"/>
      <c r="C267" s="175"/>
      <c r="D267" s="175"/>
      <c r="E267" s="175"/>
      <c r="F267" s="175"/>
      <c r="G267" s="175"/>
      <c r="H267" s="175"/>
      <c r="I267" s="175"/>
      <c r="J267" s="175"/>
      <c r="K267" s="175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 ht="15.75" customHeight="1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  <c r="K268" s="175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 ht="15.75" customHeight="1">
      <c r="A269" s="175"/>
      <c r="B269" s="175"/>
      <c r="C269" s="175"/>
      <c r="D269" s="175"/>
      <c r="E269" s="175"/>
      <c r="F269" s="175"/>
      <c r="G269" s="175"/>
      <c r="H269" s="175"/>
      <c r="I269" s="175"/>
      <c r="J269" s="175"/>
      <c r="K269" s="175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 ht="15.75" customHeight="1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  <c r="K270" s="175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 ht="15.75" customHeight="1">
      <c r="A271" s="175"/>
      <c r="B271" s="175"/>
      <c r="C271" s="175"/>
      <c r="D271" s="175"/>
      <c r="E271" s="175"/>
      <c r="F271" s="175"/>
      <c r="G271" s="175"/>
      <c r="H271" s="175"/>
      <c r="I271" s="175"/>
      <c r="J271" s="175"/>
      <c r="K271" s="175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 ht="15.75" customHeight="1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  <c r="K272" s="175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 ht="15.75" customHeight="1">
      <c r="A273" s="175"/>
      <c r="B273" s="175"/>
      <c r="C273" s="175"/>
      <c r="D273" s="175"/>
      <c r="E273" s="175"/>
      <c r="F273" s="175"/>
      <c r="G273" s="175"/>
      <c r="H273" s="175"/>
      <c r="I273" s="175"/>
      <c r="J273" s="175"/>
      <c r="K273" s="175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 ht="15.75" customHeight="1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  <c r="K274" s="175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 ht="15.75" customHeight="1">
      <c r="A275" s="175"/>
      <c r="B275" s="175"/>
      <c r="C275" s="175"/>
      <c r="D275" s="175"/>
      <c r="E275" s="175"/>
      <c r="F275" s="175"/>
      <c r="G275" s="175"/>
      <c r="H275" s="175"/>
      <c r="I275" s="175"/>
      <c r="J275" s="175"/>
      <c r="K275" s="175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 ht="15.75" customHeight="1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  <c r="K276" s="175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 ht="15.75" customHeight="1">
      <c r="A277" s="175"/>
      <c r="B277" s="175"/>
      <c r="C277" s="175"/>
      <c r="D277" s="175"/>
      <c r="E277" s="175"/>
      <c r="F277" s="175"/>
      <c r="G277" s="175"/>
      <c r="H277" s="175"/>
      <c r="I277" s="175"/>
      <c r="J277" s="175"/>
      <c r="K277" s="175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 ht="15.75" customHeight="1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 ht="15.75" customHeight="1">
      <c r="A279" s="175"/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 ht="15.75" customHeight="1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 ht="15.75" customHeight="1">
      <c r="A281" s="175"/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 ht="15.75" customHeight="1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 ht="15.75" customHeight="1">
      <c r="A283" s="175"/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ht="15.75" customHeight="1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  <c r="K284" s="175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ht="15.75" customHeight="1">
      <c r="A285" s="175"/>
      <c r="B285" s="175"/>
      <c r="C285" s="175"/>
      <c r="D285" s="175"/>
      <c r="E285" s="175"/>
      <c r="F285" s="175"/>
      <c r="G285" s="175"/>
      <c r="H285" s="175"/>
      <c r="I285" s="175"/>
      <c r="J285" s="175"/>
      <c r="K285" s="175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ht="15.75" customHeight="1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  <c r="K286" s="175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ht="15.75" customHeight="1">
      <c r="A287" s="175"/>
      <c r="B287" s="175"/>
      <c r="C287" s="175"/>
      <c r="D287" s="175"/>
      <c r="E287" s="175"/>
      <c r="F287" s="175"/>
      <c r="G287" s="175"/>
      <c r="H287" s="175"/>
      <c r="I287" s="175"/>
      <c r="J287" s="175"/>
      <c r="K287" s="175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ht="15.75" customHeight="1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  <c r="K288" s="175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ht="15.75" customHeight="1">
      <c r="A289" s="175"/>
      <c r="B289" s="175"/>
      <c r="C289" s="175"/>
      <c r="D289" s="175"/>
      <c r="E289" s="175"/>
      <c r="F289" s="175"/>
      <c r="G289" s="175"/>
      <c r="H289" s="175"/>
      <c r="I289" s="175"/>
      <c r="J289" s="175"/>
      <c r="K289" s="175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ht="15.75" customHeight="1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  <c r="K290" s="175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ht="15.75" customHeight="1">
      <c r="A291" s="175"/>
      <c r="B291" s="175"/>
      <c r="C291" s="175"/>
      <c r="D291" s="175"/>
      <c r="E291" s="175"/>
      <c r="F291" s="175"/>
      <c r="G291" s="175"/>
      <c r="H291" s="175"/>
      <c r="I291" s="175"/>
      <c r="J291" s="175"/>
      <c r="K291" s="175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ht="15.75" customHeight="1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  <c r="K292" s="175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ht="15.75" customHeight="1">
      <c r="A293" s="175"/>
      <c r="B293" s="175"/>
      <c r="C293" s="175"/>
      <c r="D293" s="175"/>
      <c r="E293" s="175"/>
      <c r="F293" s="175"/>
      <c r="G293" s="175"/>
      <c r="H293" s="175"/>
      <c r="I293" s="175"/>
      <c r="J293" s="175"/>
      <c r="K293" s="175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ht="15.75" customHeight="1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  <c r="K294" s="175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ht="15.75" customHeight="1">
      <c r="A295" s="175"/>
      <c r="B295" s="175"/>
      <c r="C295" s="175"/>
      <c r="D295" s="175"/>
      <c r="E295" s="175"/>
      <c r="F295" s="175"/>
      <c r="G295" s="175"/>
      <c r="H295" s="175"/>
      <c r="I295" s="175"/>
      <c r="J295" s="175"/>
      <c r="K295" s="175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ht="15.75" customHeight="1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  <c r="K296" s="175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ht="15.75" customHeight="1">
      <c r="A297" s="175"/>
      <c r="B297" s="175"/>
      <c r="C297" s="175"/>
      <c r="D297" s="175"/>
      <c r="E297" s="175"/>
      <c r="F297" s="175"/>
      <c r="G297" s="175"/>
      <c r="H297" s="175"/>
      <c r="I297" s="175"/>
      <c r="J297" s="175"/>
      <c r="K297" s="175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ht="15.75" customHeight="1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  <c r="K298" s="175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ht="15.75" customHeight="1">
      <c r="A299" s="175"/>
      <c r="B299" s="175"/>
      <c r="C299" s="175"/>
      <c r="D299" s="175"/>
      <c r="E299" s="175"/>
      <c r="F299" s="175"/>
      <c r="G299" s="175"/>
      <c r="H299" s="175"/>
      <c r="I299" s="175"/>
      <c r="J299" s="175"/>
      <c r="K299" s="175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ht="15.75" customHeight="1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  <c r="K300" s="175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ht="15.75" customHeight="1">
      <c r="A301" s="175"/>
      <c r="B301" s="175"/>
      <c r="C301" s="175"/>
      <c r="D301" s="175"/>
      <c r="E301" s="175"/>
      <c r="F301" s="175"/>
      <c r="G301" s="175"/>
      <c r="H301" s="175"/>
      <c r="I301" s="175"/>
      <c r="J301" s="175"/>
      <c r="K301" s="175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ht="15.75" customHeight="1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  <c r="K302" s="175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ht="15.75" customHeight="1">
      <c r="A303" s="175"/>
      <c r="B303" s="175"/>
      <c r="C303" s="175"/>
      <c r="D303" s="175"/>
      <c r="E303" s="175"/>
      <c r="F303" s="175"/>
      <c r="G303" s="175"/>
      <c r="H303" s="175"/>
      <c r="I303" s="175"/>
      <c r="J303" s="175"/>
      <c r="K303" s="175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ht="15.75" customHeight="1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  <c r="K304" s="175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ht="15.75" customHeight="1">
      <c r="A305" s="175"/>
      <c r="B305" s="175"/>
      <c r="C305" s="175"/>
      <c r="D305" s="175"/>
      <c r="E305" s="175"/>
      <c r="F305" s="175"/>
      <c r="G305" s="175"/>
      <c r="H305" s="175"/>
      <c r="I305" s="175"/>
      <c r="J305" s="175"/>
      <c r="K305" s="175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ht="15.75" customHeight="1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  <c r="K306" s="175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ht="15.75" customHeight="1">
      <c r="A307" s="175"/>
      <c r="B307" s="175"/>
      <c r="C307" s="175"/>
      <c r="D307" s="175"/>
      <c r="E307" s="175"/>
      <c r="F307" s="175"/>
      <c r="G307" s="175"/>
      <c r="H307" s="175"/>
      <c r="I307" s="175"/>
      <c r="J307" s="175"/>
      <c r="K307" s="175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ht="15.75" customHeight="1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  <c r="K308" s="175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ht="15.75" customHeight="1">
      <c r="A309" s="175"/>
      <c r="B309" s="175"/>
      <c r="C309" s="175"/>
      <c r="D309" s="175"/>
      <c r="E309" s="175"/>
      <c r="F309" s="175"/>
      <c r="G309" s="175"/>
      <c r="H309" s="175"/>
      <c r="I309" s="175"/>
      <c r="J309" s="175"/>
      <c r="K309" s="175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ht="15.75" customHeight="1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  <c r="K310" s="175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ht="15.75" customHeight="1">
      <c r="A311" s="175"/>
      <c r="B311" s="175"/>
      <c r="C311" s="175"/>
      <c r="D311" s="175"/>
      <c r="E311" s="175"/>
      <c r="F311" s="175"/>
      <c r="G311" s="175"/>
      <c r="H311" s="175"/>
      <c r="I311" s="175"/>
      <c r="J311" s="175"/>
      <c r="K311" s="175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ht="15.75" customHeight="1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ht="15.75" customHeight="1">
      <c r="A313" s="175"/>
      <c r="B313" s="175"/>
      <c r="C313" s="175"/>
      <c r="D313" s="175"/>
      <c r="E313" s="175"/>
      <c r="F313" s="175"/>
      <c r="G313" s="175"/>
      <c r="H313" s="175"/>
      <c r="I313" s="175"/>
      <c r="J313" s="175"/>
      <c r="K313" s="175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ht="15.75" customHeight="1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  <c r="K314" s="175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ht="15.75" customHeight="1">
      <c r="A315" s="175"/>
      <c r="B315" s="175"/>
      <c r="C315" s="175"/>
      <c r="D315" s="175"/>
      <c r="E315" s="175"/>
      <c r="F315" s="175"/>
      <c r="G315" s="175"/>
      <c r="H315" s="175"/>
      <c r="I315" s="175"/>
      <c r="J315" s="175"/>
      <c r="K315" s="175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ht="15.75" customHeight="1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  <c r="K316" s="175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ht="15.75" customHeight="1">
      <c r="A317" s="175"/>
      <c r="B317" s="175"/>
      <c r="C317" s="175"/>
      <c r="D317" s="175"/>
      <c r="E317" s="175"/>
      <c r="F317" s="175"/>
      <c r="G317" s="175"/>
      <c r="H317" s="175"/>
      <c r="I317" s="175"/>
      <c r="J317" s="175"/>
      <c r="K317" s="175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ht="15.75" customHeight="1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  <c r="K318" s="175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ht="15.75" customHeight="1">
      <c r="A319" s="175"/>
      <c r="B319" s="175"/>
      <c r="C319" s="175"/>
      <c r="D319" s="175"/>
      <c r="E319" s="175"/>
      <c r="F319" s="175"/>
      <c r="G319" s="175"/>
      <c r="H319" s="175"/>
      <c r="I319" s="175"/>
      <c r="J319" s="175"/>
      <c r="K319" s="175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ht="15.75" customHeight="1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  <c r="K320" s="175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 ht="15.75" customHeight="1">
      <c r="A321" s="175"/>
      <c r="B321" s="175"/>
      <c r="C321" s="175"/>
      <c r="D321" s="175"/>
      <c r="E321" s="175"/>
      <c r="F321" s="175"/>
      <c r="G321" s="175"/>
      <c r="H321" s="175"/>
      <c r="I321" s="175"/>
      <c r="J321" s="175"/>
      <c r="K321" s="175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 ht="15.75" customHeight="1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  <c r="K322" s="175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 ht="15.75" customHeight="1">
      <c r="A323" s="175"/>
      <c r="B323" s="175"/>
      <c r="C323" s="175"/>
      <c r="D323" s="175"/>
      <c r="E323" s="175"/>
      <c r="F323" s="175"/>
      <c r="G323" s="175"/>
      <c r="H323" s="175"/>
      <c r="I323" s="175"/>
      <c r="J323" s="175"/>
      <c r="K323" s="175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 ht="15.75" customHeight="1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  <c r="K324" s="175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 ht="15.75" customHeight="1">
      <c r="A325" s="175"/>
      <c r="B325" s="175"/>
      <c r="C325" s="175"/>
      <c r="D325" s="175"/>
      <c r="E325" s="175"/>
      <c r="F325" s="175"/>
      <c r="G325" s="175"/>
      <c r="H325" s="175"/>
      <c r="I325" s="175"/>
      <c r="J325" s="175"/>
      <c r="K325" s="175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 ht="15.75" customHeight="1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  <c r="K326" s="175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 ht="15.75" customHeight="1">
      <c r="A327" s="175"/>
      <c r="B327" s="175"/>
      <c r="C327" s="175"/>
      <c r="D327" s="175"/>
      <c r="E327" s="175"/>
      <c r="F327" s="175"/>
      <c r="G327" s="175"/>
      <c r="H327" s="175"/>
      <c r="I327" s="175"/>
      <c r="J327" s="175"/>
      <c r="K327" s="175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 ht="15.75" customHeight="1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  <c r="K328" s="175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 ht="15.75" customHeight="1">
      <c r="A329" s="175"/>
      <c r="B329" s="175"/>
      <c r="C329" s="175"/>
      <c r="D329" s="175"/>
      <c r="E329" s="175"/>
      <c r="F329" s="175"/>
      <c r="G329" s="175"/>
      <c r="H329" s="175"/>
      <c r="I329" s="175"/>
      <c r="J329" s="175"/>
      <c r="K329" s="175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 ht="15.75" customHeight="1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  <c r="K330" s="175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 ht="15.75" customHeight="1">
      <c r="A331" s="175"/>
      <c r="B331" s="175"/>
      <c r="C331" s="175"/>
      <c r="D331" s="175"/>
      <c r="E331" s="175"/>
      <c r="F331" s="175"/>
      <c r="G331" s="175"/>
      <c r="H331" s="175"/>
      <c r="I331" s="175"/>
      <c r="J331" s="175"/>
      <c r="K331" s="175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 ht="15.75" customHeight="1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  <c r="K332" s="175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 ht="15.75" customHeight="1">
      <c r="A333" s="175"/>
      <c r="B333" s="175"/>
      <c r="C333" s="175"/>
      <c r="D333" s="175"/>
      <c r="E333" s="175"/>
      <c r="F333" s="175"/>
      <c r="G333" s="175"/>
      <c r="H333" s="175"/>
      <c r="I333" s="175"/>
      <c r="J333" s="175"/>
      <c r="K333" s="175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 ht="15.75" customHeight="1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  <c r="K334" s="175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 ht="15.75" customHeight="1">
      <c r="A335" s="175"/>
      <c r="B335" s="175"/>
      <c r="C335" s="175"/>
      <c r="D335" s="175"/>
      <c r="E335" s="175"/>
      <c r="F335" s="175"/>
      <c r="G335" s="175"/>
      <c r="H335" s="175"/>
      <c r="I335" s="175"/>
      <c r="J335" s="175"/>
      <c r="K335" s="175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 ht="15.75" customHeight="1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  <c r="K336" s="175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 ht="15.75" customHeight="1">
      <c r="A337" s="175"/>
      <c r="B337" s="175"/>
      <c r="C337" s="175"/>
      <c r="D337" s="175"/>
      <c r="E337" s="175"/>
      <c r="F337" s="175"/>
      <c r="G337" s="175"/>
      <c r="H337" s="175"/>
      <c r="I337" s="175"/>
      <c r="J337" s="175"/>
      <c r="K337" s="175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 ht="15.75" customHeight="1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  <c r="K338" s="175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 ht="15.75" customHeight="1">
      <c r="A339" s="175"/>
      <c r="B339" s="175"/>
      <c r="C339" s="175"/>
      <c r="D339" s="175"/>
      <c r="E339" s="175"/>
      <c r="F339" s="175"/>
      <c r="G339" s="175"/>
      <c r="H339" s="175"/>
      <c r="I339" s="175"/>
      <c r="J339" s="175"/>
      <c r="K339" s="175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 ht="15.75" customHeight="1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  <c r="K340" s="175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 ht="15.75" customHeight="1">
      <c r="A341" s="175"/>
      <c r="B341" s="175"/>
      <c r="C341" s="175"/>
      <c r="D341" s="175"/>
      <c r="E341" s="175"/>
      <c r="F341" s="175"/>
      <c r="G341" s="175"/>
      <c r="H341" s="175"/>
      <c r="I341" s="175"/>
      <c r="J341" s="175"/>
      <c r="K341" s="175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 ht="15.75" customHeight="1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  <c r="K342" s="175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 ht="15.75" customHeight="1">
      <c r="A343" s="175"/>
      <c r="B343" s="175"/>
      <c r="C343" s="175"/>
      <c r="D343" s="175"/>
      <c r="E343" s="175"/>
      <c r="F343" s="175"/>
      <c r="G343" s="175"/>
      <c r="H343" s="175"/>
      <c r="I343" s="175"/>
      <c r="J343" s="175"/>
      <c r="K343" s="175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 ht="15.75" customHeight="1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  <c r="K344" s="175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 ht="15.75" customHeight="1">
      <c r="A345" s="175"/>
      <c r="B345" s="175"/>
      <c r="C345" s="175"/>
      <c r="D345" s="175"/>
      <c r="E345" s="175"/>
      <c r="F345" s="175"/>
      <c r="G345" s="175"/>
      <c r="H345" s="175"/>
      <c r="I345" s="175"/>
      <c r="J345" s="175"/>
      <c r="K345" s="175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 ht="15.75" customHeight="1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  <c r="K346" s="175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 ht="15.75" customHeight="1">
      <c r="A347" s="175"/>
      <c r="B347" s="175"/>
      <c r="C347" s="175"/>
      <c r="D347" s="175"/>
      <c r="E347" s="175"/>
      <c r="F347" s="175"/>
      <c r="G347" s="175"/>
      <c r="H347" s="175"/>
      <c r="I347" s="175"/>
      <c r="J347" s="175"/>
      <c r="K347" s="175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 ht="15.75" customHeight="1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  <c r="K348" s="175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 ht="15.75" customHeight="1">
      <c r="A349" s="175"/>
      <c r="B349" s="175"/>
      <c r="C349" s="175"/>
      <c r="D349" s="175"/>
      <c r="E349" s="175"/>
      <c r="F349" s="175"/>
      <c r="G349" s="175"/>
      <c r="H349" s="175"/>
      <c r="I349" s="175"/>
      <c r="J349" s="175"/>
      <c r="K349" s="175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 ht="15.75" customHeight="1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  <c r="K350" s="175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 ht="15.75" customHeight="1">
      <c r="A351" s="175"/>
      <c r="B351" s="175"/>
      <c r="C351" s="175"/>
      <c r="D351" s="175"/>
      <c r="E351" s="175"/>
      <c r="F351" s="175"/>
      <c r="G351" s="175"/>
      <c r="H351" s="175"/>
      <c r="I351" s="175"/>
      <c r="J351" s="175"/>
      <c r="K351" s="175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 ht="15.75" customHeight="1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  <c r="K352" s="175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 ht="15.75" customHeight="1">
      <c r="A353" s="175"/>
      <c r="B353" s="175"/>
      <c r="C353" s="175"/>
      <c r="D353" s="175"/>
      <c r="E353" s="175"/>
      <c r="F353" s="175"/>
      <c r="G353" s="175"/>
      <c r="H353" s="175"/>
      <c r="I353" s="175"/>
      <c r="J353" s="175"/>
      <c r="K353" s="175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 ht="15.75" customHeight="1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  <c r="K354" s="175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 ht="15.75" customHeight="1">
      <c r="A355" s="175"/>
      <c r="B355" s="175"/>
      <c r="C355" s="175"/>
      <c r="D355" s="175"/>
      <c r="E355" s="175"/>
      <c r="F355" s="175"/>
      <c r="G355" s="175"/>
      <c r="H355" s="175"/>
      <c r="I355" s="175"/>
      <c r="J355" s="175"/>
      <c r="K355" s="175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 ht="15.75" customHeight="1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  <c r="K356" s="175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 ht="15.75" customHeight="1">
      <c r="A357" s="175"/>
      <c r="B357" s="175"/>
      <c r="C357" s="175"/>
      <c r="D357" s="175"/>
      <c r="E357" s="175"/>
      <c r="F357" s="175"/>
      <c r="G357" s="175"/>
      <c r="H357" s="175"/>
      <c r="I357" s="175"/>
      <c r="J357" s="175"/>
      <c r="K357" s="175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 ht="15.75" customHeight="1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  <c r="K358" s="175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 ht="15.75" customHeight="1">
      <c r="A359" s="175"/>
      <c r="B359" s="175"/>
      <c r="C359" s="175"/>
      <c r="D359" s="175"/>
      <c r="E359" s="175"/>
      <c r="F359" s="175"/>
      <c r="G359" s="175"/>
      <c r="H359" s="175"/>
      <c r="I359" s="175"/>
      <c r="J359" s="175"/>
      <c r="K359" s="175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 ht="15.75" customHeight="1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  <c r="K360" s="175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 ht="15.75" customHeight="1">
      <c r="A361" s="175"/>
      <c r="B361" s="175"/>
      <c r="C361" s="175"/>
      <c r="D361" s="175"/>
      <c r="E361" s="175"/>
      <c r="F361" s="175"/>
      <c r="G361" s="175"/>
      <c r="H361" s="175"/>
      <c r="I361" s="175"/>
      <c r="J361" s="175"/>
      <c r="K361" s="175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 ht="15.75" customHeight="1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  <c r="K362" s="175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 ht="15.75" customHeight="1">
      <c r="A363" s="175"/>
      <c r="B363" s="175"/>
      <c r="C363" s="175"/>
      <c r="D363" s="175"/>
      <c r="E363" s="175"/>
      <c r="F363" s="175"/>
      <c r="G363" s="175"/>
      <c r="H363" s="175"/>
      <c r="I363" s="175"/>
      <c r="J363" s="175"/>
      <c r="K363" s="175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 ht="15.75" customHeight="1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  <c r="K364" s="175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 ht="15.75" customHeight="1">
      <c r="A365" s="175"/>
      <c r="B365" s="175"/>
      <c r="C365" s="175"/>
      <c r="D365" s="175"/>
      <c r="E365" s="175"/>
      <c r="F365" s="175"/>
      <c r="G365" s="175"/>
      <c r="H365" s="175"/>
      <c r="I365" s="175"/>
      <c r="J365" s="175"/>
      <c r="K365" s="175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 ht="15.75" customHeight="1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  <c r="K366" s="175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 ht="15.75" customHeight="1">
      <c r="A367" s="175"/>
      <c r="B367" s="175"/>
      <c r="C367" s="175"/>
      <c r="D367" s="175"/>
      <c r="E367" s="175"/>
      <c r="F367" s="175"/>
      <c r="G367" s="175"/>
      <c r="H367" s="175"/>
      <c r="I367" s="175"/>
      <c r="J367" s="175"/>
      <c r="K367" s="175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 ht="15.75" customHeight="1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  <c r="K368" s="175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 ht="15.75" customHeight="1">
      <c r="A369" s="175"/>
      <c r="B369" s="175"/>
      <c r="C369" s="175"/>
      <c r="D369" s="175"/>
      <c r="E369" s="175"/>
      <c r="F369" s="175"/>
      <c r="G369" s="175"/>
      <c r="H369" s="175"/>
      <c r="I369" s="175"/>
      <c r="J369" s="175"/>
      <c r="K369" s="175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 ht="15.75" customHeight="1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  <c r="K370" s="175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 ht="15.75" customHeight="1">
      <c r="A371" s="175"/>
      <c r="B371" s="175"/>
      <c r="C371" s="175"/>
      <c r="D371" s="175"/>
      <c r="E371" s="175"/>
      <c r="F371" s="175"/>
      <c r="G371" s="175"/>
      <c r="H371" s="175"/>
      <c r="I371" s="175"/>
      <c r="J371" s="175"/>
      <c r="K371" s="175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 ht="15.75" customHeight="1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  <c r="K372" s="175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 ht="15.75" customHeight="1">
      <c r="A373" s="175"/>
      <c r="B373" s="175"/>
      <c r="C373" s="175"/>
      <c r="D373" s="175"/>
      <c r="E373" s="175"/>
      <c r="F373" s="175"/>
      <c r="G373" s="175"/>
      <c r="H373" s="175"/>
      <c r="I373" s="175"/>
      <c r="J373" s="175"/>
      <c r="K373" s="175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 ht="15.75" customHeight="1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  <c r="K374" s="175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 ht="15.75" customHeight="1">
      <c r="A375" s="175"/>
      <c r="B375" s="175"/>
      <c r="C375" s="175"/>
      <c r="D375" s="175"/>
      <c r="E375" s="175"/>
      <c r="F375" s="175"/>
      <c r="G375" s="175"/>
      <c r="H375" s="175"/>
      <c r="I375" s="175"/>
      <c r="J375" s="175"/>
      <c r="K375" s="175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 ht="15.75" customHeight="1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  <c r="K376" s="175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 ht="15.75" customHeight="1">
      <c r="A377" s="175"/>
      <c r="B377" s="175"/>
      <c r="C377" s="175"/>
      <c r="D377" s="175"/>
      <c r="E377" s="175"/>
      <c r="F377" s="175"/>
      <c r="G377" s="175"/>
      <c r="H377" s="175"/>
      <c r="I377" s="175"/>
      <c r="J377" s="175"/>
      <c r="K377" s="175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 ht="15.75" customHeight="1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  <c r="K378" s="175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 ht="15.75" customHeight="1">
      <c r="A379" s="175"/>
      <c r="B379" s="175"/>
      <c r="C379" s="175"/>
      <c r="D379" s="175"/>
      <c r="E379" s="175"/>
      <c r="F379" s="175"/>
      <c r="G379" s="175"/>
      <c r="H379" s="175"/>
      <c r="I379" s="175"/>
      <c r="J379" s="175"/>
      <c r="K379" s="175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 ht="15.75" customHeight="1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  <c r="K380" s="175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 ht="15.75" customHeight="1">
      <c r="A381" s="175"/>
      <c r="B381" s="175"/>
      <c r="C381" s="175"/>
      <c r="D381" s="175"/>
      <c r="E381" s="175"/>
      <c r="F381" s="175"/>
      <c r="G381" s="175"/>
      <c r="H381" s="175"/>
      <c r="I381" s="175"/>
      <c r="J381" s="175"/>
      <c r="K381" s="175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 ht="15.75" customHeight="1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  <c r="K382" s="175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 ht="15.75" customHeight="1">
      <c r="A383" s="175"/>
      <c r="B383" s="175"/>
      <c r="C383" s="175"/>
      <c r="D383" s="175"/>
      <c r="E383" s="175"/>
      <c r="F383" s="175"/>
      <c r="G383" s="175"/>
      <c r="H383" s="175"/>
      <c r="I383" s="175"/>
      <c r="J383" s="175"/>
      <c r="K383" s="175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 ht="15.75" customHeight="1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  <c r="K384" s="175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 ht="15.75" customHeight="1">
      <c r="A385" s="175"/>
      <c r="B385" s="175"/>
      <c r="C385" s="175"/>
      <c r="D385" s="175"/>
      <c r="E385" s="175"/>
      <c r="F385" s="175"/>
      <c r="G385" s="175"/>
      <c r="H385" s="175"/>
      <c r="I385" s="175"/>
      <c r="J385" s="175"/>
      <c r="K385" s="175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 ht="15.75" customHeight="1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  <c r="K386" s="175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 ht="15.75" customHeight="1">
      <c r="A387" s="175"/>
      <c r="B387" s="175"/>
      <c r="C387" s="175"/>
      <c r="D387" s="175"/>
      <c r="E387" s="175"/>
      <c r="F387" s="175"/>
      <c r="G387" s="175"/>
      <c r="H387" s="175"/>
      <c r="I387" s="175"/>
      <c r="J387" s="175"/>
      <c r="K387" s="175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 ht="15.75" customHeight="1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  <c r="K388" s="175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 ht="15.75" customHeight="1">
      <c r="A389" s="175"/>
      <c r="B389" s="175"/>
      <c r="C389" s="175"/>
      <c r="D389" s="175"/>
      <c r="E389" s="175"/>
      <c r="F389" s="175"/>
      <c r="G389" s="175"/>
      <c r="H389" s="175"/>
      <c r="I389" s="175"/>
      <c r="J389" s="175"/>
      <c r="K389" s="175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 ht="15.75" customHeight="1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  <c r="K390" s="175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 ht="15.75" customHeight="1">
      <c r="A391" s="175"/>
      <c r="B391" s="175"/>
      <c r="C391" s="175"/>
      <c r="D391" s="175"/>
      <c r="E391" s="175"/>
      <c r="F391" s="175"/>
      <c r="G391" s="175"/>
      <c r="H391" s="175"/>
      <c r="I391" s="175"/>
      <c r="J391" s="175"/>
      <c r="K391" s="175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 ht="15.75" customHeight="1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  <c r="K392" s="175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 ht="15.75" customHeight="1">
      <c r="A393" s="175"/>
      <c r="B393" s="175"/>
      <c r="C393" s="175"/>
      <c r="D393" s="175"/>
      <c r="E393" s="175"/>
      <c r="F393" s="175"/>
      <c r="G393" s="175"/>
      <c r="H393" s="175"/>
      <c r="I393" s="175"/>
      <c r="J393" s="175"/>
      <c r="K393" s="175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 ht="15.75" customHeight="1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  <c r="K394" s="175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 ht="15.75" customHeight="1">
      <c r="A395" s="175"/>
      <c r="B395" s="175"/>
      <c r="C395" s="175"/>
      <c r="D395" s="175"/>
      <c r="E395" s="175"/>
      <c r="F395" s="175"/>
      <c r="G395" s="175"/>
      <c r="H395" s="175"/>
      <c r="I395" s="175"/>
      <c r="J395" s="175"/>
      <c r="K395" s="175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 ht="15.75" customHeight="1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  <c r="K396" s="175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 ht="15.75" customHeight="1">
      <c r="A397" s="175"/>
      <c r="B397" s="175"/>
      <c r="C397" s="175"/>
      <c r="D397" s="175"/>
      <c r="E397" s="175"/>
      <c r="F397" s="175"/>
      <c r="G397" s="175"/>
      <c r="H397" s="175"/>
      <c r="I397" s="175"/>
      <c r="J397" s="175"/>
      <c r="K397" s="175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 ht="15.75" customHeight="1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  <c r="K398" s="175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 ht="15.75" customHeight="1">
      <c r="A399" s="175"/>
      <c r="B399" s="175"/>
      <c r="C399" s="175"/>
      <c r="D399" s="175"/>
      <c r="E399" s="175"/>
      <c r="F399" s="175"/>
      <c r="G399" s="175"/>
      <c r="H399" s="175"/>
      <c r="I399" s="175"/>
      <c r="J399" s="175"/>
      <c r="K399" s="175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 ht="15.75" customHeight="1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  <c r="K400" s="175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 ht="15.75" customHeight="1">
      <c r="A401" s="175"/>
      <c r="B401" s="175"/>
      <c r="C401" s="175"/>
      <c r="D401" s="175"/>
      <c r="E401" s="175"/>
      <c r="F401" s="175"/>
      <c r="G401" s="175"/>
      <c r="H401" s="175"/>
      <c r="I401" s="175"/>
      <c r="J401" s="175"/>
      <c r="K401" s="175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 ht="15.75" customHeight="1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  <c r="K402" s="175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 ht="15.75" customHeight="1">
      <c r="A403" s="175"/>
      <c r="B403" s="175"/>
      <c r="C403" s="175"/>
      <c r="D403" s="175"/>
      <c r="E403" s="175"/>
      <c r="F403" s="175"/>
      <c r="G403" s="175"/>
      <c r="H403" s="175"/>
      <c r="I403" s="175"/>
      <c r="J403" s="175"/>
      <c r="K403" s="175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 ht="15.75" customHeight="1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  <c r="K404" s="175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 ht="15.75" customHeight="1">
      <c r="A405" s="175"/>
      <c r="B405" s="175"/>
      <c r="C405" s="175"/>
      <c r="D405" s="175"/>
      <c r="E405" s="175"/>
      <c r="F405" s="175"/>
      <c r="G405" s="175"/>
      <c r="H405" s="175"/>
      <c r="I405" s="175"/>
      <c r="J405" s="175"/>
      <c r="K405" s="175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 ht="15.75" customHeight="1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  <c r="K406" s="175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 ht="15.75" customHeight="1">
      <c r="A407" s="175"/>
      <c r="B407" s="175"/>
      <c r="C407" s="175"/>
      <c r="D407" s="175"/>
      <c r="E407" s="175"/>
      <c r="F407" s="175"/>
      <c r="G407" s="175"/>
      <c r="H407" s="175"/>
      <c r="I407" s="175"/>
      <c r="J407" s="175"/>
      <c r="K407" s="175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 ht="15.75" customHeight="1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  <c r="K408" s="175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 ht="15.75" customHeight="1">
      <c r="A409" s="175"/>
      <c r="B409" s="175"/>
      <c r="C409" s="175"/>
      <c r="D409" s="175"/>
      <c r="E409" s="175"/>
      <c r="F409" s="175"/>
      <c r="G409" s="175"/>
      <c r="H409" s="175"/>
      <c r="I409" s="175"/>
      <c r="J409" s="175"/>
      <c r="K409" s="175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 ht="15.75" customHeight="1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  <c r="K410" s="175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 ht="15.75" customHeight="1">
      <c r="A411" s="175"/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 ht="15.75" customHeight="1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 ht="15.75" customHeight="1">
      <c r="A413" s="175"/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 ht="15.75" customHeight="1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 ht="15.75" customHeight="1">
      <c r="A415" s="175"/>
      <c r="B415" s="175"/>
      <c r="C415" s="175"/>
      <c r="D415" s="175"/>
      <c r="E415" s="175"/>
      <c r="F415" s="175"/>
      <c r="G415" s="175"/>
      <c r="H415" s="175"/>
      <c r="I415" s="175"/>
      <c r="J415" s="175"/>
      <c r="K415" s="175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 ht="15.75" customHeight="1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  <c r="K416" s="175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 ht="15.75" customHeight="1">
      <c r="A417" s="175"/>
      <c r="B417" s="175"/>
      <c r="C417" s="175"/>
      <c r="D417" s="175"/>
      <c r="E417" s="175"/>
      <c r="F417" s="175"/>
      <c r="G417" s="175"/>
      <c r="H417" s="175"/>
      <c r="I417" s="175"/>
      <c r="J417" s="175"/>
      <c r="K417" s="175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 ht="15.75" customHeight="1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  <c r="K418" s="175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 ht="15.75" customHeight="1">
      <c r="A419" s="175"/>
      <c r="B419" s="175"/>
      <c r="C419" s="175"/>
      <c r="D419" s="175"/>
      <c r="E419" s="175"/>
      <c r="F419" s="175"/>
      <c r="G419" s="175"/>
      <c r="H419" s="175"/>
      <c r="I419" s="175"/>
      <c r="J419" s="175"/>
      <c r="K419" s="175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 ht="15.75" customHeight="1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  <c r="K420" s="175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 ht="15.75" customHeight="1">
      <c r="A421" s="175"/>
      <c r="B421" s="175"/>
      <c r="C421" s="175"/>
      <c r="D421" s="175"/>
      <c r="E421" s="175"/>
      <c r="F421" s="175"/>
      <c r="G421" s="175"/>
      <c r="H421" s="175"/>
      <c r="I421" s="175"/>
      <c r="J421" s="175"/>
      <c r="K421" s="175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 ht="15.75" customHeight="1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  <c r="K422" s="175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 ht="15.75" customHeight="1">
      <c r="A423" s="175"/>
      <c r="B423" s="175"/>
      <c r="C423" s="175"/>
      <c r="D423" s="175"/>
      <c r="E423" s="175"/>
      <c r="F423" s="175"/>
      <c r="G423" s="175"/>
      <c r="H423" s="175"/>
      <c r="I423" s="175"/>
      <c r="J423" s="175"/>
      <c r="K423" s="175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 ht="15.75" customHeight="1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  <c r="K424" s="175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 ht="15.75" customHeight="1">
      <c r="A425" s="175"/>
      <c r="B425" s="175"/>
      <c r="C425" s="175"/>
      <c r="D425" s="175"/>
      <c r="E425" s="175"/>
      <c r="F425" s="175"/>
      <c r="G425" s="175"/>
      <c r="H425" s="175"/>
      <c r="I425" s="175"/>
      <c r="J425" s="175"/>
      <c r="K425" s="175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 ht="15.75" customHeight="1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  <c r="K426" s="175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 ht="15.75" customHeight="1">
      <c r="A427" s="175"/>
      <c r="B427" s="175"/>
      <c r="C427" s="175"/>
      <c r="D427" s="175"/>
      <c r="E427" s="175"/>
      <c r="F427" s="175"/>
      <c r="G427" s="175"/>
      <c r="H427" s="175"/>
      <c r="I427" s="175"/>
      <c r="J427" s="175"/>
      <c r="K427" s="175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 ht="15.75" customHeight="1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  <c r="K428" s="175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 ht="15.75" customHeight="1">
      <c r="A429" s="175"/>
      <c r="B429" s="175"/>
      <c r="C429" s="175"/>
      <c r="D429" s="175"/>
      <c r="E429" s="175"/>
      <c r="F429" s="175"/>
      <c r="G429" s="175"/>
      <c r="H429" s="175"/>
      <c r="I429" s="175"/>
      <c r="J429" s="175"/>
      <c r="K429" s="175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 ht="15.75" customHeight="1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  <c r="K430" s="175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 ht="15.75" customHeight="1">
      <c r="A431" s="175"/>
      <c r="B431" s="175"/>
      <c r="C431" s="175"/>
      <c r="D431" s="175"/>
      <c r="E431" s="175"/>
      <c r="F431" s="175"/>
      <c r="G431" s="175"/>
      <c r="H431" s="175"/>
      <c r="I431" s="175"/>
      <c r="J431" s="175"/>
      <c r="K431" s="175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 ht="15.75" customHeight="1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  <c r="K432" s="175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 ht="15.75" customHeight="1">
      <c r="A433" s="175"/>
      <c r="B433" s="175"/>
      <c r="C433" s="175"/>
      <c r="D433" s="175"/>
      <c r="E433" s="175"/>
      <c r="F433" s="175"/>
      <c r="G433" s="175"/>
      <c r="H433" s="175"/>
      <c r="I433" s="175"/>
      <c r="J433" s="175"/>
      <c r="K433" s="175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 ht="15.75" customHeight="1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  <c r="K434" s="175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 ht="15.75" customHeight="1">
      <c r="A435" s="175"/>
      <c r="B435" s="175"/>
      <c r="C435" s="175"/>
      <c r="D435" s="175"/>
      <c r="E435" s="175"/>
      <c r="F435" s="175"/>
      <c r="G435" s="175"/>
      <c r="H435" s="175"/>
      <c r="I435" s="175"/>
      <c r="J435" s="175"/>
      <c r="K435" s="175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 ht="15.75" customHeight="1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  <c r="K436" s="175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 ht="15.75" customHeight="1">
      <c r="A437" s="175"/>
      <c r="B437" s="175"/>
      <c r="C437" s="175"/>
      <c r="D437" s="175"/>
      <c r="E437" s="175"/>
      <c r="F437" s="175"/>
      <c r="G437" s="175"/>
      <c r="H437" s="175"/>
      <c r="I437" s="175"/>
      <c r="J437" s="175"/>
      <c r="K437" s="175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 ht="15.75" customHeight="1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  <c r="K438" s="175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 ht="15.75" customHeight="1">
      <c r="A439" s="175"/>
      <c r="B439" s="175"/>
      <c r="C439" s="175"/>
      <c r="D439" s="175"/>
      <c r="E439" s="175"/>
      <c r="F439" s="175"/>
      <c r="G439" s="175"/>
      <c r="H439" s="175"/>
      <c r="I439" s="175"/>
      <c r="J439" s="175"/>
      <c r="K439" s="175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 ht="15.75" customHeight="1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  <c r="K440" s="175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 ht="15.75" customHeight="1">
      <c r="A441" s="175"/>
      <c r="B441" s="175"/>
      <c r="C441" s="175"/>
      <c r="D441" s="175"/>
      <c r="E441" s="175"/>
      <c r="F441" s="175"/>
      <c r="G441" s="175"/>
      <c r="H441" s="175"/>
      <c r="I441" s="175"/>
      <c r="J441" s="175"/>
      <c r="K441" s="175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 ht="15.75" customHeight="1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  <c r="K442" s="175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 ht="15.75" customHeight="1">
      <c r="A443" s="175"/>
      <c r="B443" s="175"/>
      <c r="C443" s="175"/>
      <c r="D443" s="175"/>
      <c r="E443" s="175"/>
      <c r="F443" s="175"/>
      <c r="G443" s="175"/>
      <c r="H443" s="175"/>
      <c r="I443" s="175"/>
      <c r="J443" s="175"/>
      <c r="K443" s="175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 ht="15.75" customHeight="1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  <c r="K444" s="175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 ht="15.75" customHeight="1">
      <c r="A445" s="175"/>
      <c r="B445" s="175"/>
      <c r="C445" s="175"/>
      <c r="D445" s="175"/>
      <c r="E445" s="175"/>
      <c r="F445" s="175"/>
      <c r="G445" s="175"/>
      <c r="H445" s="175"/>
      <c r="I445" s="175"/>
      <c r="J445" s="175"/>
      <c r="K445" s="175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 ht="15.75" customHeight="1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  <c r="K446" s="175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 ht="15.75" customHeight="1">
      <c r="A447" s="175"/>
      <c r="B447" s="175"/>
      <c r="C447" s="175"/>
      <c r="D447" s="175"/>
      <c r="E447" s="175"/>
      <c r="F447" s="175"/>
      <c r="G447" s="175"/>
      <c r="H447" s="175"/>
      <c r="I447" s="175"/>
      <c r="J447" s="175"/>
      <c r="K447" s="175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 ht="15.75" customHeight="1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  <c r="K448" s="175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 ht="15.75" customHeight="1">
      <c r="A449" s="175"/>
      <c r="B449" s="175"/>
      <c r="C449" s="175"/>
      <c r="D449" s="175"/>
      <c r="E449" s="175"/>
      <c r="F449" s="175"/>
      <c r="G449" s="175"/>
      <c r="H449" s="175"/>
      <c r="I449" s="175"/>
      <c r="J449" s="175"/>
      <c r="K449" s="175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 ht="15.75" customHeight="1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  <c r="K450" s="175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 ht="15.75" customHeight="1">
      <c r="A451" s="175"/>
      <c r="B451" s="175"/>
      <c r="C451" s="175"/>
      <c r="D451" s="175"/>
      <c r="E451" s="175"/>
      <c r="F451" s="175"/>
      <c r="G451" s="175"/>
      <c r="H451" s="175"/>
      <c r="I451" s="175"/>
      <c r="J451" s="175"/>
      <c r="K451" s="175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 ht="15.75" customHeight="1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  <c r="K452" s="175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 ht="15.75" customHeight="1">
      <c r="A453" s="175"/>
      <c r="B453" s="175"/>
      <c r="C453" s="175"/>
      <c r="D453" s="175"/>
      <c r="E453" s="175"/>
      <c r="F453" s="175"/>
      <c r="G453" s="175"/>
      <c r="H453" s="175"/>
      <c r="I453" s="175"/>
      <c r="J453" s="175"/>
      <c r="K453" s="175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 ht="15.75" customHeight="1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  <c r="K454" s="175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 ht="15.75" customHeight="1">
      <c r="A455" s="175"/>
      <c r="B455" s="175"/>
      <c r="C455" s="175"/>
      <c r="D455" s="175"/>
      <c r="E455" s="175"/>
      <c r="F455" s="175"/>
      <c r="G455" s="175"/>
      <c r="H455" s="175"/>
      <c r="I455" s="175"/>
      <c r="J455" s="175"/>
      <c r="K455" s="175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 ht="15.75" customHeight="1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  <c r="K456" s="175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 ht="15.75" customHeight="1">
      <c r="A457" s="175"/>
      <c r="B457" s="175"/>
      <c r="C457" s="175"/>
      <c r="D457" s="175"/>
      <c r="E457" s="175"/>
      <c r="F457" s="175"/>
      <c r="G457" s="175"/>
      <c r="H457" s="175"/>
      <c r="I457" s="175"/>
      <c r="J457" s="175"/>
      <c r="K457" s="175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 ht="15.75" customHeight="1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  <c r="K458" s="175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 ht="15.75" customHeight="1">
      <c r="A459" s="175"/>
      <c r="B459" s="175"/>
      <c r="C459" s="175"/>
      <c r="D459" s="175"/>
      <c r="E459" s="175"/>
      <c r="F459" s="175"/>
      <c r="G459" s="175"/>
      <c r="H459" s="175"/>
      <c r="I459" s="175"/>
      <c r="J459" s="175"/>
      <c r="K459" s="175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 ht="15.75" customHeight="1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  <c r="K460" s="175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 ht="15.75" customHeight="1">
      <c r="A461" s="175"/>
      <c r="B461" s="175"/>
      <c r="C461" s="175"/>
      <c r="D461" s="175"/>
      <c r="E461" s="175"/>
      <c r="F461" s="175"/>
      <c r="G461" s="175"/>
      <c r="H461" s="175"/>
      <c r="I461" s="175"/>
      <c r="J461" s="175"/>
      <c r="K461" s="175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 ht="15.75" customHeight="1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  <c r="K462" s="175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 ht="15.75" customHeight="1">
      <c r="A463" s="175"/>
      <c r="B463" s="175"/>
      <c r="C463" s="175"/>
      <c r="D463" s="175"/>
      <c r="E463" s="175"/>
      <c r="F463" s="175"/>
      <c r="G463" s="175"/>
      <c r="H463" s="175"/>
      <c r="I463" s="175"/>
      <c r="J463" s="175"/>
      <c r="K463" s="175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 ht="15.75" customHeight="1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  <c r="K464" s="175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 ht="15.75" customHeight="1">
      <c r="A465" s="175"/>
      <c r="B465" s="175"/>
      <c r="C465" s="175"/>
      <c r="D465" s="175"/>
      <c r="E465" s="175"/>
      <c r="F465" s="175"/>
      <c r="G465" s="175"/>
      <c r="H465" s="175"/>
      <c r="I465" s="175"/>
      <c r="J465" s="175"/>
      <c r="K465" s="175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 ht="15.75" customHeight="1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  <c r="K466" s="175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 ht="15.75" customHeight="1">
      <c r="A467" s="175"/>
      <c r="B467" s="175"/>
      <c r="C467" s="175"/>
      <c r="D467" s="175"/>
      <c r="E467" s="175"/>
      <c r="F467" s="175"/>
      <c r="G467" s="175"/>
      <c r="H467" s="175"/>
      <c r="I467" s="175"/>
      <c r="J467" s="175"/>
      <c r="K467" s="175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 ht="15.75" customHeight="1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  <c r="K468" s="175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 ht="15.75" customHeight="1">
      <c r="A469" s="175"/>
      <c r="B469" s="175"/>
      <c r="C469" s="175"/>
      <c r="D469" s="175"/>
      <c r="E469" s="175"/>
      <c r="F469" s="175"/>
      <c r="G469" s="175"/>
      <c r="H469" s="175"/>
      <c r="I469" s="175"/>
      <c r="J469" s="175"/>
      <c r="K469" s="175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 ht="15.75" customHeight="1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  <c r="K470" s="175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 ht="15.75" customHeight="1">
      <c r="A471" s="175"/>
      <c r="B471" s="175"/>
      <c r="C471" s="175"/>
      <c r="D471" s="175"/>
      <c r="E471" s="175"/>
      <c r="F471" s="175"/>
      <c r="G471" s="175"/>
      <c r="H471" s="175"/>
      <c r="I471" s="175"/>
      <c r="J471" s="175"/>
      <c r="K471" s="175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 ht="15.75" customHeight="1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  <c r="K472" s="175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 ht="15.75" customHeight="1">
      <c r="A473" s="175"/>
      <c r="B473" s="175"/>
      <c r="C473" s="175"/>
      <c r="D473" s="175"/>
      <c r="E473" s="175"/>
      <c r="F473" s="175"/>
      <c r="G473" s="175"/>
      <c r="H473" s="175"/>
      <c r="I473" s="175"/>
      <c r="J473" s="175"/>
      <c r="K473" s="175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 ht="15.75" customHeight="1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  <c r="K474" s="175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 ht="15.75" customHeight="1">
      <c r="A475" s="175"/>
      <c r="B475" s="175"/>
      <c r="C475" s="175"/>
      <c r="D475" s="175"/>
      <c r="E475" s="175"/>
      <c r="F475" s="175"/>
      <c r="G475" s="175"/>
      <c r="H475" s="175"/>
      <c r="I475" s="175"/>
      <c r="J475" s="175"/>
      <c r="K475" s="175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 ht="15.75" customHeight="1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  <c r="K476" s="175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 ht="15.75" customHeight="1">
      <c r="A477" s="175"/>
      <c r="B477" s="175"/>
      <c r="C477" s="175"/>
      <c r="D477" s="175"/>
      <c r="E477" s="175"/>
      <c r="F477" s="175"/>
      <c r="G477" s="175"/>
      <c r="H477" s="175"/>
      <c r="I477" s="175"/>
      <c r="J477" s="175"/>
      <c r="K477" s="175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 ht="15.75" customHeight="1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  <c r="K478" s="175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 ht="15.75" customHeight="1">
      <c r="A479" s="175"/>
      <c r="B479" s="175"/>
      <c r="C479" s="175"/>
      <c r="D479" s="175"/>
      <c r="E479" s="175"/>
      <c r="F479" s="175"/>
      <c r="G479" s="175"/>
      <c r="H479" s="175"/>
      <c r="I479" s="175"/>
      <c r="J479" s="175"/>
      <c r="K479" s="175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 ht="15.75" customHeight="1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  <c r="K480" s="175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 ht="15.75" customHeight="1">
      <c r="A481" s="175"/>
      <c r="B481" s="175"/>
      <c r="C481" s="175"/>
      <c r="D481" s="175"/>
      <c r="E481" s="175"/>
      <c r="F481" s="175"/>
      <c r="G481" s="175"/>
      <c r="H481" s="175"/>
      <c r="I481" s="175"/>
      <c r="J481" s="175"/>
      <c r="K481" s="175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 ht="15.75" customHeight="1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  <c r="K482" s="175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 ht="15.75" customHeight="1">
      <c r="A483" s="175"/>
      <c r="B483" s="175"/>
      <c r="C483" s="175"/>
      <c r="D483" s="175"/>
      <c r="E483" s="175"/>
      <c r="F483" s="175"/>
      <c r="G483" s="175"/>
      <c r="H483" s="175"/>
      <c r="I483" s="175"/>
      <c r="J483" s="175"/>
      <c r="K483" s="175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 ht="15.75" customHeight="1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  <c r="K484" s="175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 ht="15.75" customHeight="1">
      <c r="A485" s="175"/>
      <c r="B485" s="175"/>
      <c r="C485" s="175"/>
      <c r="D485" s="175"/>
      <c r="E485" s="175"/>
      <c r="F485" s="175"/>
      <c r="G485" s="175"/>
      <c r="H485" s="175"/>
      <c r="I485" s="175"/>
      <c r="J485" s="175"/>
      <c r="K485" s="175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 ht="15.75" customHeight="1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  <c r="K486" s="175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 ht="15.75" customHeight="1">
      <c r="A487" s="175"/>
      <c r="B487" s="175"/>
      <c r="C487" s="175"/>
      <c r="D487" s="175"/>
      <c r="E487" s="175"/>
      <c r="F487" s="175"/>
      <c r="G487" s="175"/>
      <c r="H487" s="175"/>
      <c r="I487" s="175"/>
      <c r="J487" s="175"/>
      <c r="K487" s="175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 ht="15.75" customHeight="1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  <c r="K488" s="175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 ht="15.75" customHeight="1">
      <c r="A489" s="175"/>
      <c r="B489" s="175"/>
      <c r="C489" s="175"/>
      <c r="D489" s="175"/>
      <c r="E489" s="175"/>
      <c r="F489" s="175"/>
      <c r="G489" s="175"/>
      <c r="H489" s="175"/>
      <c r="I489" s="175"/>
      <c r="J489" s="175"/>
      <c r="K489" s="175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 ht="15.75" customHeight="1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  <c r="K490" s="175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 ht="15.75" customHeight="1">
      <c r="A491" s="175"/>
      <c r="B491" s="175"/>
      <c r="C491" s="175"/>
      <c r="D491" s="175"/>
      <c r="E491" s="175"/>
      <c r="F491" s="175"/>
      <c r="G491" s="175"/>
      <c r="H491" s="175"/>
      <c r="I491" s="175"/>
      <c r="J491" s="175"/>
      <c r="K491" s="175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 ht="15.75" customHeight="1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  <c r="K492" s="175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 ht="15.75" customHeight="1">
      <c r="A493" s="175"/>
      <c r="B493" s="175"/>
      <c r="C493" s="175"/>
      <c r="D493" s="175"/>
      <c r="E493" s="175"/>
      <c r="F493" s="175"/>
      <c r="G493" s="175"/>
      <c r="H493" s="175"/>
      <c r="I493" s="175"/>
      <c r="J493" s="175"/>
      <c r="K493" s="175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 ht="15.75" customHeight="1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  <c r="K494" s="175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 ht="15.75" customHeight="1">
      <c r="A495" s="175"/>
      <c r="B495" s="175"/>
      <c r="C495" s="175"/>
      <c r="D495" s="175"/>
      <c r="E495" s="175"/>
      <c r="F495" s="175"/>
      <c r="G495" s="175"/>
      <c r="H495" s="175"/>
      <c r="I495" s="175"/>
      <c r="J495" s="175"/>
      <c r="K495" s="175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 ht="15.75" customHeight="1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  <c r="K496" s="175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 ht="15.75" customHeight="1">
      <c r="A497" s="175"/>
      <c r="B497" s="175"/>
      <c r="C497" s="175"/>
      <c r="D497" s="175"/>
      <c r="E497" s="175"/>
      <c r="F497" s="175"/>
      <c r="G497" s="175"/>
      <c r="H497" s="175"/>
      <c r="I497" s="175"/>
      <c r="J497" s="175"/>
      <c r="K497" s="175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 ht="15.75" customHeight="1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  <c r="K498" s="175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 ht="15.75" customHeight="1">
      <c r="A499" s="175"/>
      <c r="B499" s="175"/>
      <c r="C499" s="175"/>
      <c r="D499" s="175"/>
      <c r="E499" s="175"/>
      <c r="F499" s="175"/>
      <c r="G499" s="175"/>
      <c r="H499" s="175"/>
      <c r="I499" s="175"/>
      <c r="J499" s="175"/>
      <c r="K499" s="175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 ht="15.75" customHeight="1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  <c r="K500" s="175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 ht="15.75" customHeight="1">
      <c r="A501" s="175"/>
      <c r="B501" s="175"/>
      <c r="C501" s="175"/>
      <c r="D501" s="175"/>
      <c r="E501" s="175"/>
      <c r="F501" s="175"/>
      <c r="G501" s="175"/>
      <c r="H501" s="175"/>
      <c r="I501" s="175"/>
      <c r="J501" s="175"/>
      <c r="K501" s="175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 ht="15.75" customHeight="1">
      <c r="A502" s="175"/>
      <c r="B502" s="175"/>
      <c r="C502" s="175"/>
      <c r="D502" s="175"/>
      <c r="E502" s="175"/>
      <c r="F502" s="175"/>
      <c r="G502" s="175"/>
      <c r="H502" s="175"/>
      <c r="I502" s="175"/>
      <c r="J502" s="175"/>
      <c r="K502" s="175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 ht="15.75" customHeight="1">
      <c r="A503" s="175"/>
      <c r="B503" s="175"/>
      <c r="C503" s="175"/>
      <c r="D503" s="175"/>
      <c r="E503" s="175"/>
      <c r="F503" s="175"/>
      <c r="G503" s="175"/>
      <c r="H503" s="175"/>
      <c r="I503" s="175"/>
      <c r="J503" s="175"/>
      <c r="K503" s="175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 ht="15.75" customHeight="1">
      <c r="A504" s="175"/>
      <c r="B504" s="175"/>
      <c r="C504" s="175"/>
      <c r="D504" s="175"/>
      <c r="E504" s="175"/>
      <c r="F504" s="175"/>
      <c r="G504" s="175"/>
      <c r="H504" s="175"/>
      <c r="I504" s="175"/>
      <c r="J504" s="175"/>
      <c r="K504" s="175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 ht="15.75" customHeight="1">
      <c r="A505" s="175"/>
      <c r="B505" s="175"/>
      <c r="C505" s="175"/>
      <c r="D505" s="175"/>
      <c r="E505" s="175"/>
      <c r="F505" s="175"/>
      <c r="G505" s="175"/>
      <c r="H505" s="175"/>
      <c r="I505" s="175"/>
      <c r="J505" s="175"/>
      <c r="K505" s="175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 ht="15.75" customHeight="1">
      <c r="A506" s="175"/>
      <c r="B506" s="175"/>
      <c r="C506" s="175"/>
      <c r="D506" s="175"/>
      <c r="E506" s="175"/>
      <c r="F506" s="175"/>
      <c r="G506" s="175"/>
      <c r="H506" s="175"/>
      <c r="I506" s="175"/>
      <c r="J506" s="175"/>
      <c r="K506" s="175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 ht="15.75" customHeight="1">
      <c r="A507" s="175"/>
      <c r="B507" s="175"/>
      <c r="C507" s="175"/>
      <c r="D507" s="175"/>
      <c r="E507" s="175"/>
      <c r="F507" s="175"/>
      <c r="G507" s="175"/>
      <c r="H507" s="175"/>
      <c r="I507" s="175"/>
      <c r="J507" s="175"/>
      <c r="K507" s="175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 ht="15.75" customHeight="1">
      <c r="A508" s="175"/>
      <c r="B508" s="175"/>
      <c r="C508" s="175"/>
      <c r="D508" s="175"/>
      <c r="E508" s="175"/>
      <c r="F508" s="175"/>
      <c r="G508" s="175"/>
      <c r="H508" s="175"/>
      <c r="I508" s="175"/>
      <c r="J508" s="175"/>
      <c r="K508" s="175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 ht="15.75" customHeight="1">
      <c r="A509" s="175"/>
      <c r="B509" s="175"/>
      <c r="C509" s="175"/>
      <c r="D509" s="175"/>
      <c r="E509" s="175"/>
      <c r="F509" s="175"/>
      <c r="G509" s="175"/>
      <c r="H509" s="175"/>
      <c r="I509" s="175"/>
      <c r="J509" s="175"/>
      <c r="K509" s="175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 ht="15.75" customHeight="1">
      <c r="A510" s="175"/>
      <c r="B510" s="175"/>
      <c r="C510" s="175"/>
      <c r="D510" s="175"/>
      <c r="E510" s="175"/>
      <c r="F510" s="175"/>
      <c r="G510" s="175"/>
      <c r="H510" s="175"/>
      <c r="I510" s="175"/>
      <c r="J510" s="175"/>
      <c r="K510" s="175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 ht="15.75" customHeight="1">
      <c r="A511" s="175"/>
      <c r="B511" s="175"/>
      <c r="C511" s="175"/>
      <c r="D511" s="175"/>
      <c r="E511" s="175"/>
      <c r="F511" s="175"/>
      <c r="G511" s="175"/>
      <c r="H511" s="175"/>
      <c r="I511" s="175"/>
      <c r="J511" s="175"/>
      <c r="K511" s="175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 ht="15.75" customHeight="1">
      <c r="A512" s="175"/>
      <c r="B512" s="175"/>
      <c r="C512" s="175"/>
      <c r="D512" s="175"/>
      <c r="E512" s="175"/>
      <c r="F512" s="175"/>
      <c r="G512" s="175"/>
      <c r="H512" s="175"/>
      <c r="I512" s="175"/>
      <c r="J512" s="175"/>
      <c r="K512" s="175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 ht="15.75" customHeight="1">
      <c r="A513" s="175"/>
      <c r="B513" s="175"/>
      <c r="C513" s="175"/>
      <c r="D513" s="175"/>
      <c r="E513" s="175"/>
      <c r="F513" s="175"/>
      <c r="G513" s="175"/>
      <c r="H513" s="175"/>
      <c r="I513" s="175"/>
      <c r="J513" s="175"/>
      <c r="K513" s="175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 ht="15.75" customHeight="1">
      <c r="A514" s="175"/>
      <c r="B514" s="175"/>
      <c r="C514" s="175"/>
      <c r="D514" s="175"/>
      <c r="E514" s="175"/>
      <c r="F514" s="175"/>
      <c r="G514" s="175"/>
      <c r="H514" s="175"/>
      <c r="I514" s="175"/>
      <c r="J514" s="175"/>
      <c r="K514" s="175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 ht="15.75" customHeight="1">
      <c r="A515" s="175"/>
      <c r="B515" s="175"/>
      <c r="C515" s="175"/>
      <c r="D515" s="175"/>
      <c r="E515" s="175"/>
      <c r="F515" s="175"/>
      <c r="G515" s="175"/>
      <c r="H515" s="175"/>
      <c r="I515" s="175"/>
      <c r="J515" s="175"/>
      <c r="K515" s="175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 ht="15.75" customHeight="1">
      <c r="A516" s="175"/>
      <c r="B516" s="175"/>
      <c r="C516" s="175"/>
      <c r="D516" s="175"/>
      <c r="E516" s="175"/>
      <c r="F516" s="175"/>
      <c r="G516" s="175"/>
      <c r="H516" s="175"/>
      <c r="I516" s="175"/>
      <c r="J516" s="175"/>
      <c r="K516" s="175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 ht="15.75" customHeight="1">
      <c r="A517" s="175"/>
      <c r="B517" s="175"/>
      <c r="C517" s="175"/>
      <c r="D517" s="175"/>
      <c r="E517" s="175"/>
      <c r="F517" s="175"/>
      <c r="G517" s="175"/>
      <c r="H517" s="175"/>
      <c r="I517" s="175"/>
      <c r="J517" s="175"/>
      <c r="K517" s="175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 ht="15.75" customHeight="1">
      <c r="A518" s="175"/>
      <c r="B518" s="175"/>
      <c r="C518" s="175"/>
      <c r="D518" s="175"/>
      <c r="E518" s="175"/>
      <c r="F518" s="175"/>
      <c r="G518" s="175"/>
      <c r="H518" s="175"/>
      <c r="I518" s="175"/>
      <c r="J518" s="175"/>
      <c r="K518" s="175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 ht="15.75" customHeight="1">
      <c r="A519" s="175"/>
      <c r="B519" s="175"/>
      <c r="C519" s="175"/>
      <c r="D519" s="175"/>
      <c r="E519" s="175"/>
      <c r="F519" s="175"/>
      <c r="G519" s="175"/>
      <c r="H519" s="175"/>
      <c r="I519" s="175"/>
      <c r="J519" s="175"/>
      <c r="K519" s="175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 ht="15.75" customHeight="1">
      <c r="A520" s="175"/>
      <c r="B520" s="175"/>
      <c r="C520" s="175"/>
      <c r="D520" s="175"/>
      <c r="E520" s="175"/>
      <c r="F520" s="175"/>
      <c r="G520" s="175"/>
      <c r="H520" s="175"/>
      <c r="I520" s="175"/>
      <c r="J520" s="175"/>
      <c r="K520" s="175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 ht="15.75" customHeight="1">
      <c r="A521" s="175"/>
      <c r="B521" s="175"/>
      <c r="C521" s="175"/>
      <c r="D521" s="175"/>
      <c r="E521" s="175"/>
      <c r="F521" s="175"/>
      <c r="G521" s="175"/>
      <c r="H521" s="175"/>
      <c r="I521" s="175"/>
      <c r="J521" s="175"/>
      <c r="K521" s="175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 ht="15.75" customHeight="1">
      <c r="A522" s="175"/>
      <c r="B522" s="175"/>
      <c r="C522" s="175"/>
      <c r="D522" s="175"/>
      <c r="E522" s="175"/>
      <c r="F522" s="175"/>
      <c r="G522" s="175"/>
      <c r="H522" s="175"/>
      <c r="I522" s="175"/>
      <c r="J522" s="175"/>
      <c r="K522" s="175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 ht="15.75" customHeight="1">
      <c r="A523" s="175"/>
      <c r="B523" s="175"/>
      <c r="C523" s="175"/>
      <c r="D523" s="175"/>
      <c r="E523" s="175"/>
      <c r="F523" s="175"/>
      <c r="G523" s="175"/>
      <c r="H523" s="175"/>
      <c r="I523" s="175"/>
      <c r="J523" s="175"/>
      <c r="K523" s="175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 ht="15.75" customHeight="1">
      <c r="A524" s="175"/>
      <c r="B524" s="175"/>
      <c r="C524" s="175"/>
      <c r="D524" s="175"/>
      <c r="E524" s="175"/>
      <c r="F524" s="175"/>
      <c r="G524" s="175"/>
      <c r="H524" s="175"/>
      <c r="I524" s="175"/>
      <c r="J524" s="175"/>
      <c r="K524" s="175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 ht="15.75" customHeight="1">
      <c r="A525" s="175"/>
      <c r="B525" s="175"/>
      <c r="C525" s="175"/>
      <c r="D525" s="175"/>
      <c r="E525" s="175"/>
      <c r="F525" s="175"/>
      <c r="G525" s="175"/>
      <c r="H525" s="175"/>
      <c r="I525" s="175"/>
      <c r="J525" s="175"/>
      <c r="K525" s="175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 ht="15.75" customHeight="1">
      <c r="A526" s="175"/>
      <c r="B526" s="175"/>
      <c r="C526" s="175"/>
      <c r="D526" s="175"/>
      <c r="E526" s="175"/>
      <c r="F526" s="175"/>
      <c r="G526" s="175"/>
      <c r="H526" s="175"/>
      <c r="I526" s="175"/>
      <c r="J526" s="175"/>
      <c r="K526" s="175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 ht="15.75" customHeight="1">
      <c r="A527" s="175"/>
      <c r="B527" s="175"/>
      <c r="C527" s="175"/>
      <c r="D527" s="175"/>
      <c r="E527" s="175"/>
      <c r="F527" s="175"/>
      <c r="G527" s="175"/>
      <c r="H527" s="175"/>
      <c r="I527" s="175"/>
      <c r="J527" s="175"/>
      <c r="K527" s="175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 ht="15.75" customHeight="1">
      <c r="A528" s="175"/>
      <c r="B528" s="175"/>
      <c r="C528" s="175"/>
      <c r="D528" s="175"/>
      <c r="E528" s="175"/>
      <c r="F528" s="175"/>
      <c r="G528" s="175"/>
      <c r="H528" s="175"/>
      <c r="I528" s="175"/>
      <c r="J528" s="175"/>
      <c r="K528" s="175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 ht="15.75" customHeight="1">
      <c r="A529" s="175"/>
      <c r="B529" s="175"/>
      <c r="C529" s="175"/>
      <c r="D529" s="175"/>
      <c r="E529" s="175"/>
      <c r="F529" s="175"/>
      <c r="G529" s="175"/>
      <c r="H529" s="175"/>
      <c r="I529" s="175"/>
      <c r="J529" s="175"/>
      <c r="K529" s="175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 ht="15.75" customHeight="1">
      <c r="A530" s="175"/>
      <c r="B530" s="175"/>
      <c r="C530" s="175"/>
      <c r="D530" s="175"/>
      <c r="E530" s="175"/>
      <c r="F530" s="175"/>
      <c r="G530" s="175"/>
      <c r="H530" s="175"/>
      <c r="I530" s="175"/>
      <c r="J530" s="175"/>
      <c r="K530" s="175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 ht="15.75" customHeight="1">
      <c r="A531" s="175"/>
      <c r="B531" s="175"/>
      <c r="C531" s="175"/>
      <c r="D531" s="175"/>
      <c r="E531" s="175"/>
      <c r="F531" s="175"/>
      <c r="G531" s="175"/>
      <c r="H531" s="175"/>
      <c r="I531" s="175"/>
      <c r="J531" s="175"/>
      <c r="K531" s="175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 ht="15.75" customHeight="1">
      <c r="A532" s="175"/>
      <c r="B532" s="175"/>
      <c r="C532" s="175"/>
      <c r="D532" s="175"/>
      <c r="E532" s="175"/>
      <c r="F532" s="175"/>
      <c r="G532" s="175"/>
      <c r="H532" s="175"/>
      <c r="I532" s="175"/>
      <c r="J532" s="175"/>
      <c r="K532" s="175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 ht="15.75" customHeight="1">
      <c r="A533" s="175"/>
      <c r="B533" s="175"/>
      <c r="C533" s="175"/>
      <c r="D533" s="175"/>
      <c r="E533" s="175"/>
      <c r="F533" s="175"/>
      <c r="G533" s="175"/>
      <c r="H533" s="175"/>
      <c r="I533" s="175"/>
      <c r="J533" s="175"/>
      <c r="K533" s="175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 ht="15.75" customHeight="1">
      <c r="A534" s="175"/>
      <c r="B534" s="175"/>
      <c r="C534" s="175"/>
      <c r="D534" s="175"/>
      <c r="E534" s="175"/>
      <c r="F534" s="175"/>
      <c r="G534" s="175"/>
      <c r="H534" s="175"/>
      <c r="I534" s="175"/>
      <c r="J534" s="175"/>
      <c r="K534" s="175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 ht="15.75" customHeight="1">
      <c r="A535" s="175"/>
      <c r="B535" s="175"/>
      <c r="C535" s="175"/>
      <c r="D535" s="175"/>
      <c r="E535" s="175"/>
      <c r="F535" s="175"/>
      <c r="G535" s="175"/>
      <c r="H535" s="175"/>
      <c r="I535" s="175"/>
      <c r="J535" s="175"/>
      <c r="K535" s="175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 ht="15.75" customHeight="1">
      <c r="A536" s="175"/>
      <c r="B536" s="175"/>
      <c r="C536" s="175"/>
      <c r="D536" s="175"/>
      <c r="E536" s="175"/>
      <c r="F536" s="175"/>
      <c r="G536" s="175"/>
      <c r="H536" s="175"/>
      <c r="I536" s="175"/>
      <c r="J536" s="175"/>
      <c r="K536" s="175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 ht="15.75" customHeight="1">
      <c r="A537" s="175"/>
      <c r="B537" s="175"/>
      <c r="C537" s="175"/>
      <c r="D537" s="175"/>
      <c r="E537" s="175"/>
      <c r="F537" s="175"/>
      <c r="G537" s="175"/>
      <c r="H537" s="175"/>
      <c r="I537" s="175"/>
      <c r="J537" s="175"/>
      <c r="K537" s="175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 ht="15.75" customHeight="1">
      <c r="A538" s="175"/>
      <c r="B538" s="175"/>
      <c r="C538" s="175"/>
      <c r="D538" s="175"/>
      <c r="E538" s="175"/>
      <c r="F538" s="175"/>
      <c r="G538" s="175"/>
      <c r="H538" s="175"/>
      <c r="I538" s="175"/>
      <c r="J538" s="175"/>
      <c r="K538" s="175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 ht="15.75" customHeight="1">
      <c r="A539" s="175"/>
      <c r="B539" s="175"/>
      <c r="C539" s="175"/>
      <c r="D539" s="175"/>
      <c r="E539" s="175"/>
      <c r="F539" s="175"/>
      <c r="G539" s="175"/>
      <c r="H539" s="175"/>
      <c r="I539" s="175"/>
      <c r="J539" s="175"/>
      <c r="K539" s="175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 ht="15.75" customHeight="1">
      <c r="A540" s="175"/>
      <c r="B540" s="175"/>
      <c r="C540" s="175"/>
      <c r="D540" s="175"/>
      <c r="E540" s="175"/>
      <c r="F540" s="175"/>
      <c r="G540" s="175"/>
      <c r="H540" s="175"/>
      <c r="I540" s="175"/>
      <c r="J540" s="175"/>
      <c r="K540" s="175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 ht="15.75" customHeight="1">
      <c r="A541" s="175"/>
      <c r="B541" s="175"/>
      <c r="C541" s="175"/>
      <c r="D541" s="175"/>
      <c r="E541" s="175"/>
      <c r="F541" s="175"/>
      <c r="G541" s="175"/>
      <c r="H541" s="175"/>
      <c r="I541" s="175"/>
      <c r="J541" s="175"/>
      <c r="K541" s="175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 ht="15.75" customHeight="1">
      <c r="A542" s="175"/>
      <c r="B542" s="175"/>
      <c r="C542" s="175"/>
      <c r="D542" s="175"/>
      <c r="E542" s="175"/>
      <c r="F542" s="175"/>
      <c r="G542" s="175"/>
      <c r="H542" s="175"/>
      <c r="I542" s="175"/>
      <c r="J542" s="175"/>
      <c r="K542" s="175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 ht="15.75" customHeight="1">
      <c r="A543" s="175"/>
      <c r="B543" s="175"/>
      <c r="C543" s="175"/>
      <c r="D543" s="175"/>
      <c r="E543" s="175"/>
      <c r="F543" s="175"/>
      <c r="G543" s="175"/>
      <c r="H543" s="175"/>
      <c r="I543" s="175"/>
      <c r="J543" s="175"/>
      <c r="K543" s="175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 ht="15.75" customHeight="1">
      <c r="A544" s="175"/>
      <c r="B544" s="175"/>
      <c r="C544" s="175"/>
      <c r="D544" s="175"/>
      <c r="E544" s="175"/>
      <c r="F544" s="175"/>
      <c r="G544" s="175"/>
      <c r="H544" s="175"/>
      <c r="I544" s="175"/>
      <c r="J544" s="175"/>
      <c r="K544" s="175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 ht="15.75" customHeight="1">
      <c r="A545" s="175"/>
      <c r="B545" s="175"/>
      <c r="C545" s="175"/>
      <c r="D545" s="175"/>
      <c r="E545" s="175"/>
      <c r="F545" s="175"/>
      <c r="G545" s="175"/>
      <c r="H545" s="175"/>
      <c r="I545" s="175"/>
      <c r="J545" s="175"/>
      <c r="K545" s="175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 ht="15.75" customHeight="1">
      <c r="A546" s="175"/>
      <c r="B546" s="175"/>
      <c r="C546" s="175"/>
      <c r="D546" s="175"/>
      <c r="E546" s="175"/>
      <c r="F546" s="175"/>
      <c r="G546" s="175"/>
      <c r="H546" s="175"/>
      <c r="I546" s="175"/>
      <c r="J546" s="175"/>
      <c r="K546" s="175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 ht="15.75" customHeight="1">
      <c r="A547" s="175"/>
      <c r="B547" s="175"/>
      <c r="C547" s="175"/>
      <c r="D547" s="175"/>
      <c r="E547" s="175"/>
      <c r="F547" s="175"/>
      <c r="G547" s="175"/>
      <c r="H547" s="175"/>
      <c r="I547" s="175"/>
      <c r="J547" s="175"/>
      <c r="K547" s="175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 ht="15.75" customHeight="1">
      <c r="A548" s="175"/>
      <c r="B548" s="175"/>
      <c r="C548" s="175"/>
      <c r="D548" s="175"/>
      <c r="E548" s="175"/>
      <c r="F548" s="175"/>
      <c r="G548" s="175"/>
      <c r="H548" s="175"/>
      <c r="I548" s="175"/>
      <c r="J548" s="175"/>
      <c r="K548" s="175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 ht="15.75" customHeight="1">
      <c r="A549" s="175"/>
      <c r="B549" s="175"/>
      <c r="C549" s="175"/>
      <c r="D549" s="175"/>
      <c r="E549" s="175"/>
      <c r="F549" s="175"/>
      <c r="G549" s="175"/>
      <c r="H549" s="175"/>
      <c r="I549" s="175"/>
      <c r="J549" s="175"/>
      <c r="K549" s="175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 ht="15.75" customHeight="1">
      <c r="A550" s="175"/>
      <c r="B550" s="175"/>
      <c r="C550" s="175"/>
      <c r="D550" s="175"/>
      <c r="E550" s="175"/>
      <c r="F550" s="175"/>
      <c r="G550" s="175"/>
      <c r="H550" s="175"/>
      <c r="I550" s="175"/>
      <c r="J550" s="175"/>
      <c r="K550" s="175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 ht="15.75" customHeight="1">
      <c r="A551" s="175"/>
      <c r="B551" s="175"/>
      <c r="C551" s="175"/>
      <c r="D551" s="175"/>
      <c r="E551" s="175"/>
      <c r="F551" s="175"/>
      <c r="G551" s="175"/>
      <c r="H551" s="175"/>
      <c r="I551" s="175"/>
      <c r="J551" s="175"/>
      <c r="K551" s="175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 ht="15.75" customHeight="1">
      <c r="A552" s="175"/>
      <c r="B552" s="175"/>
      <c r="C552" s="175"/>
      <c r="D552" s="175"/>
      <c r="E552" s="175"/>
      <c r="F552" s="175"/>
      <c r="G552" s="175"/>
      <c r="H552" s="175"/>
      <c r="I552" s="175"/>
      <c r="J552" s="175"/>
      <c r="K552" s="175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 ht="15.75" customHeight="1">
      <c r="A553" s="175"/>
      <c r="B553" s="175"/>
      <c r="C553" s="175"/>
      <c r="D553" s="175"/>
      <c r="E553" s="175"/>
      <c r="F553" s="175"/>
      <c r="G553" s="175"/>
      <c r="H553" s="175"/>
      <c r="I553" s="175"/>
      <c r="J553" s="175"/>
      <c r="K553" s="175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 ht="15.75" customHeight="1">
      <c r="A554" s="175"/>
      <c r="B554" s="175"/>
      <c r="C554" s="175"/>
      <c r="D554" s="175"/>
      <c r="E554" s="175"/>
      <c r="F554" s="175"/>
      <c r="G554" s="175"/>
      <c r="H554" s="175"/>
      <c r="I554" s="175"/>
      <c r="J554" s="175"/>
      <c r="K554" s="175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 ht="15.75" customHeight="1">
      <c r="A555" s="175"/>
      <c r="B555" s="175"/>
      <c r="C555" s="175"/>
      <c r="D555" s="175"/>
      <c r="E555" s="175"/>
      <c r="F555" s="175"/>
      <c r="G555" s="175"/>
      <c r="H555" s="175"/>
      <c r="I555" s="175"/>
      <c r="J555" s="175"/>
      <c r="K555" s="175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 ht="15.75" customHeight="1">
      <c r="A556" s="175"/>
      <c r="B556" s="175"/>
      <c r="C556" s="175"/>
      <c r="D556" s="175"/>
      <c r="E556" s="175"/>
      <c r="F556" s="175"/>
      <c r="G556" s="175"/>
      <c r="H556" s="175"/>
      <c r="I556" s="175"/>
      <c r="J556" s="175"/>
      <c r="K556" s="175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 ht="15.75" customHeight="1">
      <c r="A557" s="175"/>
      <c r="B557" s="175"/>
      <c r="C557" s="175"/>
      <c r="D557" s="175"/>
      <c r="E557" s="175"/>
      <c r="F557" s="175"/>
      <c r="G557" s="175"/>
      <c r="H557" s="175"/>
      <c r="I557" s="175"/>
      <c r="J557" s="175"/>
      <c r="K557" s="175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 ht="15.75" customHeight="1">
      <c r="A558" s="175"/>
      <c r="B558" s="175"/>
      <c r="C558" s="175"/>
      <c r="D558" s="175"/>
      <c r="E558" s="175"/>
      <c r="F558" s="175"/>
      <c r="G558" s="175"/>
      <c r="H558" s="175"/>
      <c r="I558" s="175"/>
      <c r="J558" s="175"/>
      <c r="K558" s="175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 ht="15.75" customHeight="1">
      <c r="A559" s="175"/>
      <c r="B559" s="175"/>
      <c r="C559" s="175"/>
      <c r="D559" s="175"/>
      <c r="E559" s="175"/>
      <c r="F559" s="175"/>
      <c r="G559" s="175"/>
      <c r="H559" s="175"/>
      <c r="I559" s="175"/>
      <c r="J559" s="175"/>
      <c r="K559" s="175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 ht="15.75" customHeight="1">
      <c r="A560" s="175"/>
      <c r="B560" s="175"/>
      <c r="C560" s="175"/>
      <c r="D560" s="175"/>
      <c r="E560" s="175"/>
      <c r="F560" s="175"/>
      <c r="G560" s="175"/>
      <c r="H560" s="175"/>
      <c r="I560" s="175"/>
      <c r="J560" s="175"/>
      <c r="K560" s="175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 ht="15.75" customHeight="1">
      <c r="A561" s="175"/>
      <c r="B561" s="175"/>
      <c r="C561" s="175"/>
      <c r="D561" s="175"/>
      <c r="E561" s="175"/>
      <c r="F561" s="175"/>
      <c r="G561" s="175"/>
      <c r="H561" s="175"/>
      <c r="I561" s="175"/>
      <c r="J561" s="175"/>
      <c r="K561" s="175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 ht="15.75" customHeight="1">
      <c r="A562" s="175"/>
      <c r="B562" s="175"/>
      <c r="C562" s="175"/>
      <c r="D562" s="175"/>
      <c r="E562" s="175"/>
      <c r="F562" s="175"/>
      <c r="G562" s="175"/>
      <c r="H562" s="175"/>
      <c r="I562" s="175"/>
      <c r="J562" s="175"/>
      <c r="K562" s="175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 ht="15.75" customHeight="1">
      <c r="A563" s="175"/>
      <c r="B563" s="175"/>
      <c r="C563" s="175"/>
      <c r="D563" s="175"/>
      <c r="E563" s="175"/>
      <c r="F563" s="175"/>
      <c r="G563" s="175"/>
      <c r="H563" s="175"/>
      <c r="I563" s="175"/>
      <c r="J563" s="175"/>
      <c r="K563" s="175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 ht="15.75" customHeight="1">
      <c r="A564" s="175"/>
      <c r="B564" s="175"/>
      <c r="C564" s="175"/>
      <c r="D564" s="175"/>
      <c r="E564" s="175"/>
      <c r="F564" s="175"/>
      <c r="G564" s="175"/>
      <c r="H564" s="175"/>
      <c r="I564" s="175"/>
      <c r="J564" s="175"/>
      <c r="K564" s="175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 ht="15.75" customHeight="1">
      <c r="A565" s="175"/>
      <c r="B565" s="175"/>
      <c r="C565" s="175"/>
      <c r="D565" s="175"/>
      <c r="E565" s="175"/>
      <c r="F565" s="175"/>
      <c r="G565" s="175"/>
      <c r="H565" s="175"/>
      <c r="I565" s="175"/>
      <c r="J565" s="175"/>
      <c r="K565" s="175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 ht="15.75" customHeight="1">
      <c r="A566" s="175"/>
      <c r="B566" s="175"/>
      <c r="C566" s="175"/>
      <c r="D566" s="175"/>
      <c r="E566" s="175"/>
      <c r="F566" s="175"/>
      <c r="G566" s="175"/>
      <c r="H566" s="175"/>
      <c r="I566" s="175"/>
      <c r="J566" s="175"/>
      <c r="K566" s="175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 ht="15.75" customHeight="1">
      <c r="A567" s="175"/>
      <c r="B567" s="175"/>
      <c r="C567" s="175"/>
      <c r="D567" s="175"/>
      <c r="E567" s="175"/>
      <c r="F567" s="175"/>
      <c r="G567" s="175"/>
      <c r="H567" s="175"/>
      <c r="I567" s="175"/>
      <c r="J567" s="175"/>
      <c r="K567" s="175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 ht="15.75" customHeight="1">
      <c r="A568" s="175"/>
      <c r="B568" s="175"/>
      <c r="C568" s="175"/>
      <c r="D568" s="175"/>
      <c r="E568" s="175"/>
      <c r="F568" s="175"/>
      <c r="G568" s="175"/>
      <c r="H568" s="175"/>
      <c r="I568" s="175"/>
      <c r="J568" s="175"/>
      <c r="K568" s="175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 ht="15.75" customHeight="1">
      <c r="A569" s="175"/>
      <c r="B569" s="175"/>
      <c r="C569" s="175"/>
      <c r="D569" s="175"/>
      <c r="E569" s="175"/>
      <c r="F569" s="175"/>
      <c r="G569" s="175"/>
      <c r="H569" s="175"/>
      <c r="I569" s="175"/>
      <c r="J569" s="175"/>
      <c r="K569" s="175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 ht="15.75" customHeight="1">
      <c r="A570" s="175"/>
      <c r="B570" s="175"/>
      <c r="C570" s="175"/>
      <c r="D570" s="175"/>
      <c r="E570" s="175"/>
      <c r="F570" s="175"/>
      <c r="G570" s="175"/>
      <c r="H570" s="175"/>
      <c r="I570" s="175"/>
      <c r="J570" s="175"/>
      <c r="K570" s="175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 ht="15.75" customHeight="1">
      <c r="A571" s="175"/>
      <c r="B571" s="175"/>
      <c r="C571" s="175"/>
      <c r="D571" s="175"/>
      <c r="E571" s="175"/>
      <c r="F571" s="175"/>
      <c r="G571" s="175"/>
      <c r="H571" s="175"/>
      <c r="I571" s="175"/>
      <c r="J571" s="175"/>
      <c r="K571" s="175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 ht="15.75" customHeight="1">
      <c r="A572" s="175"/>
      <c r="B572" s="175"/>
      <c r="C572" s="175"/>
      <c r="D572" s="175"/>
      <c r="E572" s="175"/>
      <c r="F572" s="175"/>
      <c r="G572" s="175"/>
      <c r="H572" s="175"/>
      <c r="I572" s="175"/>
      <c r="J572" s="175"/>
      <c r="K572" s="175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 ht="15.75" customHeight="1">
      <c r="A573" s="175"/>
      <c r="B573" s="175"/>
      <c r="C573" s="175"/>
      <c r="D573" s="175"/>
      <c r="E573" s="175"/>
      <c r="F573" s="175"/>
      <c r="G573" s="175"/>
      <c r="H573" s="175"/>
      <c r="I573" s="175"/>
      <c r="J573" s="175"/>
      <c r="K573" s="175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 ht="15.75" customHeight="1">
      <c r="A574" s="175"/>
      <c r="B574" s="175"/>
      <c r="C574" s="175"/>
      <c r="D574" s="175"/>
      <c r="E574" s="175"/>
      <c r="F574" s="175"/>
      <c r="G574" s="175"/>
      <c r="H574" s="175"/>
      <c r="I574" s="175"/>
      <c r="J574" s="175"/>
      <c r="K574" s="175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 ht="15.75" customHeight="1">
      <c r="A575" s="175"/>
      <c r="B575" s="175"/>
      <c r="C575" s="175"/>
      <c r="D575" s="175"/>
      <c r="E575" s="175"/>
      <c r="F575" s="175"/>
      <c r="G575" s="175"/>
      <c r="H575" s="175"/>
      <c r="I575" s="175"/>
      <c r="J575" s="175"/>
      <c r="K575" s="175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 ht="15.75" customHeight="1">
      <c r="A576" s="175"/>
      <c r="B576" s="175"/>
      <c r="C576" s="175"/>
      <c r="D576" s="175"/>
      <c r="E576" s="175"/>
      <c r="F576" s="175"/>
      <c r="G576" s="175"/>
      <c r="H576" s="175"/>
      <c r="I576" s="175"/>
      <c r="J576" s="175"/>
      <c r="K576" s="175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 ht="15.75" customHeight="1">
      <c r="A577" s="175"/>
      <c r="B577" s="175"/>
      <c r="C577" s="175"/>
      <c r="D577" s="175"/>
      <c r="E577" s="175"/>
      <c r="F577" s="175"/>
      <c r="G577" s="175"/>
      <c r="H577" s="175"/>
      <c r="I577" s="175"/>
      <c r="J577" s="175"/>
      <c r="K577" s="175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 ht="15.75" customHeight="1">
      <c r="A578" s="175"/>
      <c r="B578" s="175"/>
      <c r="C578" s="175"/>
      <c r="D578" s="175"/>
      <c r="E578" s="175"/>
      <c r="F578" s="175"/>
      <c r="G578" s="175"/>
      <c r="H578" s="175"/>
      <c r="I578" s="175"/>
      <c r="J578" s="175"/>
      <c r="K578" s="175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 ht="15.75" customHeight="1">
      <c r="A579" s="175"/>
      <c r="B579" s="175"/>
      <c r="C579" s="175"/>
      <c r="D579" s="175"/>
      <c r="E579" s="175"/>
      <c r="F579" s="175"/>
      <c r="G579" s="175"/>
      <c r="H579" s="175"/>
      <c r="I579" s="175"/>
      <c r="J579" s="175"/>
      <c r="K579" s="175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 ht="15.75" customHeight="1">
      <c r="A580" s="175"/>
      <c r="B580" s="175"/>
      <c r="C580" s="175"/>
      <c r="D580" s="175"/>
      <c r="E580" s="175"/>
      <c r="F580" s="175"/>
      <c r="G580" s="175"/>
      <c r="H580" s="175"/>
      <c r="I580" s="175"/>
      <c r="J580" s="175"/>
      <c r="K580" s="175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 ht="15.75" customHeight="1">
      <c r="A581" s="175"/>
      <c r="B581" s="175"/>
      <c r="C581" s="175"/>
      <c r="D581" s="175"/>
      <c r="E581" s="175"/>
      <c r="F581" s="175"/>
      <c r="G581" s="175"/>
      <c r="H581" s="175"/>
      <c r="I581" s="175"/>
      <c r="J581" s="175"/>
      <c r="K581" s="175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 ht="15.75" customHeight="1">
      <c r="A582" s="175"/>
      <c r="B582" s="175"/>
      <c r="C582" s="175"/>
      <c r="D582" s="175"/>
      <c r="E582" s="175"/>
      <c r="F582" s="175"/>
      <c r="G582" s="175"/>
      <c r="H582" s="175"/>
      <c r="I582" s="175"/>
      <c r="J582" s="175"/>
      <c r="K582" s="175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 ht="15.75" customHeight="1">
      <c r="A583" s="175"/>
      <c r="B583" s="175"/>
      <c r="C583" s="175"/>
      <c r="D583" s="175"/>
      <c r="E583" s="175"/>
      <c r="F583" s="175"/>
      <c r="G583" s="175"/>
      <c r="H583" s="175"/>
      <c r="I583" s="175"/>
      <c r="J583" s="175"/>
      <c r="K583" s="175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 ht="15.75" customHeight="1">
      <c r="A584" s="175"/>
      <c r="B584" s="175"/>
      <c r="C584" s="175"/>
      <c r="D584" s="175"/>
      <c r="E584" s="175"/>
      <c r="F584" s="175"/>
      <c r="G584" s="175"/>
      <c r="H584" s="175"/>
      <c r="I584" s="175"/>
      <c r="J584" s="175"/>
      <c r="K584" s="175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 ht="15.75" customHeight="1">
      <c r="A585" s="175"/>
      <c r="B585" s="175"/>
      <c r="C585" s="175"/>
      <c r="D585" s="175"/>
      <c r="E585" s="175"/>
      <c r="F585" s="175"/>
      <c r="G585" s="175"/>
      <c r="H585" s="175"/>
      <c r="I585" s="175"/>
      <c r="J585" s="175"/>
      <c r="K585" s="175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 ht="15.75" customHeight="1">
      <c r="A586" s="175"/>
      <c r="B586" s="175"/>
      <c r="C586" s="175"/>
      <c r="D586" s="175"/>
      <c r="E586" s="175"/>
      <c r="F586" s="175"/>
      <c r="G586" s="175"/>
      <c r="H586" s="175"/>
      <c r="I586" s="175"/>
      <c r="J586" s="175"/>
      <c r="K586" s="175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 ht="15.75" customHeight="1">
      <c r="A587" s="175"/>
      <c r="B587" s="175"/>
      <c r="C587" s="175"/>
      <c r="D587" s="175"/>
      <c r="E587" s="175"/>
      <c r="F587" s="175"/>
      <c r="G587" s="175"/>
      <c r="H587" s="175"/>
      <c r="I587" s="175"/>
      <c r="J587" s="175"/>
      <c r="K587" s="175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 ht="15.75" customHeight="1">
      <c r="A588" s="175"/>
      <c r="B588" s="175"/>
      <c r="C588" s="175"/>
      <c r="D588" s="175"/>
      <c r="E588" s="175"/>
      <c r="F588" s="175"/>
      <c r="G588" s="175"/>
      <c r="H588" s="175"/>
      <c r="I588" s="175"/>
      <c r="J588" s="175"/>
      <c r="K588" s="175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 ht="15.75" customHeight="1">
      <c r="A589" s="175"/>
      <c r="B589" s="175"/>
      <c r="C589" s="175"/>
      <c r="D589" s="175"/>
      <c r="E589" s="175"/>
      <c r="F589" s="175"/>
      <c r="G589" s="175"/>
      <c r="H589" s="175"/>
      <c r="I589" s="175"/>
      <c r="J589" s="175"/>
      <c r="K589" s="175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 ht="15.75" customHeight="1">
      <c r="A590" s="175"/>
      <c r="B590" s="175"/>
      <c r="C590" s="175"/>
      <c r="D590" s="175"/>
      <c r="E590" s="175"/>
      <c r="F590" s="175"/>
      <c r="G590" s="175"/>
      <c r="H590" s="175"/>
      <c r="I590" s="175"/>
      <c r="J590" s="175"/>
      <c r="K590" s="175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 ht="15.75" customHeight="1">
      <c r="A591" s="175"/>
      <c r="B591" s="175"/>
      <c r="C591" s="175"/>
      <c r="D591" s="175"/>
      <c r="E591" s="175"/>
      <c r="F591" s="175"/>
      <c r="G591" s="175"/>
      <c r="H591" s="175"/>
      <c r="I591" s="175"/>
      <c r="J591" s="175"/>
      <c r="K591" s="175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 ht="15.75" customHeight="1">
      <c r="A592" s="175"/>
      <c r="B592" s="175"/>
      <c r="C592" s="175"/>
      <c r="D592" s="175"/>
      <c r="E592" s="175"/>
      <c r="F592" s="175"/>
      <c r="G592" s="175"/>
      <c r="H592" s="175"/>
      <c r="I592" s="175"/>
      <c r="J592" s="175"/>
      <c r="K592" s="175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 ht="15.75" customHeight="1">
      <c r="A593" s="175"/>
      <c r="B593" s="175"/>
      <c r="C593" s="175"/>
      <c r="D593" s="175"/>
      <c r="E593" s="175"/>
      <c r="F593" s="175"/>
      <c r="G593" s="175"/>
      <c r="H593" s="175"/>
      <c r="I593" s="175"/>
      <c r="J593" s="175"/>
      <c r="K593" s="175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 ht="15.75" customHeight="1">
      <c r="A594" s="175"/>
      <c r="B594" s="175"/>
      <c r="C594" s="175"/>
      <c r="D594" s="175"/>
      <c r="E594" s="175"/>
      <c r="F594" s="175"/>
      <c r="G594" s="175"/>
      <c r="H594" s="175"/>
      <c r="I594" s="175"/>
      <c r="J594" s="175"/>
      <c r="K594" s="175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 ht="15.75" customHeight="1">
      <c r="A595" s="175"/>
      <c r="B595" s="175"/>
      <c r="C595" s="175"/>
      <c r="D595" s="175"/>
      <c r="E595" s="175"/>
      <c r="F595" s="175"/>
      <c r="G595" s="175"/>
      <c r="H595" s="175"/>
      <c r="I595" s="175"/>
      <c r="J595" s="175"/>
      <c r="K595" s="175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 ht="15.75" customHeight="1">
      <c r="A596" s="175"/>
      <c r="B596" s="175"/>
      <c r="C596" s="175"/>
      <c r="D596" s="175"/>
      <c r="E596" s="175"/>
      <c r="F596" s="175"/>
      <c r="G596" s="175"/>
      <c r="H596" s="175"/>
      <c r="I596" s="175"/>
      <c r="J596" s="175"/>
      <c r="K596" s="175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 ht="15.75" customHeight="1">
      <c r="A597" s="175"/>
      <c r="B597" s="175"/>
      <c r="C597" s="175"/>
      <c r="D597" s="175"/>
      <c r="E597" s="175"/>
      <c r="F597" s="175"/>
      <c r="G597" s="175"/>
      <c r="H597" s="175"/>
      <c r="I597" s="175"/>
      <c r="J597" s="175"/>
      <c r="K597" s="175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 ht="15.75" customHeight="1">
      <c r="A598" s="175"/>
      <c r="B598" s="175"/>
      <c r="C598" s="175"/>
      <c r="D598" s="175"/>
      <c r="E598" s="175"/>
      <c r="F598" s="175"/>
      <c r="G598" s="175"/>
      <c r="H598" s="175"/>
      <c r="I598" s="175"/>
      <c r="J598" s="175"/>
      <c r="K598" s="175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 ht="15.75" customHeight="1">
      <c r="A599" s="175"/>
      <c r="B599" s="175"/>
      <c r="C599" s="175"/>
      <c r="D599" s="175"/>
      <c r="E599" s="175"/>
      <c r="F599" s="175"/>
      <c r="G599" s="175"/>
      <c r="H599" s="175"/>
      <c r="I599" s="175"/>
      <c r="J599" s="175"/>
      <c r="K599" s="175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 ht="15.75" customHeight="1">
      <c r="A600" s="175"/>
      <c r="B600" s="175"/>
      <c r="C600" s="175"/>
      <c r="D600" s="175"/>
      <c r="E600" s="175"/>
      <c r="F600" s="175"/>
      <c r="G600" s="175"/>
      <c r="H600" s="175"/>
      <c r="I600" s="175"/>
      <c r="J600" s="175"/>
      <c r="K600" s="175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 ht="15.75" customHeight="1">
      <c r="A601" s="175"/>
      <c r="B601" s="175"/>
      <c r="C601" s="175"/>
      <c r="D601" s="175"/>
      <c r="E601" s="175"/>
      <c r="F601" s="175"/>
      <c r="G601" s="175"/>
      <c r="H601" s="175"/>
      <c r="I601" s="175"/>
      <c r="J601" s="175"/>
      <c r="K601" s="175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 ht="15.75" customHeight="1">
      <c r="A602" s="175"/>
      <c r="B602" s="175"/>
      <c r="C602" s="175"/>
      <c r="D602" s="175"/>
      <c r="E602" s="175"/>
      <c r="F602" s="175"/>
      <c r="G602" s="175"/>
      <c r="H602" s="175"/>
      <c r="I602" s="175"/>
      <c r="J602" s="175"/>
      <c r="K602" s="175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 ht="15.75" customHeight="1">
      <c r="A603" s="175"/>
      <c r="B603" s="175"/>
      <c r="C603" s="175"/>
      <c r="D603" s="175"/>
      <c r="E603" s="175"/>
      <c r="F603" s="175"/>
      <c r="G603" s="175"/>
      <c r="H603" s="175"/>
      <c r="I603" s="175"/>
      <c r="J603" s="175"/>
      <c r="K603" s="175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 ht="15.75" customHeight="1">
      <c r="A604" s="175"/>
      <c r="B604" s="175"/>
      <c r="C604" s="175"/>
      <c r="D604" s="175"/>
      <c r="E604" s="175"/>
      <c r="F604" s="175"/>
      <c r="G604" s="175"/>
      <c r="H604" s="175"/>
      <c r="I604" s="175"/>
      <c r="J604" s="175"/>
      <c r="K604" s="175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 ht="15.75" customHeight="1">
      <c r="A605" s="175"/>
      <c r="B605" s="175"/>
      <c r="C605" s="175"/>
      <c r="D605" s="175"/>
      <c r="E605" s="175"/>
      <c r="F605" s="175"/>
      <c r="G605" s="175"/>
      <c r="H605" s="175"/>
      <c r="I605" s="175"/>
      <c r="J605" s="175"/>
      <c r="K605" s="175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 ht="15.75" customHeight="1">
      <c r="A606" s="175"/>
      <c r="B606" s="175"/>
      <c r="C606" s="175"/>
      <c r="D606" s="175"/>
      <c r="E606" s="175"/>
      <c r="F606" s="175"/>
      <c r="G606" s="175"/>
      <c r="H606" s="175"/>
      <c r="I606" s="175"/>
      <c r="J606" s="175"/>
      <c r="K606" s="175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 ht="15.75" customHeight="1">
      <c r="A607" s="175"/>
      <c r="B607" s="175"/>
      <c r="C607" s="175"/>
      <c r="D607" s="175"/>
      <c r="E607" s="175"/>
      <c r="F607" s="175"/>
      <c r="G607" s="175"/>
      <c r="H607" s="175"/>
      <c r="I607" s="175"/>
      <c r="J607" s="175"/>
      <c r="K607" s="175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 ht="15.75" customHeight="1">
      <c r="A608" s="175"/>
      <c r="B608" s="175"/>
      <c r="C608" s="175"/>
      <c r="D608" s="175"/>
      <c r="E608" s="175"/>
      <c r="F608" s="175"/>
      <c r="G608" s="175"/>
      <c r="H608" s="175"/>
      <c r="I608" s="175"/>
      <c r="J608" s="175"/>
      <c r="K608" s="175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 ht="15.75" customHeight="1">
      <c r="A609" s="175"/>
      <c r="B609" s="175"/>
      <c r="C609" s="175"/>
      <c r="D609" s="175"/>
      <c r="E609" s="175"/>
      <c r="F609" s="175"/>
      <c r="G609" s="175"/>
      <c r="H609" s="175"/>
      <c r="I609" s="175"/>
      <c r="J609" s="175"/>
      <c r="K609" s="175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 ht="15.75" customHeight="1">
      <c r="A610" s="175"/>
      <c r="B610" s="175"/>
      <c r="C610" s="175"/>
      <c r="D610" s="175"/>
      <c r="E610" s="175"/>
      <c r="F610" s="175"/>
      <c r="G610" s="175"/>
      <c r="H610" s="175"/>
      <c r="I610" s="175"/>
      <c r="J610" s="175"/>
      <c r="K610" s="175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 ht="15.75" customHeight="1">
      <c r="A611" s="175"/>
      <c r="B611" s="175"/>
      <c r="C611" s="175"/>
      <c r="D611" s="175"/>
      <c r="E611" s="175"/>
      <c r="F611" s="175"/>
      <c r="G611" s="175"/>
      <c r="H611" s="175"/>
      <c r="I611" s="175"/>
      <c r="J611" s="175"/>
      <c r="K611" s="175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 ht="15.75" customHeight="1">
      <c r="A612" s="175"/>
      <c r="B612" s="175"/>
      <c r="C612" s="175"/>
      <c r="D612" s="175"/>
      <c r="E612" s="175"/>
      <c r="F612" s="175"/>
      <c r="G612" s="175"/>
      <c r="H612" s="175"/>
      <c r="I612" s="175"/>
      <c r="J612" s="175"/>
      <c r="K612" s="175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 ht="15.75" customHeight="1">
      <c r="A613" s="175"/>
      <c r="B613" s="175"/>
      <c r="C613" s="175"/>
      <c r="D613" s="175"/>
      <c r="E613" s="175"/>
      <c r="F613" s="175"/>
      <c r="G613" s="175"/>
      <c r="H613" s="175"/>
      <c r="I613" s="175"/>
      <c r="J613" s="175"/>
      <c r="K613" s="175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 ht="15.75" customHeight="1">
      <c r="A614" s="175"/>
      <c r="B614" s="175"/>
      <c r="C614" s="175"/>
      <c r="D614" s="175"/>
      <c r="E614" s="175"/>
      <c r="F614" s="175"/>
      <c r="G614" s="175"/>
      <c r="H614" s="175"/>
      <c r="I614" s="175"/>
      <c r="J614" s="175"/>
      <c r="K614" s="175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 ht="15.75" customHeight="1">
      <c r="A615" s="175"/>
      <c r="B615" s="175"/>
      <c r="C615" s="175"/>
      <c r="D615" s="175"/>
      <c r="E615" s="175"/>
      <c r="F615" s="175"/>
      <c r="G615" s="175"/>
      <c r="H615" s="175"/>
      <c r="I615" s="175"/>
      <c r="J615" s="175"/>
      <c r="K615" s="175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 ht="15.75" customHeight="1">
      <c r="A616" s="175"/>
      <c r="B616" s="175"/>
      <c r="C616" s="175"/>
      <c r="D616" s="175"/>
      <c r="E616" s="175"/>
      <c r="F616" s="175"/>
      <c r="G616" s="175"/>
      <c r="H616" s="175"/>
      <c r="I616" s="175"/>
      <c r="J616" s="175"/>
      <c r="K616" s="175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 ht="15.75" customHeight="1">
      <c r="A617" s="175"/>
      <c r="B617" s="175"/>
      <c r="C617" s="175"/>
      <c r="D617" s="175"/>
      <c r="E617" s="175"/>
      <c r="F617" s="175"/>
      <c r="G617" s="175"/>
      <c r="H617" s="175"/>
      <c r="I617" s="175"/>
      <c r="J617" s="175"/>
      <c r="K617" s="175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 ht="15.75" customHeight="1">
      <c r="A618" s="175"/>
      <c r="B618" s="175"/>
      <c r="C618" s="175"/>
      <c r="D618" s="175"/>
      <c r="E618" s="175"/>
      <c r="F618" s="175"/>
      <c r="G618" s="175"/>
      <c r="H618" s="175"/>
      <c r="I618" s="175"/>
      <c r="J618" s="175"/>
      <c r="K618" s="175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 ht="15.75" customHeight="1">
      <c r="A619" s="175"/>
      <c r="B619" s="175"/>
      <c r="C619" s="175"/>
      <c r="D619" s="175"/>
      <c r="E619" s="175"/>
      <c r="F619" s="175"/>
      <c r="G619" s="175"/>
      <c r="H619" s="175"/>
      <c r="I619" s="175"/>
      <c r="J619" s="175"/>
      <c r="K619" s="175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 ht="15.75" customHeight="1">
      <c r="A620" s="175"/>
      <c r="B620" s="175"/>
      <c r="C620" s="175"/>
      <c r="D620" s="175"/>
      <c r="E620" s="175"/>
      <c r="F620" s="175"/>
      <c r="G620" s="175"/>
      <c r="H620" s="175"/>
      <c r="I620" s="175"/>
      <c r="J620" s="175"/>
      <c r="K620" s="175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 ht="15.75" customHeight="1">
      <c r="A621" s="175"/>
      <c r="B621" s="175"/>
      <c r="C621" s="175"/>
      <c r="D621" s="175"/>
      <c r="E621" s="175"/>
      <c r="F621" s="175"/>
      <c r="G621" s="175"/>
      <c r="H621" s="175"/>
      <c r="I621" s="175"/>
      <c r="J621" s="175"/>
      <c r="K621" s="175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 ht="15.75" customHeight="1">
      <c r="A622" s="175"/>
      <c r="B622" s="175"/>
      <c r="C622" s="175"/>
      <c r="D622" s="175"/>
      <c r="E622" s="175"/>
      <c r="F622" s="175"/>
      <c r="G622" s="175"/>
      <c r="H622" s="175"/>
      <c r="I622" s="175"/>
      <c r="J622" s="175"/>
      <c r="K622" s="175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 ht="15.75" customHeight="1">
      <c r="A623" s="175"/>
      <c r="B623" s="175"/>
      <c r="C623" s="175"/>
      <c r="D623" s="175"/>
      <c r="E623" s="175"/>
      <c r="F623" s="175"/>
      <c r="G623" s="175"/>
      <c r="H623" s="175"/>
      <c r="I623" s="175"/>
      <c r="J623" s="175"/>
      <c r="K623" s="175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 ht="15.75" customHeight="1">
      <c r="A624" s="175"/>
      <c r="B624" s="175"/>
      <c r="C624" s="175"/>
      <c r="D624" s="175"/>
      <c r="E624" s="175"/>
      <c r="F624" s="175"/>
      <c r="G624" s="175"/>
      <c r="H624" s="175"/>
      <c r="I624" s="175"/>
      <c r="J624" s="175"/>
      <c r="K624" s="175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 ht="15.75" customHeight="1">
      <c r="A625" s="175"/>
      <c r="B625" s="175"/>
      <c r="C625" s="175"/>
      <c r="D625" s="175"/>
      <c r="E625" s="175"/>
      <c r="F625" s="175"/>
      <c r="G625" s="175"/>
      <c r="H625" s="175"/>
      <c r="I625" s="175"/>
      <c r="J625" s="175"/>
      <c r="K625" s="175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 ht="15.75" customHeight="1">
      <c r="A626" s="175"/>
      <c r="B626" s="175"/>
      <c r="C626" s="175"/>
      <c r="D626" s="175"/>
      <c r="E626" s="175"/>
      <c r="F626" s="175"/>
      <c r="G626" s="175"/>
      <c r="H626" s="175"/>
      <c r="I626" s="175"/>
      <c r="J626" s="175"/>
      <c r="K626" s="175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 ht="15.75" customHeight="1">
      <c r="A627" s="175"/>
      <c r="B627" s="175"/>
      <c r="C627" s="175"/>
      <c r="D627" s="175"/>
      <c r="E627" s="175"/>
      <c r="F627" s="175"/>
      <c r="G627" s="175"/>
      <c r="H627" s="175"/>
      <c r="I627" s="175"/>
      <c r="J627" s="175"/>
      <c r="K627" s="175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 ht="15.75" customHeight="1">
      <c r="A628" s="175"/>
      <c r="B628" s="175"/>
      <c r="C628" s="175"/>
      <c r="D628" s="175"/>
      <c r="E628" s="175"/>
      <c r="F628" s="175"/>
      <c r="G628" s="175"/>
      <c r="H628" s="175"/>
      <c r="I628" s="175"/>
      <c r="J628" s="175"/>
      <c r="K628" s="175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 ht="15.75" customHeight="1">
      <c r="A629" s="175"/>
      <c r="B629" s="175"/>
      <c r="C629" s="175"/>
      <c r="D629" s="175"/>
      <c r="E629" s="175"/>
      <c r="F629" s="175"/>
      <c r="G629" s="175"/>
      <c r="H629" s="175"/>
      <c r="I629" s="175"/>
      <c r="J629" s="175"/>
      <c r="K629" s="175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 ht="15.75" customHeight="1">
      <c r="A630" s="175"/>
      <c r="B630" s="175"/>
      <c r="C630" s="175"/>
      <c r="D630" s="175"/>
      <c r="E630" s="175"/>
      <c r="F630" s="175"/>
      <c r="G630" s="175"/>
      <c r="H630" s="175"/>
      <c r="I630" s="175"/>
      <c r="J630" s="175"/>
      <c r="K630" s="175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 ht="15.75" customHeight="1">
      <c r="A631" s="175"/>
      <c r="B631" s="175"/>
      <c r="C631" s="175"/>
      <c r="D631" s="175"/>
      <c r="E631" s="175"/>
      <c r="F631" s="175"/>
      <c r="G631" s="175"/>
      <c r="H631" s="175"/>
      <c r="I631" s="175"/>
      <c r="J631" s="175"/>
      <c r="K631" s="175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 ht="15.75" customHeight="1">
      <c r="A632" s="175"/>
      <c r="B632" s="175"/>
      <c r="C632" s="175"/>
      <c r="D632" s="175"/>
      <c r="E632" s="175"/>
      <c r="F632" s="175"/>
      <c r="G632" s="175"/>
      <c r="H632" s="175"/>
      <c r="I632" s="175"/>
      <c r="J632" s="175"/>
      <c r="K632" s="175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 ht="15.75" customHeight="1">
      <c r="A633" s="175"/>
      <c r="B633" s="175"/>
      <c r="C633" s="175"/>
      <c r="D633" s="175"/>
      <c r="E633" s="175"/>
      <c r="F633" s="175"/>
      <c r="G633" s="175"/>
      <c r="H633" s="175"/>
      <c r="I633" s="175"/>
      <c r="J633" s="175"/>
      <c r="K633" s="175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 ht="15.75" customHeight="1">
      <c r="A634" s="175"/>
      <c r="B634" s="175"/>
      <c r="C634" s="175"/>
      <c r="D634" s="175"/>
      <c r="E634" s="175"/>
      <c r="F634" s="175"/>
      <c r="G634" s="175"/>
      <c r="H634" s="175"/>
      <c r="I634" s="175"/>
      <c r="J634" s="175"/>
      <c r="K634" s="175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 ht="15.75" customHeight="1">
      <c r="A635" s="175"/>
      <c r="B635" s="175"/>
      <c r="C635" s="175"/>
      <c r="D635" s="175"/>
      <c r="E635" s="175"/>
      <c r="F635" s="175"/>
      <c r="G635" s="175"/>
      <c r="H635" s="175"/>
      <c r="I635" s="175"/>
      <c r="J635" s="175"/>
      <c r="K635" s="175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 ht="15.75" customHeight="1">
      <c r="A636" s="175"/>
      <c r="B636" s="175"/>
      <c r="C636" s="175"/>
      <c r="D636" s="175"/>
      <c r="E636" s="175"/>
      <c r="F636" s="175"/>
      <c r="G636" s="175"/>
      <c r="H636" s="175"/>
      <c r="I636" s="175"/>
      <c r="J636" s="175"/>
      <c r="K636" s="175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 ht="15.75" customHeight="1">
      <c r="A637" s="175"/>
      <c r="B637" s="175"/>
      <c r="C637" s="175"/>
      <c r="D637" s="175"/>
      <c r="E637" s="175"/>
      <c r="F637" s="175"/>
      <c r="G637" s="175"/>
      <c r="H637" s="175"/>
      <c r="I637" s="175"/>
      <c r="J637" s="175"/>
      <c r="K637" s="175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 ht="15.75" customHeight="1">
      <c r="A638" s="175"/>
      <c r="B638" s="175"/>
      <c r="C638" s="175"/>
      <c r="D638" s="175"/>
      <c r="E638" s="175"/>
      <c r="F638" s="175"/>
      <c r="G638" s="175"/>
      <c r="H638" s="175"/>
      <c r="I638" s="175"/>
      <c r="J638" s="175"/>
      <c r="K638" s="175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 ht="15.75" customHeight="1">
      <c r="A639" s="175"/>
      <c r="B639" s="175"/>
      <c r="C639" s="175"/>
      <c r="D639" s="175"/>
      <c r="E639" s="175"/>
      <c r="F639" s="175"/>
      <c r="G639" s="175"/>
      <c r="H639" s="175"/>
      <c r="I639" s="175"/>
      <c r="J639" s="175"/>
      <c r="K639" s="175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 ht="15.75" customHeight="1">
      <c r="A640" s="175"/>
      <c r="B640" s="175"/>
      <c r="C640" s="175"/>
      <c r="D640" s="175"/>
      <c r="E640" s="175"/>
      <c r="F640" s="175"/>
      <c r="G640" s="175"/>
      <c r="H640" s="175"/>
      <c r="I640" s="175"/>
      <c r="J640" s="175"/>
      <c r="K640" s="175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 ht="15.75" customHeight="1">
      <c r="A641" s="175"/>
      <c r="B641" s="175"/>
      <c r="C641" s="175"/>
      <c r="D641" s="175"/>
      <c r="E641" s="175"/>
      <c r="F641" s="175"/>
      <c r="G641" s="175"/>
      <c r="H641" s="175"/>
      <c r="I641" s="175"/>
      <c r="J641" s="175"/>
      <c r="K641" s="175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 ht="15.75" customHeight="1">
      <c r="A642" s="175"/>
      <c r="B642" s="175"/>
      <c r="C642" s="175"/>
      <c r="D642" s="175"/>
      <c r="E642" s="175"/>
      <c r="F642" s="175"/>
      <c r="G642" s="175"/>
      <c r="H642" s="175"/>
      <c r="I642" s="175"/>
      <c r="J642" s="175"/>
      <c r="K642" s="175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 ht="15.75" customHeight="1">
      <c r="A643" s="175"/>
      <c r="B643" s="175"/>
      <c r="C643" s="175"/>
      <c r="D643" s="175"/>
      <c r="E643" s="175"/>
      <c r="F643" s="175"/>
      <c r="G643" s="175"/>
      <c r="H643" s="175"/>
      <c r="I643" s="175"/>
      <c r="J643" s="175"/>
      <c r="K643" s="175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 ht="15.75" customHeight="1">
      <c r="A644" s="175"/>
      <c r="B644" s="175"/>
      <c r="C644" s="175"/>
      <c r="D644" s="175"/>
      <c r="E644" s="175"/>
      <c r="F644" s="175"/>
      <c r="G644" s="175"/>
      <c r="H644" s="175"/>
      <c r="I644" s="175"/>
      <c r="J644" s="175"/>
      <c r="K644" s="175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 ht="15.75" customHeight="1">
      <c r="A645" s="175"/>
      <c r="B645" s="175"/>
      <c r="C645" s="175"/>
      <c r="D645" s="175"/>
      <c r="E645" s="175"/>
      <c r="F645" s="175"/>
      <c r="G645" s="175"/>
      <c r="H645" s="175"/>
      <c r="I645" s="175"/>
      <c r="J645" s="175"/>
      <c r="K645" s="175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 ht="15.75" customHeight="1">
      <c r="A646" s="175"/>
      <c r="B646" s="175"/>
      <c r="C646" s="175"/>
      <c r="D646" s="175"/>
      <c r="E646" s="175"/>
      <c r="F646" s="175"/>
      <c r="G646" s="175"/>
      <c r="H646" s="175"/>
      <c r="I646" s="175"/>
      <c r="J646" s="175"/>
      <c r="K646" s="175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 ht="15.75" customHeight="1">
      <c r="A647" s="175"/>
      <c r="B647" s="175"/>
      <c r="C647" s="175"/>
      <c r="D647" s="175"/>
      <c r="E647" s="175"/>
      <c r="F647" s="175"/>
      <c r="G647" s="175"/>
      <c r="H647" s="175"/>
      <c r="I647" s="175"/>
      <c r="J647" s="175"/>
      <c r="K647" s="175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 ht="15.75" customHeight="1">
      <c r="A648" s="175"/>
      <c r="B648" s="175"/>
      <c r="C648" s="175"/>
      <c r="D648" s="175"/>
      <c r="E648" s="175"/>
      <c r="F648" s="175"/>
      <c r="G648" s="175"/>
      <c r="H648" s="175"/>
      <c r="I648" s="175"/>
      <c r="J648" s="175"/>
      <c r="K648" s="175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 ht="15.75" customHeight="1">
      <c r="A649" s="175"/>
      <c r="B649" s="175"/>
      <c r="C649" s="175"/>
      <c r="D649" s="175"/>
      <c r="E649" s="175"/>
      <c r="F649" s="175"/>
      <c r="G649" s="175"/>
      <c r="H649" s="175"/>
      <c r="I649" s="175"/>
      <c r="J649" s="175"/>
      <c r="K649" s="175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 ht="15.75" customHeight="1">
      <c r="A650" s="175"/>
      <c r="B650" s="175"/>
      <c r="C650" s="175"/>
      <c r="D650" s="175"/>
      <c r="E650" s="175"/>
      <c r="F650" s="175"/>
      <c r="G650" s="175"/>
      <c r="H650" s="175"/>
      <c r="I650" s="175"/>
      <c r="J650" s="175"/>
      <c r="K650" s="175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 ht="15.75" customHeight="1">
      <c r="A651" s="175"/>
      <c r="B651" s="175"/>
      <c r="C651" s="175"/>
      <c r="D651" s="175"/>
      <c r="E651" s="175"/>
      <c r="F651" s="175"/>
      <c r="G651" s="175"/>
      <c r="H651" s="175"/>
      <c r="I651" s="175"/>
      <c r="J651" s="175"/>
      <c r="K651" s="175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 ht="15.75" customHeight="1">
      <c r="A652" s="175"/>
      <c r="B652" s="175"/>
      <c r="C652" s="175"/>
      <c r="D652" s="175"/>
      <c r="E652" s="175"/>
      <c r="F652" s="175"/>
      <c r="G652" s="175"/>
      <c r="H652" s="175"/>
      <c r="I652" s="175"/>
      <c r="J652" s="175"/>
      <c r="K652" s="175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 ht="15.75" customHeight="1">
      <c r="A653" s="175"/>
      <c r="B653" s="175"/>
      <c r="C653" s="175"/>
      <c r="D653" s="175"/>
      <c r="E653" s="175"/>
      <c r="F653" s="175"/>
      <c r="G653" s="175"/>
      <c r="H653" s="175"/>
      <c r="I653" s="175"/>
      <c r="J653" s="175"/>
      <c r="K653" s="175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 ht="15.75" customHeight="1">
      <c r="A654" s="175"/>
      <c r="B654" s="175"/>
      <c r="C654" s="175"/>
      <c r="D654" s="175"/>
      <c r="E654" s="175"/>
      <c r="F654" s="175"/>
      <c r="G654" s="175"/>
      <c r="H654" s="175"/>
      <c r="I654" s="175"/>
      <c r="J654" s="175"/>
      <c r="K654" s="175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 ht="15.75" customHeight="1">
      <c r="A655" s="175"/>
      <c r="B655" s="175"/>
      <c r="C655" s="175"/>
      <c r="D655" s="175"/>
      <c r="E655" s="175"/>
      <c r="F655" s="175"/>
      <c r="G655" s="175"/>
      <c r="H655" s="175"/>
      <c r="I655" s="175"/>
      <c r="J655" s="175"/>
      <c r="K655" s="175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 ht="15.75" customHeight="1">
      <c r="A656" s="175"/>
      <c r="B656" s="175"/>
      <c r="C656" s="175"/>
      <c r="D656" s="175"/>
      <c r="E656" s="175"/>
      <c r="F656" s="175"/>
      <c r="G656" s="175"/>
      <c r="H656" s="175"/>
      <c r="I656" s="175"/>
      <c r="J656" s="175"/>
      <c r="K656" s="175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 ht="15.75" customHeight="1">
      <c r="A657" s="175"/>
      <c r="B657" s="175"/>
      <c r="C657" s="175"/>
      <c r="D657" s="175"/>
      <c r="E657" s="175"/>
      <c r="F657" s="175"/>
      <c r="G657" s="175"/>
      <c r="H657" s="175"/>
      <c r="I657" s="175"/>
      <c r="J657" s="175"/>
      <c r="K657" s="175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 ht="15.75" customHeight="1">
      <c r="A658" s="175"/>
      <c r="B658" s="175"/>
      <c r="C658" s="175"/>
      <c r="D658" s="175"/>
      <c r="E658" s="175"/>
      <c r="F658" s="175"/>
      <c r="G658" s="175"/>
      <c r="H658" s="175"/>
      <c r="I658" s="175"/>
      <c r="J658" s="175"/>
      <c r="K658" s="175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 ht="15.75" customHeight="1">
      <c r="A659" s="175"/>
      <c r="B659" s="175"/>
      <c r="C659" s="175"/>
      <c r="D659" s="175"/>
      <c r="E659" s="175"/>
      <c r="F659" s="175"/>
      <c r="G659" s="175"/>
      <c r="H659" s="175"/>
      <c r="I659" s="175"/>
      <c r="J659" s="175"/>
      <c r="K659" s="175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 ht="15.75" customHeight="1">
      <c r="A660" s="175"/>
      <c r="B660" s="175"/>
      <c r="C660" s="175"/>
      <c r="D660" s="175"/>
      <c r="E660" s="175"/>
      <c r="F660" s="175"/>
      <c r="G660" s="175"/>
      <c r="H660" s="175"/>
      <c r="I660" s="175"/>
      <c r="J660" s="175"/>
      <c r="K660" s="175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 ht="15.75" customHeight="1">
      <c r="A661" s="175"/>
      <c r="B661" s="175"/>
      <c r="C661" s="175"/>
      <c r="D661" s="175"/>
      <c r="E661" s="175"/>
      <c r="F661" s="175"/>
      <c r="G661" s="175"/>
      <c r="H661" s="175"/>
      <c r="I661" s="175"/>
      <c r="J661" s="175"/>
      <c r="K661" s="175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 ht="15.75" customHeight="1">
      <c r="A662" s="175"/>
      <c r="B662" s="175"/>
      <c r="C662" s="175"/>
      <c r="D662" s="175"/>
      <c r="E662" s="175"/>
      <c r="F662" s="175"/>
      <c r="G662" s="175"/>
      <c r="H662" s="175"/>
      <c r="I662" s="175"/>
      <c r="J662" s="175"/>
      <c r="K662" s="175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 ht="15.75" customHeight="1">
      <c r="A663" s="175"/>
      <c r="B663" s="175"/>
      <c r="C663" s="175"/>
      <c r="D663" s="175"/>
      <c r="E663" s="175"/>
      <c r="F663" s="175"/>
      <c r="G663" s="175"/>
      <c r="H663" s="175"/>
      <c r="I663" s="175"/>
      <c r="J663" s="175"/>
      <c r="K663" s="175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 ht="15.75" customHeight="1">
      <c r="A664" s="175"/>
      <c r="B664" s="175"/>
      <c r="C664" s="175"/>
      <c r="D664" s="175"/>
      <c r="E664" s="175"/>
      <c r="F664" s="175"/>
      <c r="G664" s="175"/>
      <c r="H664" s="175"/>
      <c r="I664" s="175"/>
      <c r="J664" s="175"/>
      <c r="K664" s="175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 ht="15.75" customHeight="1">
      <c r="A665" s="175"/>
      <c r="B665" s="175"/>
      <c r="C665" s="175"/>
      <c r="D665" s="175"/>
      <c r="E665" s="175"/>
      <c r="F665" s="175"/>
      <c r="G665" s="175"/>
      <c r="H665" s="175"/>
      <c r="I665" s="175"/>
      <c r="J665" s="175"/>
      <c r="K665" s="175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 ht="15.75" customHeight="1">
      <c r="A666" s="175"/>
      <c r="B666" s="175"/>
      <c r="C666" s="175"/>
      <c r="D666" s="175"/>
      <c r="E666" s="175"/>
      <c r="F666" s="175"/>
      <c r="G666" s="175"/>
      <c r="H666" s="175"/>
      <c r="I666" s="175"/>
      <c r="J666" s="175"/>
      <c r="K666" s="175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 ht="15.75" customHeight="1">
      <c r="A667" s="175"/>
      <c r="B667" s="175"/>
      <c r="C667" s="175"/>
      <c r="D667" s="175"/>
      <c r="E667" s="175"/>
      <c r="F667" s="175"/>
      <c r="G667" s="175"/>
      <c r="H667" s="175"/>
      <c r="I667" s="175"/>
      <c r="J667" s="175"/>
      <c r="K667" s="175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 ht="15.75" customHeight="1">
      <c r="A668" s="175"/>
      <c r="B668" s="175"/>
      <c r="C668" s="175"/>
      <c r="D668" s="175"/>
      <c r="E668" s="175"/>
      <c r="F668" s="175"/>
      <c r="G668" s="175"/>
      <c r="H668" s="175"/>
      <c r="I668" s="175"/>
      <c r="J668" s="175"/>
      <c r="K668" s="175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 ht="15.75" customHeight="1">
      <c r="A669" s="175"/>
      <c r="B669" s="175"/>
      <c r="C669" s="175"/>
      <c r="D669" s="175"/>
      <c r="E669" s="175"/>
      <c r="F669" s="175"/>
      <c r="G669" s="175"/>
      <c r="H669" s="175"/>
      <c r="I669" s="175"/>
      <c r="J669" s="175"/>
      <c r="K669" s="175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 ht="15.75" customHeight="1">
      <c r="A670" s="175"/>
      <c r="B670" s="175"/>
      <c r="C670" s="175"/>
      <c r="D670" s="175"/>
      <c r="E670" s="175"/>
      <c r="F670" s="175"/>
      <c r="G670" s="175"/>
      <c r="H670" s="175"/>
      <c r="I670" s="175"/>
      <c r="J670" s="175"/>
      <c r="K670" s="175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 ht="15.75" customHeight="1">
      <c r="A671" s="175"/>
      <c r="B671" s="175"/>
      <c r="C671" s="175"/>
      <c r="D671" s="175"/>
      <c r="E671" s="175"/>
      <c r="F671" s="175"/>
      <c r="G671" s="175"/>
      <c r="H671" s="175"/>
      <c r="I671" s="175"/>
      <c r="J671" s="175"/>
      <c r="K671" s="175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 ht="15.75" customHeight="1">
      <c r="A672" s="175"/>
      <c r="B672" s="175"/>
      <c r="C672" s="175"/>
      <c r="D672" s="175"/>
      <c r="E672" s="175"/>
      <c r="F672" s="175"/>
      <c r="G672" s="175"/>
      <c r="H672" s="175"/>
      <c r="I672" s="175"/>
      <c r="J672" s="175"/>
      <c r="K672" s="175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 ht="15.75" customHeight="1">
      <c r="A673" s="175"/>
      <c r="B673" s="175"/>
      <c r="C673" s="175"/>
      <c r="D673" s="175"/>
      <c r="E673" s="175"/>
      <c r="F673" s="175"/>
      <c r="G673" s="175"/>
      <c r="H673" s="175"/>
      <c r="I673" s="175"/>
      <c r="J673" s="175"/>
      <c r="K673" s="175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 ht="15.75" customHeight="1">
      <c r="A674" s="175"/>
      <c r="B674" s="175"/>
      <c r="C674" s="175"/>
      <c r="D674" s="175"/>
      <c r="E674" s="175"/>
      <c r="F674" s="175"/>
      <c r="G674" s="175"/>
      <c r="H674" s="175"/>
      <c r="I674" s="175"/>
      <c r="J674" s="175"/>
      <c r="K674" s="175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 ht="15.75" customHeight="1">
      <c r="A675" s="175"/>
      <c r="B675" s="175"/>
      <c r="C675" s="175"/>
      <c r="D675" s="175"/>
      <c r="E675" s="175"/>
      <c r="F675" s="175"/>
      <c r="G675" s="175"/>
      <c r="H675" s="175"/>
      <c r="I675" s="175"/>
      <c r="J675" s="175"/>
      <c r="K675" s="175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 ht="15.75" customHeight="1">
      <c r="A676" s="175"/>
      <c r="B676" s="175"/>
      <c r="C676" s="175"/>
      <c r="D676" s="175"/>
      <c r="E676" s="175"/>
      <c r="F676" s="175"/>
      <c r="G676" s="175"/>
      <c r="H676" s="175"/>
      <c r="I676" s="175"/>
      <c r="J676" s="175"/>
      <c r="K676" s="175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 ht="15.75" customHeight="1">
      <c r="A677" s="175"/>
      <c r="B677" s="175"/>
      <c r="C677" s="175"/>
      <c r="D677" s="175"/>
      <c r="E677" s="175"/>
      <c r="F677" s="175"/>
      <c r="G677" s="175"/>
      <c r="H677" s="175"/>
      <c r="I677" s="175"/>
      <c r="J677" s="175"/>
      <c r="K677" s="175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 ht="15.75" customHeight="1">
      <c r="A678" s="175"/>
      <c r="B678" s="175"/>
      <c r="C678" s="175"/>
      <c r="D678" s="175"/>
      <c r="E678" s="175"/>
      <c r="F678" s="175"/>
      <c r="G678" s="175"/>
      <c r="H678" s="175"/>
      <c r="I678" s="175"/>
      <c r="J678" s="175"/>
      <c r="K678" s="175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 ht="15.75" customHeight="1">
      <c r="A679" s="175"/>
      <c r="B679" s="175"/>
      <c r="C679" s="175"/>
      <c r="D679" s="175"/>
      <c r="E679" s="175"/>
      <c r="F679" s="175"/>
      <c r="G679" s="175"/>
      <c r="H679" s="175"/>
      <c r="I679" s="175"/>
      <c r="J679" s="175"/>
      <c r="K679" s="175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 ht="15.75" customHeight="1">
      <c r="A680" s="175"/>
      <c r="B680" s="175"/>
      <c r="C680" s="175"/>
      <c r="D680" s="175"/>
      <c r="E680" s="175"/>
      <c r="F680" s="175"/>
      <c r="G680" s="175"/>
      <c r="H680" s="175"/>
      <c r="I680" s="175"/>
      <c r="J680" s="175"/>
      <c r="K680" s="175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 ht="15.75" customHeight="1">
      <c r="A681" s="175"/>
      <c r="B681" s="175"/>
      <c r="C681" s="175"/>
      <c r="D681" s="175"/>
      <c r="E681" s="175"/>
      <c r="F681" s="175"/>
      <c r="G681" s="175"/>
      <c r="H681" s="175"/>
      <c r="I681" s="175"/>
      <c r="J681" s="175"/>
      <c r="K681" s="175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 ht="15.75" customHeight="1">
      <c r="A682" s="175"/>
      <c r="B682" s="175"/>
      <c r="C682" s="175"/>
      <c r="D682" s="175"/>
      <c r="E682" s="175"/>
      <c r="F682" s="175"/>
      <c r="G682" s="175"/>
      <c r="H682" s="175"/>
      <c r="I682" s="175"/>
      <c r="J682" s="175"/>
      <c r="K682" s="175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 ht="15.75" customHeight="1">
      <c r="A683" s="175"/>
      <c r="B683" s="175"/>
      <c r="C683" s="175"/>
      <c r="D683" s="175"/>
      <c r="E683" s="175"/>
      <c r="F683" s="175"/>
      <c r="G683" s="175"/>
      <c r="H683" s="175"/>
      <c r="I683" s="175"/>
      <c r="J683" s="175"/>
      <c r="K683" s="175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 ht="15.75" customHeight="1">
      <c r="A684" s="175"/>
      <c r="B684" s="175"/>
      <c r="C684" s="175"/>
      <c r="D684" s="175"/>
      <c r="E684" s="175"/>
      <c r="F684" s="175"/>
      <c r="G684" s="175"/>
      <c r="H684" s="175"/>
      <c r="I684" s="175"/>
      <c r="J684" s="175"/>
      <c r="K684" s="175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 ht="15.75" customHeight="1">
      <c r="A685" s="175"/>
      <c r="B685" s="175"/>
      <c r="C685" s="175"/>
      <c r="D685" s="175"/>
      <c r="E685" s="175"/>
      <c r="F685" s="175"/>
      <c r="G685" s="175"/>
      <c r="H685" s="175"/>
      <c r="I685" s="175"/>
      <c r="J685" s="175"/>
      <c r="K685" s="175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 ht="15.75" customHeight="1">
      <c r="A686" s="175"/>
      <c r="B686" s="175"/>
      <c r="C686" s="175"/>
      <c r="D686" s="175"/>
      <c r="E686" s="175"/>
      <c r="F686" s="175"/>
      <c r="G686" s="175"/>
      <c r="H686" s="175"/>
      <c r="I686" s="175"/>
      <c r="J686" s="175"/>
      <c r="K686" s="175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 ht="15.75" customHeight="1">
      <c r="A687" s="175"/>
      <c r="B687" s="175"/>
      <c r="C687" s="175"/>
      <c r="D687" s="175"/>
      <c r="E687" s="175"/>
      <c r="F687" s="175"/>
      <c r="G687" s="175"/>
      <c r="H687" s="175"/>
      <c r="I687" s="175"/>
      <c r="J687" s="175"/>
      <c r="K687" s="175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 ht="15.75" customHeight="1">
      <c r="A688" s="175"/>
      <c r="B688" s="175"/>
      <c r="C688" s="175"/>
      <c r="D688" s="175"/>
      <c r="E688" s="175"/>
      <c r="F688" s="175"/>
      <c r="G688" s="175"/>
      <c r="H688" s="175"/>
      <c r="I688" s="175"/>
      <c r="J688" s="175"/>
      <c r="K688" s="175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 ht="15.75" customHeight="1">
      <c r="A689" s="175"/>
      <c r="B689" s="175"/>
      <c r="C689" s="175"/>
      <c r="D689" s="175"/>
      <c r="E689" s="175"/>
      <c r="F689" s="175"/>
      <c r="G689" s="175"/>
      <c r="H689" s="175"/>
      <c r="I689" s="175"/>
      <c r="J689" s="175"/>
      <c r="K689" s="175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 ht="15.75" customHeight="1">
      <c r="A690" s="175"/>
      <c r="B690" s="175"/>
      <c r="C690" s="175"/>
      <c r="D690" s="175"/>
      <c r="E690" s="175"/>
      <c r="F690" s="175"/>
      <c r="G690" s="175"/>
      <c r="H690" s="175"/>
      <c r="I690" s="175"/>
      <c r="J690" s="175"/>
      <c r="K690" s="175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 ht="15.75" customHeight="1">
      <c r="A691" s="175"/>
      <c r="B691" s="175"/>
      <c r="C691" s="175"/>
      <c r="D691" s="175"/>
      <c r="E691" s="175"/>
      <c r="F691" s="175"/>
      <c r="G691" s="175"/>
      <c r="H691" s="175"/>
      <c r="I691" s="175"/>
      <c r="J691" s="175"/>
      <c r="K691" s="175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 ht="15.75" customHeight="1">
      <c r="A692" s="175"/>
      <c r="B692" s="175"/>
      <c r="C692" s="175"/>
      <c r="D692" s="175"/>
      <c r="E692" s="175"/>
      <c r="F692" s="175"/>
      <c r="G692" s="175"/>
      <c r="H692" s="175"/>
      <c r="I692" s="175"/>
      <c r="J692" s="175"/>
      <c r="K692" s="175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 ht="15.75" customHeight="1">
      <c r="A693" s="175"/>
      <c r="B693" s="175"/>
      <c r="C693" s="175"/>
      <c r="D693" s="175"/>
      <c r="E693" s="175"/>
      <c r="F693" s="175"/>
      <c r="G693" s="175"/>
      <c r="H693" s="175"/>
      <c r="I693" s="175"/>
      <c r="J693" s="175"/>
      <c r="K693" s="175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 ht="15.75" customHeight="1">
      <c r="A694" s="175"/>
      <c r="B694" s="175"/>
      <c r="C694" s="175"/>
      <c r="D694" s="175"/>
      <c r="E694" s="175"/>
      <c r="F694" s="175"/>
      <c r="G694" s="175"/>
      <c r="H694" s="175"/>
      <c r="I694" s="175"/>
      <c r="J694" s="175"/>
      <c r="K694" s="175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 ht="15.75" customHeight="1">
      <c r="A695" s="175"/>
      <c r="B695" s="175"/>
      <c r="C695" s="175"/>
      <c r="D695" s="175"/>
      <c r="E695" s="175"/>
      <c r="F695" s="175"/>
      <c r="G695" s="175"/>
      <c r="H695" s="175"/>
      <c r="I695" s="175"/>
      <c r="J695" s="175"/>
      <c r="K695" s="175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 ht="15.75" customHeight="1">
      <c r="A696" s="175"/>
      <c r="B696" s="175"/>
      <c r="C696" s="175"/>
      <c r="D696" s="175"/>
      <c r="E696" s="175"/>
      <c r="F696" s="175"/>
      <c r="G696" s="175"/>
      <c r="H696" s="175"/>
      <c r="I696" s="175"/>
      <c r="J696" s="175"/>
      <c r="K696" s="175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 ht="15.75" customHeight="1">
      <c r="A697" s="175"/>
      <c r="B697" s="175"/>
      <c r="C697" s="175"/>
      <c r="D697" s="175"/>
      <c r="E697" s="175"/>
      <c r="F697" s="175"/>
      <c r="G697" s="175"/>
      <c r="H697" s="175"/>
      <c r="I697" s="175"/>
      <c r="J697" s="175"/>
      <c r="K697" s="175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 ht="15.75" customHeight="1">
      <c r="A698" s="175"/>
      <c r="B698" s="175"/>
      <c r="C698" s="175"/>
      <c r="D698" s="175"/>
      <c r="E698" s="175"/>
      <c r="F698" s="175"/>
      <c r="G698" s="175"/>
      <c r="H698" s="175"/>
      <c r="I698" s="175"/>
      <c r="J698" s="175"/>
      <c r="K698" s="175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 ht="15.75" customHeight="1">
      <c r="A699" s="175"/>
      <c r="B699" s="175"/>
      <c r="C699" s="175"/>
      <c r="D699" s="175"/>
      <c r="E699" s="175"/>
      <c r="F699" s="175"/>
      <c r="G699" s="175"/>
      <c r="H699" s="175"/>
      <c r="I699" s="175"/>
      <c r="J699" s="175"/>
      <c r="K699" s="175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 ht="15.75" customHeight="1">
      <c r="A700" s="175"/>
      <c r="B700" s="175"/>
      <c r="C700" s="175"/>
      <c r="D700" s="175"/>
      <c r="E700" s="175"/>
      <c r="F700" s="175"/>
      <c r="G700" s="175"/>
      <c r="H700" s="175"/>
      <c r="I700" s="175"/>
      <c r="J700" s="175"/>
      <c r="K700" s="175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 ht="15.75" customHeight="1">
      <c r="A701" s="175"/>
      <c r="B701" s="175"/>
      <c r="C701" s="175"/>
      <c r="D701" s="175"/>
      <c r="E701" s="175"/>
      <c r="F701" s="175"/>
      <c r="G701" s="175"/>
      <c r="H701" s="175"/>
      <c r="I701" s="175"/>
      <c r="J701" s="175"/>
      <c r="K701" s="175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 ht="15.75" customHeight="1">
      <c r="A702" s="175"/>
      <c r="B702" s="175"/>
      <c r="C702" s="175"/>
      <c r="D702" s="175"/>
      <c r="E702" s="175"/>
      <c r="F702" s="175"/>
      <c r="G702" s="175"/>
      <c r="H702" s="175"/>
      <c r="I702" s="175"/>
      <c r="J702" s="175"/>
      <c r="K702" s="175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 ht="15.75" customHeight="1">
      <c r="A703" s="175"/>
      <c r="B703" s="175"/>
      <c r="C703" s="175"/>
      <c r="D703" s="175"/>
      <c r="E703" s="175"/>
      <c r="F703" s="175"/>
      <c r="G703" s="175"/>
      <c r="H703" s="175"/>
      <c r="I703" s="175"/>
      <c r="J703" s="175"/>
      <c r="K703" s="175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 ht="15.75" customHeight="1">
      <c r="A704" s="175"/>
      <c r="B704" s="175"/>
      <c r="C704" s="175"/>
      <c r="D704" s="175"/>
      <c r="E704" s="175"/>
      <c r="F704" s="175"/>
      <c r="G704" s="175"/>
      <c r="H704" s="175"/>
      <c r="I704" s="175"/>
      <c r="J704" s="175"/>
      <c r="K704" s="175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 ht="15.75" customHeight="1">
      <c r="A705" s="175"/>
      <c r="B705" s="175"/>
      <c r="C705" s="175"/>
      <c r="D705" s="175"/>
      <c r="E705" s="175"/>
      <c r="F705" s="175"/>
      <c r="G705" s="175"/>
      <c r="H705" s="175"/>
      <c r="I705" s="175"/>
      <c r="J705" s="175"/>
      <c r="K705" s="175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 ht="15.75" customHeight="1">
      <c r="A706" s="175"/>
      <c r="B706" s="175"/>
      <c r="C706" s="175"/>
      <c r="D706" s="175"/>
      <c r="E706" s="175"/>
      <c r="F706" s="175"/>
      <c r="G706" s="175"/>
      <c r="H706" s="175"/>
      <c r="I706" s="175"/>
      <c r="J706" s="175"/>
      <c r="K706" s="175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 ht="15.75" customHeight="1">
      <c r="A707" s="175"/>
      <c r="B707" s="175"/>
      <c r="C707" s="175"/>
      <c r="D707" s="175"/>
      <c r="E707" s="175"/>
      <c r="F707" s="175"/>
      <c r="G707" s="175"/>
      <c r="H707" s="175"/>
      <c r="I707" s="175"/>
      <c r="J707" s="175"/>
      <c r="K707" s="175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 ht="15.75" customHeight="1">
      <c r="A708" s="175"/>
      <c r="B708" s="175"/>
      <c r="C708" s="175"/>
      <c r="D708" s="175"/>
      <c r="E708" s="175"/>
      <c r="F708" s="175"/>
      <c r="G708" s="175"/>
      <c r="H708" s="175"/>
      <c r="I708" s="175"/>
      <c r="J708" s="175"/>
      <c r="K708" s="175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 ht="15.75" customHeight="1">
      <c r="A709" s="175"/>
      <c r="B709" s="175"/>
      <c r="C709" s="175"/>
      <c r="D709" s="175"/>
      <c r="E709" s="175"/>
      <c r="F709" s="175"/>
      <c r="G709" s="175"/>
      <c r="H709" s="175"/>
      <c r="I709" s="175"/>
      <c r="J709" s="175"/>
      <c r="K709" s="175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 ht="15.75" customHeight="1">
      <c r="A710" s="175"/>
      <c r="B710" s="175"/>
      <c r="C710" s="175"/>
      <c r="D710" s="175"/>
      <c r="E710" s="175"/>
      <c r="F710" s="175"/>
      <c r="G710" s="175"/>
      <c r="H710" s="175"/>
      <c r="I710" s="175"/>
      <c r="J710" s="175"/>
      <c r="K710" s="175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 ht="15.75" customHeight="1">
      <c r="A711" s="175"/>
      <c r="B711" s="175"/>
      <c r="C711" s="175"/>
      <c r="D711" s="175"/>
      <c r="E711" s="175"/>
      <c r="F711" s="175"/>
      <c r="G711" s="175"/>
      <c r="H711" s="175"/>
      <c r="I711" s="175"/>
      <c r="J711" s="175"/>
      <c r="K711" s="175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 ht="15.75" customHeight="1">
      <c r="A712" s="175"/>
      <c r="B712" s="175"/>
      <c r="C712" s="175"/>
      <c r="D712" s="175"/>
      <c r="E712" s="175"/>
      <c r="F712" s="175"/>
      <c r="G712" s="175"/>
      <c r="H712" s="175"/>
      <c r="I712" s="175"/>
      <c r="J712" s="175"/>
      <c r="K712" s="175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 ht="15.75" customHeight="1">
      <c r="A713" s="175"/>
      <c r="B713" s="175"/>
      <c r="C713" s="175"/>
      <c r="D713" s="175"/>
      <c r="E713" s="175"/>
      <c r="F713" s="175"/>
      <c r="G713" s="175"/>
      <c r="H713" s="175"/>
      <c r="I713" s="175"/>
      <c r="J713" s="175"/>
      <c r="K713" s="175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 ht="15.75" customHeight="1">
      <c r="A714" s="175"/>
      <c r="B714" s="175"/>
      <c r="C714" s="175"/>
      <c r="D714" s="175"/>
      <c r="E714" s="175"/>
      <c r="F714" s="175"/>
      <c r="G714" s="175"/>
      <c r="H714" s="175"/>
      <c r="I714" s="175"/>
      <c r="J714" s="175"/>
      <c r="K714" s="175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 ht="15.75" customHeight="1">
      <c r="A715" s="175"/>
      <c r="B715" s="175"/>
      <c r="C715" s="175"/>
      <c r="D715" s="175"/>
      <c r="E715" s="175"/>
      <c r="F715" s="175"/>
      <c r="G715" s="175"/>
      <c r="H715" s="175"/>
      <c r="I715" s="175"/>
      <c r="J715" s="175"/>
      <c r="K715" s="175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 ht="15.75" customHeight="1">
      <c r="A716" s="175"/>
      <c r="B716" s="175"/>
      <c r="C716" s="175"/>
      <c r="D716" s="175"/>
      <c r="E716" s="175"/>
      <c r="F716" s="175"/>
      <c r="G716" s="175"/>
      <c r="H716" s="175"/>
      <c r="I716" s="175"/>
      <c r="J716" s="175"/>
      <c r="K716" s="175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 ht="15.75" customHeight="1">
      <c r="A717" s="175"/>
      <c r="B717" s="175"/>
      <c r="C717" s="175"/>
      <c r="D717" s="175"/>
      <c r="E717" s="175"/>
      <c r="F717" s="175"/>
      <c r="G717" s="175"/>
      <c r="H717" s="175"/>
      <c r="I717" s="175"/>
      <c r="J717" s="175"/>
      <c r="K717" s="175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 ht="15.75" customHeight="1">
      <c r="A718" s="175"/>
      <c r="B718" s="175"/>
      <c r="C718" s="175"/>
      <c r="D718" s="175"/>
      <c r="E718" s="175"/>
      <c r="F718" s="175"/>
      <c r="G718" s="175"/>
      <c r="H718" s="175"/>
      <c r="I718" s="175"/>
      <c r="J718" s="175"/>
      <c r="K718" s="175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 ht="15.75" customHeight="1">
      <c r="A719" s="175"/>
      <c r="B719" s="175"/>
      <c r="C719" s="175"/>
      <c r="D719" s="175"/>
      <c r="E719" s="175"/>
      <c r="F719" s="175"/>
      <c r="G719" s="175"/>
      <c r="H719" s="175"/>
      <c r="I719" s="175"/>
      <c r="J719" s="175"/>
      <c r="K719" s="175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 ht="15.75" customHeight="1">
      <c r="A720" s="175"/>
      <c r="B720" s="175"/>
      <c r="C720" s="175"/>
      <c r="D720" s="175"/>
      <c r="E720" s="175"/>
      <c r="F720" s="175"/>
      <c r="G720" s="175"/>
      <c r="H720" s="175"/>
      <c r="I720" s="175"/>
      <c r="J720" s="175"/>
      <c r="K720" s="175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 ht="15.75" customHeight="1">
      <c r="A721" s="175"/>
      <c r="B721" s="175"/>
      <c r="C721" s="175"/>
      <c r="D721" s="175"/>
      <c r="E721" s="175"/>
      <c r="F721" s="175"/>
      <c r="G721" s="175"/>
      <c r="H721" s="175"/>
      <c r="I721" s="175"/>
      <c r="J721" s="175"/>
      <c r="K721" s="175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 ht="15.75" customHeight="1">
      <c r="A722" s="175"/>
      <c r="B722" s="175"/>
      <c r="C722" s="175"/>
      <c r="D722" s="175"/>
      <c r="E722" s="175"/>
      <c r="F722" s="175"/>
      <c r="G722" s="175"/>
      <c r="H722" s="175"/>
      <c r="I722" s="175"/>
      <c r="J722" s="175"/>
      <c r="K722" s="175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 ht="15.75" customHeight="1">
      <c r="A723" s="175"/>
      <c r="B723" s="175"/>
      <c r="C723" s="175"/>
      <c r="D723" s="175"/>
      <c r="E723" s="175"/>
      <c r="F723" s="175"/>
      <c r="G723" s="175"/>
      <c r="H723" s="175"/>
      <c r="I723" s="175"/>
      <c r="J723" s="175"/>
      <c r="K723" s="175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 ht="15.75" customHeight="1">
      <c r="A724" s="175"/>
      <c r="B724" s="175"/>
      <c r="C724" s="175"/>
      <c r="D724" s="175"/>
      <c r="E724" s="175"/>
      <c r="F724" s="175"/>
      <c r="G724" s="175"/>
      <c r="H724" s="175"/>
      <c r="I724" s="175"/>
      <c r="J724" s="175"/>
      <c r="K724" s="175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 ht="15.75" customHeight="1">
      <c r="A725" s="175"/>
      <c r="B725" s="175"/>
      <c r="C725" s="175"/>
      <c r="D725" s="175"/>
      <c r="E725" s="175"/>
      <c r="F725" s="175"/>
      <c r="G725" s="175"/>
      <c r="H725" s="175"/>
      <c r="I725" s="175"/>
      <c r="J725" s="175"/>
      <c r="K725" s="175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 ht="15.75" customHeight="1">
      <c r="A726" s="175"/>
      <c r="B726" s="175"/>
      <c r="C726" s="175"/>
      <c r="D726" s="175"/>
      <c r="E726" s="175"/>
      <c r="F726" s="175"/>
      <c r="G726" s="175"/>
      <c r="H726" s="175"/>
      <c r="I726" s="175"/>
      <c r="J726" s="175"/>
      <c r="K726" s="175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 ht="15.75" customHeight="1">
      <c r="A727" s="175"/>
      <c r="B727" s="175"/>
      <c r="C727" s="175"/>
      <c r="D727" s="175"/>
      <c r="E727" s="175"/>
      <c r="F727" s="175"/>
      <c r="G727" s="175"/>
      <c r="H727" s="175"/>
      <c r="I727" s="175"/>
      <c r="J727" s="175"/>
      <c r="K727" s="175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 ht="15.75" customHeight="1">
      <c r="A728" s="175"/>
      <c r="B728" s="175"/>
      <c r="C728" s="175"/>
      <c r="D728" s="175"/>
      <c r="E728" s="175"/>
      <c r="F728" s="175"/>
      <c r="G728" s="175"/>
      <c r="H728" s="175"/>
      <c r="I728" s="175"/>
      <c r="J728" s="175"/>
      <c r="K728" s="175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 ht="15.75" customHeight="1">
      <c r="A729" s="175"/>
      <c r="B729" s="175"/>
      <c r="C729" s="175"/>
      <c r="D729" s="175"/>
      <c r="E729" s="175"/>
      <c r="F729" s="175"/>
      <c r="G729" s="175"/>
      <c r="H729" s="175"/>
      <c r="I729" s="175"/>
      <c r="J729" s="175"/>
      <c r="K729" s="175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 ht="15.75" customHeight="1">
      <c r="A730" s="175"/>
      <c r="B730" s="175"/>
      <c r="C730" s="175"/>
      <c r="D730" s="175"/>
      <c r="E730" s="175"/>
      <c r="F730" s="175"/>
      <c r="G730" s="175"/>
      <c r="H730" s="175"/>
      <c r="I730" s="175"/>
      <c r="J730" s="175"/>
      <c r="K730" s="175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 ht="15.75" customHeight="1">
      <c r="A731" s="175"/>
      <c r="B731" s="175"/>
      <c r="C731" s="175"/>
      <c r="D731" s="175"/>
      <c r="E731" s="175"/>
      <c r="F731" s="175"/>
      <c r="G731" s="175"/>
      <c r="H731" s="175"/>
      <c r="I731" s="175"/>
      <c r="J731" s="175"/>
      <c r="K731" s="175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 ht="15.75" customHeight="1">
      <c r="A732" s="175"/>
      <c r="B732" s="175"/>
      <c r="C732" s="175"/>
      <c r="D732" s="175"/>
      <c r="E732" s="175"/>
      <c r="F732" s="175"/>
      <c r="G732" s="175"/>
      <c r="H732" s="175"/>
      <c r="I732" s="175"/>
      <c r="J732" s="175"/>
      <c r="K732" s="175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 ht="15.75" customHeight="1">
      <c r="A733" s="175"/>
      <c r="B733" s="175"/>
      <c r="C733" s="175"/>
      <c r="D733" s="175"/>
      <c r="E733" s="175"/>
      <c r="F733" s="175"/>
      <c r="G733" s="175"/>
      <c r="H733" s="175"/>
      <c r="I733" s="175"/>
      <c r="J733" s="175"/>
      <c r="K733" s="175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 ht="15.75" customHeight="1">
      <c r="A734" s="175"/>
      <c r="B734" s="175"/>
      <c r="C734" s="175"/>
      <c r="D734" s="175"/>
      <c r="E734" s="175"/>
      <c r="F734" s="175"/>
      <c r="G734" s="175"/>
      <c r="H734" s="175"/>
      <c r="I734" s="175"/>
      <c r="J734" s="175"/>
      <c r="K734" s="175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 ht="15.75" customHeight="1">
      <c r="A735" s="175"/>
      <c r="B735" s="175"/>
      <c r="C735" s="175"/>
      <c r="D735" s="175"/>
      <c r="E735" s="175"/>
      <c r="F735" s="175"/>
      <c r="G735" s="175"/>
      <c r="H735" s="175"/>
      <c r="I735" s="175"/>
      <c r="J735" s="175"/>
      <c r="K735" s="175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 ht="15.75" customHeight="1">
      <c r="A736" s="175"/>
      <c r="B736" s="175"/>
      <c r="C736" s="175"/>
      <c r="D736" s="175"/>
      <c r="E736" s="175"/>
      <c r="F736" s="175"/>
      <c r="G736" s="175"/>
      <c r="H736" s="175"/>
      <c r="I736" s="175"/>
      <c r="J736" s="175"/>
      <c r="K736" s="175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 ht="15.75" customHeight="1">
      <c r="A737" s="175"/>
      <c r="B737" s="175"/>
      <c r="C737" s="175"/>
      <c r="D737" s="175"/>
      <c r="E737" s="175"/>
      <c r="F737" s="175"/>
      <c r="G737" s="175"/>
      <c r="H737" s="175"/>
      <c r="I737" s="175"/>
      <c r="J737" s="175"/>
      <c r="K737" s="175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 ht="15.75" customHeight="1">
      <c r="A738" s="175"/>
      <c r="B738" s="175"/>
      <c r="C738" s="175"/>
      <c r="D738" s="175"/>
      <c r="E738" s="175"/>
      <c r="F738" s="175"/>
      <c r="G738" s="175"/>
      <c r="H738" s="175"/>
      <c r="I738" s="175"/>
      <c r="J738" s="175"/>
      <c r="K738" s="175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 ht="15.75" customHeight="1">
      <c r="A739" s="175"/>
      <c r="B739" s="175"/>
      <c r="C739" s="175"/>
      <c r="D739" s="175"/>
      <c r="E739" s="175"/>
      <c r="F739" s="175"/>
      <c r="G739" s="175"/>
      <c r="H739" s="175"/>
      <c r="I739" s="175"/>
      <c r="J739" s="175"/>
      <c r="K739" s="175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 ht="15.75" customHeight="1">
      <c r="A740" s="175"/>
      <c r="B740" s="175"/>
      <c r="C740" s="175"/>
      <c r="D740" s="175"/>
      <c r="E740" s="175"/>
      <c r="F740" s="175"/>
      <c r="G740" s="175"/>
      <c r="H740" s="175"/>
      <c r="I740" s="175"/>
      <c r="J740" s="175"/>
      <c r="K740" s="175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 ht="15.75" customHeight="1">
      <c r="A741" s="175"/>
      <c r="B741" s="175"/>
      <c r="C741" s="175"/>
      <c r="D741" s="175"/>
      <c r="E741" s="175"/>
      <c r="F741" s="175"/>
      <c r="G741" s="175"/>
      <c r="H741" s="175"/>
      <c r="I741" s="175"/>
      <c r="J741" s="175"/>
      <c r="K741" s="175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 ht="15.75" customHeight="1">
      <c r="A742" s="175"/>
      <c r="B742" s="175"/>
      <c r="C742" s="175"/>
      <c r="D742" s="175"/>
      <c r="E742" s="175"/>
      <c r="F742" s="175"/>
      <c r="G742" s="175"/>
      <c r="H742" s="175"/>
      <c r="I742" s="175"/>
      <c r="J742" s="175"/>
      <c r="K742" s="175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 ht="15.75" customHeight="1">
      <c r="A743" s="175"/>
      <c r="B743" s="175"/>
      <c r="C743" s="175"/>
      <c r="D743" s="175"/>
      <c r="E743" s="175"/>
      <c r="F743" s="175"/>
      <c r="G743" s="175"/>
      <c r="H743" s="175"/>
      <c r="I743" s="175"/>
      <c r="J743" s="175"/>
      <c r="K743" s="175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 ht="15.75" customHeight="1">
      <c r="A744" s="175"/>
      <c r="B744" s="175"/>
      <c r="C744" s="175"/>
      <c r="D744" s="175"/>
      <c r="E744" s="175"/>
      <c r="F744" s="175"/>
      <c r="G744" s="175"/>
      <c r="H744" s="175"/>
      <c r="I744" s="175"/>
      <c r="J744" s="175"/>
      <c r="K744" s="175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 ht="15.75" customHeight="1">
      <c r="A745" s="175"/>
      <c r="B745" s="175"/>
      <c r="C745" s="175"/>
      <c r="D745" s="175"/>
      <c r="E745" s="175"/>
      <c r="F745" s="175"/>
      <c r="G745" s="175"/>
      <c r="H745" s="175"/>
      <c r="I745" s="175"/>
      <c r="J745" s="175"/>
      <c r="K745" s="175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 ht="15.75" customHeight="1">
      <c r="A746" s="175"/>
      <c r="B746" s="175"/>
      <c r="C746" s="175"/>
      <c r="D746" s="175"/>
      <c r="E746" s="175"/>
      <c r="F746" s="175"/>
      <c r="G746" s="175"/>
      <c r="H746" s="175"/>
      <c r="I746" s="175"/>
      <c r="J746" s="175"/>
      <c r="K746" s="175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 ht="15.75" customHeight="1">
      <c r="A747" s="175"/>
      <c r="B747" s="175"/>
      <c r="C747" s="175"/>
      <c r="D747" s="175"/>
      <c r="E747" s="175"/>
      <c r="F747" s="175"/>
      <c r="G747" s="175"/>
      <c r="H747" s="175"/>
      <c r="I747" s="175"/>
      <c r="J747" s="175"/>
      <c r="K747" s="175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 ht="15.75" customHeight="1">
      <c r="A748" s="175"/>
      <c r="B748" s="175"/>
      <c r="C748" s="175"/>
      <c r="D748" s="175"/>
      <c r="E748" s="175"/>
      <c r="F748" s="175"/>
      <c r="G748" s="175"/>
      <c r="H748" s="175"/>
      <c r="I748" s="175"/>
      <c r="J748" s="175"/>
      <c r="K748" s="175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 ht="15.75" customHeight="1">
      <c r="A749" s="175"/>
      <c r="B749" s="175"/>
      <c r="C749" s="175"/>
      <c r="D749" s="175"/>
      <c r="E749" s="175"/>
      <c r="F749" s="175"/>
      <c r="G749" s="175"/>
      <c r="H749" s="175"/>
      <c r="I749" s="175"/>
      <c r="J749" s="175"/>
      <c r="K749" s="175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 ht="15.75" customHeight="1">
      <c r="A750" s="175"/>
      <c r="B750" s="175"/>
      <c r="C750" s="175"/>
      <c r="D750" s="175"/>
      <c r="E750" s="175"/>
      <c r="F750" s="175"/>
      <c r="G750" s="175"/>
      <c r="H750" s="175"/>
      <c r="I750" s="175"/>
      <c r="J750" s="175"/>
      <c r="K750" s="175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 ht="15.75" customHeight="1">
      <c r="A751" s="175"/>
      <c r="B751" s="175"/>
      <c r="C751" s="175"/>
      <c r="D751" s="175"/>
      <c r="E751" s="175"/>
      <c r="F751" s="175"/>
      <c r="G751" s="175"/>
      <c r="H751" s="175"/>
      <c r="I751" s="175"/>
      <c r="J751" s="175"/>
      <c r="K751" s="175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 ht="15.75" customHeight="1">
      <c r="A752" s="175"/>
      <c r="B752" s="175"/>
      <c r="C752" s="175"/>
      <c r="D752" s="175"/>
      <c r="E752" s="175"/>
      <c r="F752" s="175"/>
      <c r="G752" s="175"/>
      <c r="H752" s="175"/>
      <c r="I752" s="175"/>
      <c r="J752" s="175"/>
      <c r="K752" s="175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 ht="15.75" customHeight="1">
      <c r="A753" s="175"/>
      <c r="B753" s="175"/>
      <c r="C753" s="175"/>
      <c r="D753" s="175"/>
      <c r="E753" s="175"/>
      <c r="F753" s="175"/>
      <c r="G753" s="175"/>
      <c r="H753" s="175"/>
      <c r="I753" s="175"/>
      <c r="J753" s="175"/>
      <c r="K753" s="175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 ht="15.75" customHeight="1">
      <c r="A754" s="175"/>
      <c r="B754" s="175"/>
      <c r="C754" s="175"/>
      <c r="D754" s="175"/>
      <c r="E754" s="175"/>
      <c r="F754" s="175"/>
      <c r="G754" s="175"/>
      <c r="H754" s="175"/>
      <c r="I754" s="175"/>
      <c r="J754" s="175"/>
      <c r="K754" s="175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 ht="15.75" customHeight="1">
      <c r="A755" s="175"/>
      <c r="B755" s="175"/>
      <c r="C755" s="175"/>
      <c r="D755" s="175"/>
      <c r="E755" s="175"/>
      <c r="F755" s="175"/>
      <c r="G755" s="175"/>
      <c r="H755" s="175"/>
      <c r="I755" s="175"/>
      <c r="J755" s="175"/>
      <c r="K755" s="175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 ht="15.75" customHeight="1">
      <c r="A756" s="175"/>
      <c r="B756" s="175"/>
      <c r="C756" s="175"/>
      <c r="D756" s="175"/>
      <c r="E756" s="175"/>
      <c r="F756" s="175"/>
      <c r="G756" s="175"/>
      <c r="H756" s="175"/>
      <c r="I756" s="175"/>
      <c r="J756" s="175"/>
      <c r="K756" s="175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 ht="15.75" customHeight="1">
      <c r="A757" s="175"/>
      <c r="B757" s="175"/>
      <c r="C757" s="175"/>
      <c r="D757" s="175"/>
      <c r="E757" s="175"/>
      <c r="F757" s="175"/>
      <c r="G757" s="175"/>
      <c r="H757" s="175"/>
      <c r="I757" s="175"/>
      <c r="J757" s="175"/>
      <c r="K757" s="175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 ht="15.75" customHeight="1">
      <c r="A758" s="175"/>
      <c r="B758" s="175"/>
      <c r="C758" s="175"/>
      <c r="D758" s="175"/>
      <c r="E758" s="175"/>
      <c r="F758" s="175"/>
      <c r="G758" s="175"/>
      <c r="H758" s="175"/>
      <c r="I758" s="175"/>
      <c r="J758" s="175"/>
      <c r="K758" s="175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 ht="15.75" customHeight="1">
      <c r="A759" s="175"/>
      <c r="B759" s="175"/>
      <c r="C759" s="175"/>
      <c r="D759" s="175"/>
      <c r="E759" s="175"/>
      <c r="F759" s="175"/>
      <c r="G759" s="175"/>
      <c r="H759" s="175"/>
      <c r="I759" s="175"/>
      <c r="J759" s="175"/>
      <c r="K759" s="175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 ht="15.75" customHeight="1">
      <c r="A760" s="175"/>
      <c r="B760" s="175"/>
      <c r="C760" s="175"/>
      <c r="D760" s="175"/>
      <c r="E760" s="175"/>
      <c r="F760" s="175"/>
      <c r="G760" s="175"/>
      <c r="H760" s="175"/>
      <c r="I760" s="175"/>
      <c r="J760" s="175"/>
      <c r="K760" s="175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 ht="15.75" customHeight="1">
      <c r="A761" s="175"/>
      <c r="B761" s="175"/>
      <c r="C761" s="175"/>
      <c r="D761" s="175"/>
      <c r="E761" s="175"/>
      <c r="F761" s="175"/>
      <c r="G761" s="175"/>
      <c r="H761" s="175"/>
      <c r="I761" s="175"/>
      <c r="J761" s="175"/>
      <c r="K761" s="175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 ht="15.75" customHeight="1">
      <c r="A762" s="175"/>
      <c r="B762" s="175"/>
      <c r="C762" s="175"/>
      <c r="D762" s="175"/>
      <c r="E762" s="175"/>
      <c r="F762" s="175"/>
      <c r="G762" s="175"/>
      <c r="H762" s="175"/>
      <c r="I762" s="175"/>
      <c r="J762" s="175"/>
      <c r="K762" s="175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 ht="15.75" customHeight="1">
      <c r="A763" s="175"/>
      <c r="B763" s="175"/>
      <c r="C763" s="175"/>
      <c r="D763" s="175"/>
      <c r="E763" s="175"/>
      <c r="F763" s="175"/>
      <c r="G763" s="175"/>
      <c r="H763" s="175"/>
      <c r="I763" s="175"/>
      <c r="J763" s="175"/>
      <c r="K763" s="175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 ht="15.75" customHeight="1">
      <c r="A764" s="175"/>
      <c r="B764" s="175"/>
      <c r="C764" s="175"/>
      <c r="D764" s="175"/>
      <c r="E764" s="175"/>
      <c r="F764" s="175"/>
      <c r="G764" s="175"/>
      <c r="H764" s="175"/>
      <c r="I764" s="175"/>
      <c r="J764" s="175"/>
      <c r="K764" s="175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 ht="15.75" customHeight="1">
      <c r="A765" s="175"/>
      <c r="B765" s="175"/>
      <c r="C765" s="175"/>
      <c r="D765" s="175"/>
      <c r="E765" s="175"/>
      <c r="F765" s="175"/>
      <c r="G765" s="175"/>
      <c r="H765" s="175"/>
      <c r="I765" s="175"/>
      <c r="J765" s="175"/>
      <c r="K765" s="175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 ht="15.75" customHeight="1">
      <c r="A766" s="175"/>
      <c r="B766" s="175"/>
      <c r="C766" s="175"/>
      <c r="D766" s="175"/>
      <c r="E766" s="175"/>
      <c r="F766" s="175"/>
      <c r="G766" s="175"/>
      <c r="H766" s="175"/>
      <c r="I766" s="175"/>
      <c r="J766" s="175"/>
      <c r="K766" s="175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 ht="15.75" customHeight="1">
      <c r="A767" s="175"/>
      <c r="B767" s="175"/>
      <c r="C767" s="175"/>
      <c r="D767" s="175"/>
      <c r="E767" s="175"/>
      <c r="F767" s="175"/>
      <c r="G767" s="175"/>
      <c r="H767" s="175"/>
      <c r="I767" s="175"/>
      <c r="J767" s="175"/>
      <c r="K767" s="175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 ht="15.75" customHeight="1">
      <c r="A768" s="175"/>
      <c r="B768" s="175"/>
      <c r="C768" s="175"/>
      <c r="D768" s="175"/>
      <c r="E768" s="175"/>
      <c r="F768" s="175"/>
      <c r="G768" s="175"/>
      <c r="H768" s="175"/>
      <c r="I768" s="175"/>
      <c r="J768" s="175"/>
      <c r="K768" s="175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 ht="15.75" customHeight="1">
      <c r="A769" s="175"/>
      <c r="B769" s="175"/>
      <c r="C769" s="175"/>
      <c r="D769" s="175"/>
      <c r="E769" s="175"/>
      <c r="F769" s="175"/>
      <c r="G769" s="175"/>
      <c r="H769" s="175"/>
      <c r="I769" s="175"/>
      <c r="J769" s="175"/>
      <c r="K769" s="175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 ht="15.75" customHeight="1">
      <c r="A770" s="175"/>
      <c r="B770" s="175"/>
      <c r="C770" s="175"/>
      <c r="D770" s="175"/>
      <c r="E770" s="175"/>
      <c r="F770" s="175"/>
      <c r="G770" s="175"/>
      <c r="H770" s="175"/>
      <c r="I770" s="175"/>
      <c r="J770" s="175"/>
      <c r="K770" s="175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 ht="15.75" customHeight="1">
      <c r="A771" s="175"/>
      <c r="B771" s="175"/>
      <c r="C771" s="175"/>
      <c r="D771" s="175"/>
      <c r="E771" s="175"/>
      <c r="F771" s="175"/>
      <c r="G771" s="175"/>
      <c r="H771" s="175"/>
      <c r="I771" s="175"/>
      <c r="J771" s="175"/>
      <c r="K771" s="175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 ht="15.75" customHeight="1">
      <c r="A772" s="175"/>
      <c r="B772" s="175"/>
      <c r="C772" s="175"/>
      <c r="D772" s="175"/>
      <c r="E772" s="175"/>
      <c r="F772" s="175"/>
      <c r="G772" s="175"/>
      <c r="H772" s="175"/>
      <c r="I772" s="175"/>
      <c r="J772" s="175"/>
      <c r="K772" s="175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 ht="15.75" customHeight="1">
      <c r="A773" s="175"/>
      <c r="B773" s="175"/>
      <c r="C773" s="175"/>
      <c r="D773" s="175"/>
      <c r="E773" s="175"/>
      <c r="F773" s="175"/>
      <c r="G773" s="175"/>
      <c r="H773" s="175"/>
      <c r="I773" s="175"/>
      <c r="J773" s="175"/>
      <c r="K773" s="175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 ht="15.75" customHeight="1">
      <c r="A774" s="175"/>
      <c r="B774" s="175"/>
      <c r="C774" s="175"/>
      <c r="D774" s="175"/>
      <c r="E774" s="175"/>
      <c r="F774" s="175"/>
      <c r="G774" s="175"/>
      <c r="H774" s="175"/>
      <c r="I774" s="175"/>
      <c r="J774" s="175"/>
      <c r="K774" s="175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 ht="15.75" customHeight="1">
      <c r="A775" s="175"/>
      <c r="B775" s="175"/>
      <c r="C775" s="175"/>
      <c r="D775" s="175"/>
      <c r="E775" s="175"/>
      <c r="F775" s="175"/>
      <c r="G775" s="175"/>
      <c r="H775" s="175"/>
      <c r="I775" s="175"/>
      <c r="J775" s="175"/>
      <c r="K775" s="175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 ht="15.75" customHeight="1">
      <c r="A776" s="175"/>
      <c r="B776" s="175"/>
      <c r="C776" s="175"/>
      <c r="D776" s="175"/>
      <c r="E776" s="175"/>
      <c r="F776" s="175"/>
      <c r="G776" s="175"/>
      <c r="H776" s="175"/>
      <c r="I776" s="175"/>
      <c r="J776" s="175"/>
      <c r="K776" s="175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 ht="15.75" customHeight="1">
      <c r="A777" s="175"/>
      <c r="B777" s="175"/>
      <c r="C777" s="175"/>
      <c r="D777" s="175"/>
      <c r="E777" s="175"/>
      <c r="F777" s="175"/>
      <c r="G777" s="175"/>
      <c r="H777" s="175"/>
      <c r="I777" s="175"/>
      <c r="J777" s="175"/>
      <c r="K777" s="175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 ht="15.75" customHeight="1">
      <c r="A778" s="175"/>
      <c r="B778" s="175"/>
      <c r="C778" s="175"/>
      <c r="D778" s="175"/>
      <c r="E778" s="175"/>
      <c r="F778" s="175"/>
      <c r="G778" s="175"/>
      <c r="H778" s="175"/>
      <c r="I778" s="175"/>
      <c r="J778" s="175"/>
      <c r="K778" s="175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 ht="15.75" customHeight="1">
      <c r="A779" s="175"/>
      <c r="B779" s="175"/>
      <c r="C779" s="175"/>
      <c r="D779" s="175"/>
      <c r="E779" s="175"/>
      <c r="F779" s="175"/>
      <c r="G779" s="175"/>
      <c r="H779" s="175"/>
      <c r="I779" s="175"/>
      <c r="J779" s="175"/>
      <c r="K779" s="175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 ht="15.75" customHeight="1">
      <c r="A780" s="175"/>
      <c r="B780" s="175"/>
      <c r="C780" s="175"/>
      <c r="D780" s="175"/>
      <c r="E780" s="175"/>
      <c r="F780" s="175"/>
      <c r="G780" s="175"/>
      <c r="H780" s="175"/>
      <c r="I780" s="175"/>
      <c r="J780" s="175"/>
      <c r="K780" s="175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 ht="15.75" customHeight="1">
      <c r="A781" s="175"/>
      <c r="B781" s="175"/>
      <c r="C781" s="175"/>
      <c r="D781" s="175"/>
      <c r="E781" s="175"/>
      <c r="F781" s="175"/>
      <c r="G781" s="175"/>
      <c r="H781" s="175"/>
      <c r="I781" s="175"/>
      <c r="J781" s="175"/>
      <c r="K781" s="175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 ht="15.75" customHeight="1">
      <c r="A782" s="175"/>
      <c r="B782" s="175"/>
      <c r="C782" s="175"/>
      <c r="D782" s="175"/>
      <c r="E782" s="175"/>
      <c r="F782" s="175"/>
      <c r="G782" s="175"/>
      <c r="H782" s="175"/>
      <c r="I782" s="175"/>
      <c r="J782" s="175"/>
      <c r="K782" s="175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 ht="15.75" customHeight="1">
      <c r="A783" s="175"/>
      <c r="B783" s="175"/>
      <c r="C783" s="175"/>
      <c r="D783" s="175"/>
      <c r="E783" s="175"/>
      <c r="F783" s="175"/>
      <c r="G783" s="175"/>
      <c r="H783" s="175"/>
      <c r="I783" s="175"/>
      <c r="J783" s="175"/>
      <c r="K783" s="175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 ht="15.75" customHeight="1">
      <c r="A784" s="175"/>
      <c r="B784" s="175"/>
      <c r="C784" s="175"/>
      <c r="D784" s="175"/>
      <c r="E784" s="175"/>
      <c r="F784" s="175"/>
      <c r="G784" s="175"/>
      <c r="H784" s="175"/>
      <c r="I784" s="175"/>
      <c r="J784" s="175"/>
      <c r="K784" s="175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 ht="15.75" customHeight="1">
      <c r="A785" s="175"/>
      <c r="B785" s="175"/>
      <c r="C785" s="175"/>
      <c r="D785" s="175"/>
      <c r="E785" s="175"/>
      <c r="F785" s="175"/>
      <c r="G785" s="175"/>
      <c r="H785" s="175"/>
      <c r="I785" s="175"/>
      <c r="J785" s="175"/>
      <c r="K785" s="175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 ht="15.75" customHeight="1">
      <c r="A786" s="175"/>
      <c r="B786" s="175"/>
      <c r="C786" s="175"/>
      <c r="D786" s="175"/>
      <c r="E786" s="175"/>
      <c r="F786" s="175"/>
      <c r="G786" s="175"/>
      <c r="H786" s="175"/>
      <c r="I786" s="175"/>
      <c r="J786" s="175"/>
      <c r="K786" s="175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 ht="15.75" customHeight="1">
      <c r="A787" s="175"/>
      <c r="B787" s="175"/>
      <c r="C787" s="175"/>
      <c r="D787" s="175"/>
      <c r="E787" s="175"/>
      <c r="F787" s="175"/>
      <c r="G787" s="175"/>
      <c r="H787" s="175"/>
      <c r="I787" s="175"/>
      <c r="J787" s="175"/>
      <c r="K787" s="175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 ht="15.75" customHeight="1">
      <c r="A788" s="175"/>
      <c r="B788" s="175"/>
      <c r="C788" s="175"/>
      <c r="D788" s="175"/>
      <c r="E788" s="175"/>
      <c r="F788" s="175"/>
      <c r="G788" s="175"/>
      <c r="H788" s="175"/>
      <c r="I788" s="175"/>
      <c r="J788" s="175"/>
      <c r="K788" s="175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 ht="15.75" customHeight="1">
      <c r="A789" s="175"/>
      <c r="B789" s="175"/>
      <c r="C789" s="175"/>
      <c r="D789" s="175"/>
      <c r="E789" s="175"/>
      <c r="F789" s="175"/>
      <c r="G789" s="175"/>
      <c r="H789" s="175"/>
      <c r="I789" s="175"/>
      <c r="J789" s="175"/>
      <c r="K789" s="175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 ht="15.75" customHeight="1">
      <c r="A790" s="175"/>
      <c r="B790" s="175"/>
      <c r="C790" s="175"/>
      <c r="D790" s="175"/>
      <c r="E790" s="175"/>
      <c r="F790" s="175"/>
      <c r="G790" s="175"/>
      <c r="H790" s="175"/>
      <c r="I790" s="175"/>
      <c r="J790" s="175"/>
      <c r="K790" s="175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 ht="15.75" customHeight="1">
      <c r="A791" s="175"/>
      <c r="B791" s="175"/>
      <c r="C791" s="175"/>
      <c r="D791" s="175"/>
      <c r="E791" s="175"/>
      <c r="F791" s="175"/>
      <c r="G791" s="175"/>
      <c r="H791" s="175"/>
      <c r="I791" s="175"/>
      <c r="J791" s="175"/>
      <c r="K791" s="175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 ht="15.75" customHeight="1">
      <c r="A792" s="175"/>
      <c r="B792" s="175"/>
      <c r="C792" s="175"/>
      <c r="D792" s="175"/>
      <c r="E792" s="175"/>
      <c r="F792" s="175"/>
      <c r="G792" s="175"/>
      <c r="H792" s="175"/>
      <c r="I792" s="175"/>
      <c r="J792" s="175"/>
      <c r="K792" s="175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 ht="15.75" customHeight="1">
      <c r="A793" s="175"/>
      <c r="B793" s="175"/>
      <c r="C793" s="175"/>
      <c r="D793" s="175"/>
      <c r="E793" s="175"/>
      <c r="F793" s="175"/>
      <c r="G793" s="175"/>
      <c r="H793" s="175"/>
      <c r="I793" s="175"/>
      <c r="J793" s="175"/>
      <c r="K793" s="175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 ht="15.75" customHeight="1">
      <c r="A794" s="175"/>
      <c r="B794" s="175"/>
      <c r="C794" s="175"/>
      <c r="D794" s="175"/>
      <c r="E794" s="175"/>
      <c r="F794" s="175"/>
      <c r="G794" s="175"/>
      <c r="H794" s="175"/>
      <c r="I794" s="175"/>
      <c r="J794" s="175"/>
      <c r="K794" s="175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 ht="15.75" customHeight="1">
      <c r="A795" s="175"/>
      <c r="B795" s="175"/>
      <c r="C795" s="175"/>
      <c r="D795" s="175"/>
      <c r="E795" s="175"/>
      <c r="F795" s="175"/>
      <c r="G795" s="175"/>
      <c r="H795" s="175"/>
      <c r="I795" s="175"/>
      <c r="J795" s="175"/>
      <c r="K795" s="175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 ht="15.75" customHeight="1">
      <c r="A796" s="175"/>
      <c r="B796" s="175"/>
      <c r="C796" s="175"/>
      <c r="D796" s="175"/>
      <c r="E796" s="175"/>
      <c r="F796" s="175"/>
      <c r="G796" s="175"/>
      <c r="H796" s="175"/>
      <c r="I796" s="175"/>
      <c r="J796" s="175"/>
      <c r="K796" s="175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 ht="15.75" customHeight="1">
      <c r="A797" s="175"/>
      <c r="B797" s="175"/>
      <c r="C797" s="175"/>
      <c r="D797" s="175"/>
      <c r="E797" s="175"/>
      <c r="F797" s="175"/>
      <c r="G797" s="175"/>
      <c r="H797" s="175"/>
      <c r="I797" s="175"/>
      <c r="J797" s="175"/>
      <c r="K797" s="175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 ht="15.75" customHeight="1">
      <c r="A798" s="175"/>
      <c r="B798" s="175"/>
      <c r="C798" s="175"/>
      <c r="D798" s="175"/>
      <c r="E798" s="175"/>
      <c r="F798" s="175"/>
      <c r="G798" s="175"/>
      <c r="H798" s="175"/>
      <c r="I798" s="175"/>
      <c r="J798" s="175"/>
      <c r="K798" s="175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 ht="15.75" customHeight="1">
      <c r="A799" s="175"/>
      <c r="B799" s="175"/>
      <c r="C799" s="175"/>
      <c r="D799" s="175"/>
      <c r="E799" s="175"/>
      <c r="F799" s="175"/>
      <c r="G799" s="175"/>
      <c r="H799" s="175"/>
      <c r="I799" s="175"/>
      <c r="J799" s="175"/>
      <c r="K799" s="175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 ht="15.75" customHeight="1">
      <c r="A800" s="175"/>
      <c r="B800" s="175"/>
      <c r="C800" s="175"/>
      <c r="D800" s="175"/>
      <c r="E800" s="175"/>
      <c r="F800" s="175"/>
      <c r="G800" s="175"/>
      <c r="H800" s="175"/>
      <c r="I800" s="175"/>
      <c r="J800" s="175"/>
      <c r="K800" s="175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 ht="15.75" customHeight="1">
      <c r="A801" s="175"/>
      <c r="B801" s="175"/>
      <c r="C801" s="175"/>
      <c r="D801" s="175"/>
      <c r="E801" s="175"/>
      <c r="F801" s="175"/>
      <c r="G801" s="175"/>
      <c r="H801" s="175"/>
      <c r="I801" s="175"/>
      <c r="J801" s="175"/>
      <c r="K801" s="175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 ht="15.75" customHeight="1">
      <c r="A802" s="175"/>
      <c r="B802" s="175"/>
      <c r="C802" s="175"/>
      <c r="D802" s="175"/>
      <c r="E802" s="175"/>
      <c r="F802" s="175"/>
      <c r="G802" s="175"/>
      <c r="H802" s="175"/>
      <c r="I802" s="175"/>
      <c r="J802" s="175"/>
      <c r="K802" s="175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 ht="15.75" customHeight="1">
      <c r="A803" s="175"/>
      <c r="B803" s="175"/>
      <c r="C803" s="175"/>
      <c r="D803" s="175"/>
      <c r="E803" s="175"/>
      <c r="F803" s="175"/>
      <c r="G803" s="175"/>
      <c r="H803" s="175"/>
      <c r="I803" s="175"/>
      <c r="J803" s="175"/>
      <c r="K803" s="175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 ht="15.75" customHeight="1">
      <c r="A804" s="175"/>
      <c r="B804" s="175"/>
      <c r="C804" s="175"/>
      <c r="D804" s="175"/>
      <c r="E804" s="175"/>
      <c r="F804" s="175"/>
      <c r="G804" s="175"/>
      <c r="H804" s="175"/>
      <c r="I804" s="175"/>
      <c r="J804" s="175"/>
      <c r="K804" s="175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 ht="15.75" customHeight="1">
      <c r="A805" s="175"/>
      <c r="B805" s="175"/>
      <c r="C805" s="175"/>
      <c r="D805" s="175"/>
      <c r="E805" s="175"/>
      <c r="F805" s="175"/>
      <c r="G805" s="175"/>
      <c r="H805" s="175"/>
      <c r="I805" s="175"/>
      <c r="J805" s="175"/>
      <c r="K805" s="175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 ht="15.75" customHeight="1">
      <c r="A806" s="175"/>
      <c r="B806" s="175"/>
      <c r="C806" s="175"/>
      <c r="D806" s="175"/>
      <c r="E806" s="175"/>
      <c r="F806" s="175"/>
      <c r="G806" s="175"/>
      <c r="H806" s="175"/>
      <c r="I806" s="175"/>
      <c r="J806" s="175"/>
      <c r="K806" s="175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 ht="15.75" customHeight="1">
      <c r="A807" s="175"/>
      <c r="B807" s="175"/>
      <c r="C807" s="175"/>
      <c r="D807" s="175"/>
      <c r="E807" s="175"/>
      <c r="F807" s="175"/>
      <c r="G807" s="175"/>
      <c r="H807" s="175"/>
      <c r="I807" s="175"/>
      <c r="J807" s="175"/>
      <c r="K807" s="175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 ht="15.75" customHeight="1">
      <c r="A808" s="175"/>
      <c r="B808" s="175"/>
      <c r="C808" s="175"/>
      <c r="D808" s="175"/>
      <c r="E808" s="175"/>
      <c r="F808" s="175"/>
      <c r="G808" s="175"/>
      <c r="H808" s="175"/>
      <c r="I808" s="175"/>
      <c r="J808" s="175"/>
      <c r="K808" s="175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 ht="15.75" customHeight="1">
      <c r="A809" s="175"/>
      <c r="B809" s="175"/>
      <c r="C809" s="175"/>
      <c r="D809" s="175"/>
      <c r="E809" s="175"/>
      <c r="F809" s="175"/>
      <c r="G809" s="175"/>
      <c r="H809" s="175"/>
      <c r="I809" s="175"/>
      <c r="J809" s="175"/>
      <c r="K809" s="175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 ht="15.75" customHeight="1">
      <c r="A810" s="175"/>
      <c r="B810" s="175"/>
      <c r="C810" s="175"/>
      <c r="D810" s="175"/>
      <c r="E810" s="175"/>
      <c r="F810" s="175"/>
      <c r="G810" s="175"/>
      <c r="H810" s="175"/>
      <c r="I810" s="175"/>
      <c r="J810" s="175"/>
      <c r="K810" s="175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 ht="15.75" customHeight="1">
      <c r="A811" s="175"/>
      <c r="B811" s="175"/>
      <c r="C811" s="175"/>
      <c r="D811" s="175"/>
      <c r="E811" s="175"/>
      <c r="F811" s="175"/>
      <c r="G811" s="175"/>
      <c r="H811" s="175"/>
      <c r="I811" s="175"/>
      <c r="J811" s="175"/>
      <c r="K811" s="175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 ht="15.75" customHeight="1">
      <c r="A812" s="175"/>
      <c r="B812" s="175"/>
      <c r="C812" s="175"/>
      <c r="D812" s="175"/>
      <c r="E812" s="175"/>
      <c r="F812" s="175"/>
      <c r="G812" s="175"/>
      <c r="H812" s="175"/>
      <c r="I812" s="175"/>
      <c r="J812" s="175"/>
      <c r="K812" s="175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 ht="15.75" customHeight="1">
      <c r="A813" s="175"/>
      <c r="B813" s="175"/>
      <c r="C813" s="175"/>
      <c r="D813" s="175"/>
      <c r="E813" s="175"/>
      <c r="F813" s="175"/>
      <c r="G813" s="175"/>
      <c r="H813" s="175"/>
      <c r="I813" s="175"/>
      <c r="J813" s="175"/>
      <c r="K813" s="175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 ht="15.75" customHeight="1">
      <c r="A814" s="175"/>
      <c r="B814" s="175"/>
      <c r="C814" s="175"/>
      <c r="D814" s="175"/>
      <c r="E814" s="175"/>
      <c r="F814" s="175"/>
      <c r="G814" s="175"/>
      <c r="H814" s="175"/>
      <c r="I814" s="175"/>
      <c r="J814" s="175"/>
      <c r="K814" s="175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 ht="15.75" customHeight="1">
      <c r="A815" s="175"/>
      <c r="B815" s="175"/>
      <c r="C815" s="175"/>
      <c r="D815" s="175"/>
      <c r="E815" s="175"/>
      <c r="F815" s="175"/>
      <c r="G815" s="175"/>
      <c r="H815" s="175"/>
      <c r="I815" s="175"/>
      <c r="J815" s="175"/>
      <c r="K815" s="175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 ht="15.75" customHeight="1">
      <c r="A816" s="175"/>
      <c r="B816" s="175"/>
      <c r="C816" s="175"/>
      <c r="D816" s="175"/>
      <c r="E816" s="175"/>
      <c r="F816" s="175"/>
      <c r="G816" s="175"/>
      <c r="H816" s="175"/>
      <c r="I816" s="175"/>
      <c r="J816" s="175"/>
      <c r="K816" s="175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 ht="15.75" customHeight="1">
      <c r="A817" s="175"/>
      <c r="B817" s="175"/>
      <c r="C817" s="175"/>
      <c r="D817" s="175"/>
      <c r="E817" s="175"/>
      <c r="F817" s="175"/>
      <c r="G817" s="175"/>
      <c r="H817" s="175"/>
      <c r="I817" s="175"/>
      <c r="J817" s="175"/>
      <c r="K817" s="175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 ht="15.75" customHeight="1">
      <c r="A818" s="175"/>
      <c r="B818" s="175"/>
      <c r="C818" s="175"/>
      <c r="D818" s="175"/>
      <c r="E818" s="175"/>
      <c r="F818" s="175"/>
      <c r="G818" s="175"/>
      <c r="H818" s="175"/>
      <c r="I818" s="175"/>
      <c r="J818" s="175"/>
      <c r="K818" s="175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 ht="15.75" customHeight="1">
      <c r="A819" s="175"/>
      <c r="B819" s="175"/>
      <c r="C819" s="175"/>
      <c r="D819" s="175"/>
      <c r="E819" s="175"/>
      <c r="F819" s="175"/>
      <c r="G819" s="175"/>
      <c r="H819" s="175"/>
      <c r="I819" s="175"/>
      <c r="J819" s="175"/>
      <c r="K819" s="175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 ht="15.75" customHeight="1">
      <c r="A820" s="175"/>
      <c r="B820" s="175"/>
      <c r="C820" s="175"/>
      <c r="D820" s="175"/>
      <c r="E820" s="175"/>
      <c r="F820" s="175"/>
      <c r="G820" s="175"/>
      <c r="H820" s="175"/>
      <c r="I820" s="175"/>
      <c r="J820" s="175"/>
      <c r="K820" s="175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 ht="15.75" customHeight="1">
      <c r="A821" s="175"/>
      <c r="B821" s="175"/>
      <c r="C821" s="175"/>
      <c r="D821" s="175"/>
      <c r="E821" s="175"/>
      <c r="F821" s="175"/>
      <c r="G821" s="175"/>
      <c r="H821" s="175"/>
      <c r="I821" s="175"/>
      <c r="J821" s="175"/>
      <c r="K821" s="175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 ht="15.75" customHeight="1">
      <c r="A822" s="175"/>
      <c r="B822" s="175"/>
      <c r="C822" s="175"/>
      <c r="D822" s="175"/>
      <c r="E822" s="175"/>
      <c r="F822" s="175"/>
      <c r="G822" s="175"/>
      <c r="H822" s="175"/>
      <c r="I822" s="175"/>
      <c r="J822" s="175"/>
      <c r="K822" s="175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 ht="15.75" customHeight="1">
      <c r="A823" s="175"/>
      <c r="B823" s="175"/>
      <c r="C823" s="175"/>
      <c r="D823" s="175"/>
      <c r="E823" s="175"/>
      <c r="F823" s="175"/>
      <c r="G823" s="175"/>
      <c r="H823" s="175"/>
      <c r="I823" s="175"/>
      <c r="J823" s="175"/>
      <c r="K823" s="175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 ht="15.75" customHeight="1">
      <c r="A824" s="175"/>
      <c r="B824" s="175"/>
      <c r="C824" s="175"/>
      <c r="D824" s="175"/>
      <c r="E824" s="175"/>
      <c r="F824" s="175"/>
      <c r="G824" s="175"/>
      <c r="H824" s="175"/>
      <c r="I824" s="175"/>
      <c r="J824" s="175"/>
      <c r="K824" s="175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 ht="15.75" customHeight="1">
      <c r="A825" s="175"/>
      <c r="B825" s="175"/>
      <c r="C825" s="175"/>
      <c r="D825" s="175"/>
      <c r="E825" s="175"/>
      <c r="F825" s="175"/>
      <c r="G825" s="175"/>
      <c r="H825" s="175"/>
      <c r="I825" s="175"/>
      <c r="J825" s="175"/>
      <c r="K825" s="175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 ht="15.75" customHeight="1">
      <c r="A826" s="175"/>
      <c r="B826" s="175"/>
      <c r="C826" s="175"/>
      <c r="D826" s="175"/>
      <c r="E826" s="175"/>
      <c r="F826" s="175"/>
      <c r="G826" s="175"/>
      <c r="H826" s="175"/>
      <c r="I826" s="175"/>
      <c r="J826" s="175"/>
      <c r="K826" s="175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 ht="15.75" customHeight="1">
      <c r="A827" s="175"/>
      <c r="B827" s="175"/>
      <c r="C827" s="175"/>
      <c r="D827" s="175"/>
      <c r="E827" s="175"/>
      <c r="F827" s="175"/>
      <c r="G827" s="175"/>
      <c r="H827" s="175"/>
      <c r="I827" s="175"/>
      <c r="J827" s="175"/>
      <c r="K827" s="175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 ht="15.75" customHeight="1">
      <c r="A828" s="175"/>
      <c r="B828" s="175"/>
      <c r="C828" s="175"/>
      <c r="D828" s="175"/>
      <c r="E828" s="175"/>
      <c r="F828" s="175"/>
      <c r="G828" s="175"/>
      <c r="H828" s="175"/>
      <c r="I828" s="175"/>
      <c r="J828" s="175"/>
      <c r="K828" s="175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 ht="15.75" customHeight="1">
      <c r="A829" s="175"/>
      <c r="B829" s="175"/>
      <c r="C829" s="175"/>
      <c r="D829" s="175"/>
      <c r="E829" s="175"/>
      <c r="F829" s="175"/>
      <c r="G829" s="175"/>
      <c r="H829" s="175"/>
      <c r="I829" s="175"/>
      <c r="J829" s="175"/>
      <c r="K829" s="175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 ht="15.75" customHeight="1">
      <c r="A830" s="175"/>
      <c r="B830" s="175"/>
      <c r="C830" s="175"/>
      <c r="D830" s="175"/>
      <c r="E830" s="175"/>
      <c r="F830" s="175"/>
      <c r="G830" s="175"/>
      <c r="H830" s="175"/>
      <c r="I830" s="175"/>
      <c r="J830" s="175"/>
      <c r="K830" s="175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 ht="15.75" customHeight="1">
      <c r="A831" s="175"/>
      <c r="B831" s="175"/>
      <c r="C831" s="175"/>
      <c r="D831" s="175"/>
      <c r="E831" s="175"/>
      <c r="F831" s="175"/>
      <c r="G831" s="175"/>
      <c r="H831" s="175"/>
      <c r="I831" s="175"/>
      <c r="J831" s="175"/>
      <c r="K831" s="175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 ht="15.75" customHeight="1">
      <c r="A832" s="175"/>
      <c r="B832" s="175"/>
      <c r="C832" s="175"/>
      <c r="D832" s="175"/>
      <c r="E832" s="175"/>
      <c r="F832" s="175"/>
      <c r="G832" s="175"/>
      <c r="H832" s="175"/>
      <c r="I832" s="175"/>
      <c r="J832" s="175"/>
      <c r="K832" s="175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 ht="15.75" customHeight="1">
      <c r="A833" s="175"/>
      <c r="B833" s="175"/>
      <c r="C833" s="175"/>
      <c r="D833" s="175"/>
      <c r="E833" s="175"/>
      <c r="F833" s="175"/>
      <c r="G833" s="175"/>
      <c r="H833" s="175"/>
      <c r="I833" s="175"/>
      <c r="J833" s="175"/>
      <c r="K833" s="175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 ht="15.75" customHeight="1">
      <c r="A834" s="175"/>
      <c r="B834" s="175"/>
      <c r="C834" s="175"/>
      <c r="D834" s="175"/>
      <c r="E834" s="175"/>
      <c r="F834" s="175"/>
      <c r="G834" s="175"/>
      <c r="H834" s="175"/>
      <c r="I834" s="175"/>
      <c r="J834" s="175"/>
      <c r="K834" s="175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 ht="15.75" customHeight="1">
      <c r="A835" s="175"/>
      <c r="B835" s="175"/>
      <c r="C835" s="175"/>
      <c r="D835" s="175"/>
      <c r="E835" s="175"/>
      <c r="F835" s="175"/>
      <c r="G835" s="175"/>
      <c r="H835" s="175"/>
      <c r="I835" s="175"/>
      <c r="J835" s="175"/>
      <c r="K835" s="175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 ht="15.75" customHeight="1">
      <c r="A836" s="175"/>
      <c r="B836" s="175"/>
      <c r="C836" s="175"/>
      <c r="D836" s="175"/>
      <c r="E836" s="175"/>
      <c r="F836" s="175"/>
      <c r="G836" s="175"/>
      <c r="H836" s="175"/>
      <c r="I836" s="175"/>
      <c r="J836" s="175"/>
      <c r="K836" s="175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 ht="15.75" customHeight="1">
      <c r="A837" s="175"/>
      <c r="B837" s="175"/>
      <c r="C837" s="175"/>
      <c r="D837" s="175"/>
      <c r="E837" s="175"/>
      <c r="F837" s="175"/>
      <c r="G837" s="175"/>
      <c r="H837" s="175"/>
      <c r="I837" s="175"/>
      <c r="J837" s="175"/>
      <c r="K837" s="175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 ht="15.75" customHeight="1">
      <c r="A838" s="175"/>
      <c r="B838" s="175"/>
      <c r="C838" s="175"/>
      <c r="D838" s="175"/>
      <c r="E838" s="175"/>
      <c r="F838" s="175"/>
      <c r="G838" s="175"/>
      <c r="H838" s="175"/>
      <c r="I838" s="175"/>
      <c r="J838" s="175"/>
      <c r="K838" s="175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 ht="15.75" customHeight="1">
      <c r="A839" s="175"/>
      <c r="B839" s="175"/>
      <c r="C839" s="175"/>
      <c r="D839" s="175"/>
      <c r="E839" s="175"/>
      <c r="F839" s="175"/>
      <c r="G839" s="175"/>
      <c r="H839" s="175"/>
      <c r="I839" s="175"/>
      <c r="J839" s="175"/>
      <c r="K839" s="175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 ht="15.75" customHeight="1">
      <c r="A840" s="175"/>
      <c r="B840" s="175"/>
      <c r="C840" s="175"/>
      <c r="D840" s="175"/>
      <c r="E840" s="175"/>
      <c r="F840" s="175"/>
      <c r="G840" s="175"/>
      <c r="H840" s="175"/>
      <c r="I840" s="175"/>
      <c r="J840" s="175"/>
      <c r="K840" s="175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 ht="15.75" customHeight="1">
      <c r="A841" s="175"/>
      <c r="B841" s="175"/>
      <c r="C841" s="175"/>
      <c r="D841" s="175"/>
      <c r="E841" s="175"/>
      <c r="F841" s="175"/>
      <c r="G841" s="175"/>
      <c r="H841" s="175"/>
      <c r="I841" s="175"/>
      <c r="J841" s="175"/>
      <c r="K841" s="175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 ht="15.75" customHeight="1">
      <c r="A842" s="175"/>
      <c r="B842" s="175"/>
      <c r="C842" s="175"/>
      <c r="D842" s="175"/>
      <c r="E842" s="175"/>
      <c r="F842" s="175"/>
      <c r="G842" s="175"/>
      <c r="H842" s="175"/>
      <c r="I842" s="175"/>
      <c r="J842" s="175"/>
      <c r="K842" s="175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 ht="15.75" customHeight="1">
      <c r="A843" s="175"/>
      <c r="B843" s="175"/>
      <c r="C843" s="175"/>
      <c r="D843" s="175"/>
      <c r="E843" s="175"/>
      <c r="F843" s="175"/>
      <c r="G843" s="175"/>
      <c r="H843" s="175"/>
      <c r="I843" s="175"/>
      <c r="J843" s="175"/>
      <c r="K843" s="175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 ht="15.75" customHeight="1">
      <c r="A844" s="175"/>
      <c r="B844" s="175"/>
      <c r="C844" s="175"/>
      <c r="D844" s="175"/>
      <c r="E844" s="175"/>
      <c r="F844" s="175"/>
      <c r="G844" s="175"/>
      <c r="H844" s="175"/>
      <c r="I844" s="175"/>
      <c r="J844" s="175"/>
      <c r="K844" s="175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 ht="15.75" customHeight="1">
      <c r="A845" s="175"/>
      <c r="B845" s="175"/>
      <c r="C845" s="175"/>
      <c r="D845" s="175"/>
      <c r="E845" s="175"/>
      <c r="F845" s="175"/>
      <c r="G845" s="175"/>
      <c r="H845" s="175"/>
      <c r="I845" s="175"/>
      <c r="J845" s="175"/>
      <c r="K845" s="175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 ht="15.75" customHeight="1">
      <c r="A846" s="175"/>
      <c r="B846" s="175"/>
      <c r="C846" s="175"/>
      <c r="D846" s="175"/>
      <c r="E846" s="175"/>
      <c r="F846" s="175"/>
      <c r="G846" s="175"/>
      <c r="H846" s="175"/>
      <c r="I846" s="175"/>
      <c r="J846" s="175"/>
      <c r="K846" s="175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 ht="15.75" customHeight="1">
      <c r="A847" s="175"/>
      <c r="B847" s="175"/>
      <c r="C847" s="175"/>
      <c r="D847" s="175"/>
      <c r="E847" s="175"/>
      <c r="F847" s="175"/>
      <c r="G847" s="175"/>
      <c r="H847" s="175"/>
      <c r="I847" s="175"/>
      <c r="J847" s="175"/>
      <c r="K847" s="175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 ht="15.75" customHeight="1">
      <c r="A848" s="175"/>
      <c r="B848" s="175"/>
      <c r="C848" s="175"/>
      <c r="D848" s="175"/>
      <c r="E848" s="175"/>
      <c r="F848" s="175"/>
      <c r="G848" s="175"/>
      <c r="H848" s="175"/>
      <c r="I848" s="175"/>
      <c r="J848" s="175"/>
      <c r="K848" s="175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 ht="15.75" customHeight="1">
      <c r="A849" s="175"/>
      <c r="B849" s="175"/>
      <c r="C849" s="175"/>
      <c r="D849" s="175"/>
      <c r="E849" s="175"/>
      <c r="F849" s="175"/>
      <c r="G849" s="175"/>
      <c r="H849" s="175"/>
      <c r="I849" s="175"/>
      <c r="J849" s="175"/>
      <c r="K849" s="175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 ht="15.75" customHeight="1">
      <c r="A850" s="175"/>
      <c r="B850" s="175"/>
      <c r="C850" s="175"/>
      <c r="D850" s="175"/>
      <c r="E850" s="175"/>
      <c r="F850" s="175"/>
      <c r="G850" s="175"/>
      <c r="H850" s="175"/>
      <c r="I850" s="175"/>
      <c r="J850" s="175"/>
      <c r="K850" s="175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 ht="15.75" customHeight="1">
      <c r="A851" s="175"/>
      <c r="B851" s="175"/>
      <c r="C851" s="175"/>
      <c r="D851" s="175"/>
      <c r="E851" s="175"/>
      <c r="F851" s="175"/>
      <c r="G851" s="175"/>
      <c r="H851" s="175"/>
      <c r="I851" s="175"/>
      <c r="J851" s="175"/>
      <c r="K851" s="175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 ht="15.75" customHeight="1">
      <c r="A852" s="175"/>
      <c r="B852" s="175"/>
      <c r="C852" s="175"/>
      <c r="D852" s="175"/>
      <c r="E852" s="175"/>
      <c r="F852" s="175"/>
      <c r="G852" s="175"/>
      <c r="H852" s="175"/>
      <c r="I852" s="175"/>
      <c r="J852" s="175"/>
      <c r="K852" s="175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 ht="15.75" customHeight="1">
      <c r="A853" s="175"/>
      <c r="B853" s="175"/>
      <c r="C853" s="175"/>
      <c r="D853" s="175"/>
      <c r="E853" s="175"/>
      <c r="F853" s="175"/>
      <c r="G853" s="175"/>
      <c r="H853" s="175"/>
      <c r="I853" s="175"/>
      <c r="J853" s="175"/>
      <c r="K853" s="175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 ht="15.75" customHeight="1">
      <c r="A854" s="175"/>
      <c r="B854" s="175"/>
      <c r="C854" s="175"/>
      <c r="D854" s="175"/>
      <c r="E854" s="175"/>
      <c r="F854" s="175"/>
      <c r="G854" s="175"/>
      <c r="H854" s="175"/>
      <c r="I854" s="175"/>
      <c r="J854" s="175"/>
      <c r="K854" s="175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 ht="15.75" customHeight="1">
      <c r="A855" s="175"/>
      <c r="B855" s="175"/>
      <c r="C855" s="175"/>
      <c r="D855" s="175"/>
      <c r="E855" s="175"/>
      <c r="F855" s="175"/>
      <c r="G855" s="175"/>
      <c r="H855" s="175"/>
      <c r="I855" s="175"/>
      <c r="J855" s="175"/>
      <c r="K855" s="175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 ht="15.75" customHeight="1">
      <c r="A856" s="175"/>
      <c r="B856" s="175"/>
      <c r="C856" s="175"/>
      <c r="D856" s="175"/>
      <c r="E856" s="175"/>
      <c r="F856" s="175"/>
      <c r="G856" s="175"/>
      <c r="H856" s="175"/>
      <c r="I856" s="175"/>
      <c r="J856" s="175"/>
      <c r="K856" s="175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 ht="15.75" customHeight="1">
      <c r="A857" s="175"/>
      <c r="B857" s="175"/>
      <c r="C857" s="175"/>
      <c r="D857" s="175"/>
      <c r="E857" s="175"/>
      <c r="F857" s="175"/>
      <c r="G857" s="175"/>
      <c r="H857" s="175"/>
      <c r="I857" s="175"/>
      <c r="J857" s="175"/>
      <c r="K857" s="175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 ht="15.75" customHeight="1">
      <c r="A858" s="175"/>
      <c r="B858" s="175"/>
      <c r="C858" s="175"/>
      <c r="D858" s="175"/>
      <c r="E858" s="175"/>
      <c r="F858" s="175"/>
      <c r="G858" s="175"/>
      <c r="H858" s="175"/>
      <c r="I858" s="175"/>
      <c r="J858" s="175"/>
      <c r="K858" s="175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 ht="15.75" customHeight="1">
      <c r="A859" s="175"/>
      <c r="B859" s="175"/>
      <c r="C859" s="175"/>
      <c r="D859" s="175"/>
      <c r="E859" s="175"/>
      <c r="F859" s="175"/>
      <c r="G859" s="175"/>
      <c r="H859" s="175"/>
      <c r="I859" s="175"/>
      <c r="J859" s="175"/>
      <c r="K859" s="175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 ht="15.75" customHeight="1">
      <c r="A860" s="175"/>
      <c r="B860" s="175"/>
      <c r="C860" s="175"/>
      <c r="D860" s="175"/>
      <c r="E860" s="175"/>
      <c r="F860" s="175"/>
      <c r="G860" s="175"/>
      <c r="H860" s="175"/>
      <c r="I860" s="175"/>
      <c r="J860" s="175"/>
      <c r="K860" s="175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 ht="15.75" customHeight="1">
      <c r="A861" s="175"/>
      <c r="B861" s="175"/>
      <c r="C861" s="175"/>
      <c r="D861" s="175"/>
      <c r="E861" s="175"/>
      <c r="F861" s="175"/>
      <c r="G861" s="175"/>
      <c r="H861" s="175"/>
      <c r="I861" s="175"/>
      <c r="J861" s="175"/>
      <c r="K861" s="175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 ht="15.75" customHeight="1">
      <c r="A862" s="175"/>
      <c r="B862" s="175"/>
      <c r="C862" s="175"/>
      <c r="D862" s="175"/>
      <c r="E862" s="175"/>
      <c r="F862" s="175"/>
      <c r="G862" s="175"/>
      <c r="H862" s="175"/>
      <c r="I862" s="175"/>
      <c r="J862" s="175"/>
      <c r="K862" s="175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 ht="15.75" customHeight="1">
      <c r="A863" s="175"/>
      <c r="B863" s="175"/>
      <c r="C863" s="175"/>
      <c r="D863" s="175"/>
      <c r="E863" s="175"/>
      <c r="F863" s="175"/>
      <c r="G863" s="175"/>
      <c r="H863" s="175"/>
      <c r="I863" s="175"/>
      <c r="J863" s="175"/>
      <c r="K863" s="175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 ht="15.75" customHeight="1">
      <c r="A864" s="175"/>
      <c r="B864" s="175"/>
      <c r="C864" s="175"/>
      <c r="D864" s="175"/>
      <c r="E864" s="175"/>
      <c r="F864" s="175"/>
      <c r="G864" s="175"/>
      <c r="H864" s="175"/>
      <c r="I864" s="175"/>
      <c r="J864" s="175"/>
      <c r="K864" s="175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 ht="15.75" customHeight="1">
      <c r="A865" s="175"/>
      <c r="B865" s="175"/>
      <c r="C865" s="175"/>
      <c r="D865" s="175"/>
      <c r="E865" s="175"/>
      <c r="F865" s="175"/>
      <c r="G865" s="175"/>
      <c r="H865" s="175"/>
      <c r="I865" s="175"/>
      <c r="J865" s="175"/>
      <c r="K865" s="175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 ht="15.75" customHeight="1">
      <c r="A866" s="175"/>
      <c r="B866" s="175"/>
      <c r="C866" s="175"/>
      <c r="D866" s="175"/>
      <c r="E866" s="175"/>
      <c r="F866" s="175"/>
      <c r="G866" s="175"/>
      <c r="H866" s="175"/>
      <c r="I866" s="175"/>
      <c r="J866" s="175"/>
      <c r="K866" s="175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 ht="15.75" customHeight="1">
      <c r="A867" s="175"/>
      <c r="B867" s="175"/>
      <c r="C867" s="175"/>
      <c r="D867" s="175"/>
      <c r="E867" s="175"/>
      <c r="F867" s="175"/>
      <c r="G867" s="175"/>
      <c r="H867" s="175"/>
      <c r="I867" s="175"/>
      <c r="J867" s="175"/>
      <c r="K867" s="175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 ht="15.75" customHeight="1">
      <c r="A868" s="175"/>
      <c r="B868" s="175"/>
      <c r="C868" s="175"/>
      <c r="D868" s="175"/>
      <c r="E868" s="175"/>
      <c r="F868" s="175"/>
      <c r="G868" s="175"/>
      <c r="H868" s="175"/>
      <c r="I868" s="175"/>
      <c r="J868" s="175"/>
      <c r="K868" s="175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 ht="15.75" customHeight="1">
      <c r="A869" s="175"/>
      <c r="B869" s="175"/>
      <c r="C869" s="175"/>
      <c r="D869" s="175"/>
      <c r="E869" s="175"/>
      <c r="F869" s="175"/>
      <c r="G869" s="175"/>
      <c r="H869" s="175"/>
      <c r="I869" s="175"/>
      <c r="J869" s="175"/>
      <c r="K869" s="175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 ht="15.75" customHeight="1">
      <c r="A870" s="175"/>
      <c r="B870" s="175"/>
      <c r="C870" s="175"/>
      <c r="D870" s="175"/>
      <c r="E870" s="175"/>
      <c r="F870" s="175"/>
      <c r="G870" s="175"/>
      <c r="H870" s="175"/>
      <c r="I870" s="175"/>
      <c r="J870" s="175"/>
      <c r="K870" s="175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 ht="15.75" customHeight="1">
      <c r="A871" s="175"/>
      <c r="B871" s="175"/>
      <c r="C871" s="175"/>
      <c r="D871" s="175"/>
      <c r="E871" s="175"/>
      <c r="F871" s="175"/>
      <c r="G871" s="175"/>
      <c r="H871" s="175"/>
      <c r="I871" s="175"/>
      <c r="J871" s="175"/>
      <c r="K871" s="175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 ht="15.75" customHeight="1">
      <c r="A872" s="175"/>
      <c r="B872" s="175"/>
      <c r="C872" s="175"/>
      <c r="D872" s="175"/>
      <c r="E872" s="175"/>
      <c r="F872" s="175"/>
      <c r="G872" s="175"/>
      <c r="H872" s="175"/>
      <c r="I872" s="175"/>
      <c r="J872" s="175"/>
      <c r="K872" s="175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 ht="15.75" customHeight="1">
      <c r="A873" s="175"/>
      <c r="B873" s="175"/>
      <c r="C873" s="175"/>
      <c r="D873" s="175"/>
      <c r="E873" s="175"/>
      <c r="F873" s="175"/>
      <c r="G873" s="175"/>
      <c r="H873" s="175"/>
      <c r="I873" s="175"/>
      <c r="J873" s="175"/>
      <c r="K873" s="175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 ht="15.75" customHeight="1">
      <c r="A874" s="175"/>
      <c r="B874" s="175"/>
      <c r="C874" s="175"/>
      <c r="D874" s="175"/>
      <c r="E874" s="175"/>
      <c r="F874" s="175"/>
      <c r="G874" s="175"/>
      <c r="H874" s="175"/>
      <c r="I874" s="175"/>
      <c r="J874" s="175"/>
      <c r="K874" s="175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 ht="15.75" customHeight="1">
      <c r="A875" s="175"/>
      <c r="B875" s="175"/>
      <c r="C875" s="175"/>
      <c r="D875" s="175"/>
      <c r="E875" s="175"/>
      <c r="F875" s="175"/>
      <c r="G875" s="175"/>
      <c r="H875" s="175"/>
      <c r="I875" s="175"/>
      <c r="J875" s="175"/>
      <c r="K875" s="175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 ht="15.75" customHeight="1">
      <c r="A876" s="175"/>
      <c r="B876" s="175"/>
      <c r="C876" s="175"/>
      <c r="D876" s="175"/>
      <c r="E876" s="175"/>
      <c r="F876" s="175"/>
      <c r="G876" s="175"/>
      <c r="H876" s="175"/>
      <c r="I876" s="175"/>
      <c r="J876" s="175"/>
      <c r="K876" s="175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 ht="15.75" customHeight="1">
      <c r="A877" s="175"/>
      <c r="B877" s="175"/>
      <c r="C877" s="175"/>
      <c r="D877" s="175"/>
      <c r="E877" s="175"/>
      <c r="F877" s="175"/>
      <c r="G877" s="175"/>
      <c r="H877" s="175"/>
      <c r="I877" s="175"/>
      <c r="J877" s="175"/>
      <c r="K877" s="175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 ht="15.75" customHeight="1">
      <c r="A878" s="175"/>
      <c r="B878" s="175"/>
      <c r="C878" s="175"/>
      <c r="D878" s="175"/>
      <c r="E878" s="175"/>
      <c r="F878" s="175"/>
      <c r="G878" s="175"/>
      <c r="H878" s="175"/>
      <c r="I878" s="175"/>
      <c r="J878" s="175"/>
      <c r="K878" s="175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 ht="15.75" customHeight="1">
      <c r="A879" s="175"/>
      <c r="B879" s="175"/>
      <c r="C879" s="175"/>
      <c r="D879" s="175"/>
      <c r="E879" s="175"/>
      <c r="F879" s="175"/>
      <c r="G879" s="175"/>
      <c r="H879" s="175"/>
      <c r="I879" s="175"/>
      <c r="J879" s="175"/>
      <c r="K879" s="175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 ht="15.75" customHeight="1">
      <c r="A880" s="175"/>
      <c r="B880" s="175"/>
      <c r="C880" s="175"/>
      <c r="D880" s="175"/>
      <c r="E880" s="175"/>
      <c r="F880" s="175"/>
      <c r="G880" s="175"/>
      <c r="H880" s="175"/>
      <c r="I880" s="175"/>
      <c r="J880" s="175"/>
      <c r="K880" s="175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 ht="15.75" customHeight="1">
      <c r="A881" s="175"/>
      <c r="B881" s="175"/>
      <c r="C881" s="175"/>
      <c r="D881" s="175"/>
      <c r="E881" s="175"/>
      <c r="F881" s="175"/>
      <c r="G881" s="175"/>
      <c r="H881" s="175"/>
      <c r="I881" s="175"/>
      <c r="J881" s="175"/>
      <c r="K881" s="175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 ht="15.75" customHeight="1">
      <c r="A882" s="175"/>
      <c r="B882" s="175"/>
      <c r="C882" s="175"/>
      <c r="D882" s="175"/>
      <c r="E882" s="175"/>
      <c r="F882" s="175"/>
      <c r="G882" s="175"/>
      <c r="H882" s="175"/>
      <c r="I882" s="175"/>
      <c r="J882" s="175"/>
      <c r="K882" s="175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 ht="15.75" customHeight="1">
      <c r="A883" s="175"/>
      <c r="B883" s="175"/>
      <c r="C883" s="175"/>
      <c r="D883" s="175"/>
      <c r="E883" s="175"/>
      <c r="F883" s="175"/>
      <c r="G883" s="175"/>
      <c r="H883" s="175"/>
      <c r="I883" s="175"/>
      <c r="J883" s="175"/>
      <c r="K883" s="175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 ht="15.75" customHeight="1">
      <c r="A884" s="175"/>
      <c r="B884" s="175"/>
      <c r="C884" s="175"/>
      <c r="D884" s="175"/>
      <c r="E884" s="175"/>
      <c r="F884" s="175"/>
      <c r="G884" s="175"/>
      <c r="H884" s="175"/>
      <c r="I884" s="175"/>
      <c r="J884" s="175"/>
      <c r="K884" s="175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 ht="15.75" customHeight="1">
      <c r="A885" s="175"/>
      <c r="B885" s="175"/>
      <c r="C885" s="175"/>
      <c r="D885" s="175"/>
      <c r="E885" s="175"/>
      <c r="F885" s="175"/>
      <c r="G885" s="175"/>
      <c r="H885" s="175"/>
      <c r="I885" s="175"/>
      <c r="J885" s="175"/>
      <c r="K885" s="175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 ht="15.75" customHeight="1">
      <c r="A886" s="175"/>
      <c r="B886" s="175"/>
      <c r="C886" s="175"/>
      <c r="D886" s="175"/>
      <c r="E886" s="175"/>
      <c r="F886" s="175"/>
      <c r="G886" s="175"/>
      <c r="H886" s="175"/>
      <c r="I886" s="175"/>
      <c r="J886" s="175"/>
      <c r="K886" s="175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 ht="15.75" customHeight="1">
      <c r="A887" s="175"/>
      <c r="B887" s="175"/>
      <c r="C887" s="175"/>
      <c r="D887" s="175"/>
      <c r="E887" s="175"/>
      <c r="F887" s="175"/>
      <c r="G887" s="175"/>
      <c r="H887" s="175"/>
      <c r="I887" s="175"/>
      <c r="J887" s="175"/>
      <c r="K887" s="175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 ht="15.75" customHeight="1">
      <c r="A888" s="175"/>
      <c r="B888" s="175"/>
      <c r="C888" s="175"/>
      <c r="D888" s="175"/>
      <c r="E888" s="175"/>
      <c r="F888" s="175"/>
      <c r="G888" s="175"/>
      <c r="H888" s="175"/>
      <c r="I888" s="175"/>
      <c r="J888" s="175"/>
      <c r="K888" s="175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 ht="15.75" customHeight="1">
      <c r="A889" s="175"/>
      <c r="B889" s="175"/>
      <c r="C889" s="175"/>
      <c r="D889" s="175"/>
      <c r="E889" s="175"/>
      <c r="F889" s="175"/>
      <c r="G889" s="175"/>
      <c r="H889" s="175"/>
      <c r="I889" s="175"/>
      <c r="J889" s="175"/>
      <c r="K889" s="175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 ht="15.75" customHeight="1">
      <c r="A890" s="175"/>
      <c r="B890" s="175"/>
      <c r="C890" s="175"/>
      <c r="D890" s="175"/>
      <c r="E890" s="175"/>
      <c r="F890" s="175"/>
      <c r="G890" s="175"/>
      <c r="H890" s="175"/>
      <c r="I890" s="175"/>
      <c r="J890" s="175"/>
      <c r="K890" s="175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 ht="15.75" customHeight="1">
      <c r="A891" s="175"/>
      <c r="B891" s="175"/>
      <c r="C891" s="175"/>
      <c r="D891" s="175"/>
      <c r="E891" s="175"/>
      <c r="F891" s="175"/>
      <c r="G891" s="175"/>
      <c r="H891" s="175"/>
      <c r="I891" s="175"/>
      <c r="J891" s="175"/>
      <c r="K891" s="175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 ht="15.75" customHeight="1">
      <c r="A892" s="175"/>
      <c r="B892" s="175"/>
      <c r="C892" s="175"/>
      <c r="D892" s="175"/>
      <c r="E892" s="175"/>
      <c r="F892" s="175"/>
      <c r="G892" s="175"/>
      <c r="H892" s="175"/>
      <c r="I892" s="175"/>
      <c r="J892" s="175"/>
      <c r="K892" s="175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 ht="15.75" customHeight="1">
      <c r="A893" s="175"/>
      <c r="B893" s="175"/>
      <c r="C893" s="175"/>
      <c r="D893" s="175"/>
      <c r="E893" s="175"/>
      <c r="F893" s="175"/>
      <c r="G893" s="175"/>
      <c r="H893" s="175"/>
      <c r="I893" s="175"/>
      <c r="J893" s="175"/>
      <c r="K893" s="175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 ht="15.75" customHeight="1">
      <c r="A894" s="175"/>
      <c r="B894" s="175"/>
      <c r="C894" s="175"/>
      <c r="D894" s="175"/>
      <c r="E894" s="175"/>
      <c r="F894" s="175"/>
      <c r="G894" s="175"/>
      <c r="H894" s="175"/>
      <c r="I894" s="175"/>
      <c r="J894" s="175"/>
      <c r="K894" s="175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 ht="15.75" customHeight="1">
      <c r="A895" s="175"/>
      <c r="B895" s="175"/>
      <c r="C895" s="175"/>
      <c r="D895" s="175"/>
      <c r="E895" s="175"/>
      <c r="F895" s="175"/>
      <c r="G895" s="175"/>
      <c r="H895" s="175"/>
      <c r="I895" s="175"/>
      <c r="J895" s="175"/>
      <c r="K895" s="175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 ht="15.75" customHeight="1">
      <c r="A896" s="175"/>
      <c r="B896" s="175"/>
      <c r="C896" s="175"/>
      <c r="D896" s="175"/>
      <c r="E896" s="175"/>
      <c r="F896" s="175"/>
      <c r="G896" s="175"/>
      <c r="H896" s="175"/>
      <c r="I896" s="175"/>
      <c r="J896" s="175"/>
      <c r="K896" s="175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 ht="15.75" customHeight="1">
      <c r="A897" s="175"/>
      <c r="B897" s="175"/>
      <c r="C897" s="175"/>
      <c r="D897" s="175"/>
      <c r="E897" s="175"/>
      <c r="F897" s="175"/>
      <c r="G897" s="175"/>
      <c r="H897" s="175"/>
      <c r="I897" s="175"/>
      <c r="J897" s="175"/>
      <c r="K897" s="175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 ht="15.75" customHeight="1">
      <c r="A898" s="175"/>
      <c r="B898" s="175"/>
      <c r="C898" s="175"/>
      <c r="D898" s="175"/>
      <c r="E898" s="175"/>
      <c r="F898" s="175"/>
      <c r="G898" s="175"/>
      <c r="H898" s="175"/>
      <c r="I898" s="175"/>
      <c r="J898" s="175"/>
      <c r="K898" s="175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 ht="15.75" customHeight="1">
      <c r="A899" s="175"/>
      <c r="B899" s="175"/>
      <c r="C899" s="175"/>
      <c r="D899" s="175"/>
      <c r="E899" s="175"/>
      <c r="F899" s="175"/>
      <c r="G899" s="175"/>
      <c r="H899" s="175"/>
      <c r="I899" s="175"/>
      <c r="J899" s="175"/>
      <c r="K899" s="175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 ht="15.75" customHeight="1">
      <c r="A900" s="175"/>
      <c r="B900" s="175"/>
      <c r="C900" s="175"/>
      <c r="D900" s="175"/>
      <c r="E900" s="175"/>
      <c r="F900" s="175"/>
      <c r="G900" s="175"/>
      <c r="H900" s="175"/>
      <c r="I900" s="175"/>
      <c r="J900" s="175"/>
      <c r="K900" s="175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 ht="15.75" customHeight="1">
      <c r="A901" s="175"/>
      <c r="B901" s="175"/>
      <c r="C901" s="175"/>
      <c r="D901" s="175"/>
      <c r="E901" s="175"/>
      <c r="F901" s="175"/>
      <c r="G901" s="175"/>
      <c r="H901" s="175"/>
      <c r="I901" s="175"/>
      <c r="J901" s="175"/>
      <c r="K901" s="175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 ht="15.75" customHeight="1">
      <c r="A902" s="175"/>
      <c r="B902" s="175"/>
      <c r="C902" s="175"/>
      <c r="D902" s="175"/>
      <c r="E902" s="175"/>
      <c r="F902" s="175"/>
      <c r="G902" s="175"/>
      <c r="H902" s="175"/>
      <c r="I902" s="175"/>
      <c r="J902" s="175"/>
      <c r="K902" s="175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 ht="15.75" customHeight="1">
      <c r="A903" s="175"/>
      <c r="B903" s="175"/>
      <c r="C903" s="175"/>
      <c r="D903" s="175"/>
      <c r="E903" s="175"/>
      <c r="F903" s="175"/>
      <c r="G903" s="175"/>
      <c r="H903" s="175"/>
      <c r="I903" s="175"/>
      <c r="J903" s="175"/>
      <c r="K903" s="175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 ht="15.75" customHeight="1">
      <c r="A904" s="175"/>
      <c r="B904" s="175"/>
      <c r="C904" s="175"/>
      <c r="D904" s="175"/>
      <c r="E904" s="175"/>
      <c r="F904" s="175"/>
      <c r="G904" s="175"/>
      <c r="H904" s="175"/>
      <c r="I904" s="175"/>
      <c r="J904" s="175"/>
      <c r="K904" s="175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 ht="15.75" customHeight="1">
      <c r="A905" s="175"/>
      <c r="B905" s="175"/>
      <c r="C905" s="175"/>
      <c r="D905" s="175"/>
      <c r="E905" s="175"/>
      <c r="F905" s="175"/>
      <c r="G905" s="175"/>
      <c r="H905" s="175"/>
      <c r="I905" s="175"/>
      <c r="J905" s="175"/>
      <c r="K905" s="175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 ht="15.75" customHeight="1">
      <c r="A906" s="175"/>
      <c r="B906" s="175"/>
      <c r="C906" s="175"/>
      <c r="D906" s="175"/>
      <c r="E906" s="175"/>
      <c r="F906" s="175"/>
      <c r="G906" s="175"/>
      <c r="H906" s="175"/>
      <c r="I906" s="175"/>
      <c r="J906" s="175"/>
      <c r="K906" s="175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 ht="15.75" customHeight="1">
      <c r="A907" s="175"/>
      <c r="B907" s="175"/>
      <c r="C907" s="175"/>
      <c r="D907" s="175"/>
      <c r="E907" s="175"/>
      <c r="F907" s="175"/>
      <c r="G907" s="175"/>
      <c r="H907" s="175"/>
      <c r="I907" s="175"/>
      <c r="J907" s="175"/>
      <c r="K907" s="175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 ht="15.75" customHeight="1">
      <c r="A908" s="175"/>
      <c r="B908" s="175"/>
      <c r="C908" s="175"/>
      <c r="D908" s="175"/>
      <c r="E908" s="175"/>
      <c r="F908" s="175"/>
      <c r="G908" s="175"/>
      <c r="H908" s="175"/>
      <c r="I908" s="175"/>
      <c r="J908" s="175"/>
      <c r="K908" s="175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 ht="15.75" customHeight="1">
      <c r="A909" s="175"/>
      <c r="B909" s="175"/>
      <c r="C909" s="175"/>
      <c r="D909" s="175"/>
      <c r="E909" s="175"/>
      <c r="F909" s="175"/>
      <c r="G909" s="175"/>
      <c r="H909" s="175"/>
      <c r="I909" s="175"/>
      <c r="J909" s="175"/>
      <c r="K909" s="175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 ht="15.75" customHeight="1">
      <c r="A910" s="175"/>
      <c r="B910" s="175"/>
      <c r="C910" s="175"/>
      <c r="D910" s="175"/>
      <c r="E910" s="175"/>
      <c r="F910" s="175"/>
      <c r="G910" s="175"/>
      <c r="H910" s="175"/>
      <c r="I910" s="175"/>
      <c r="J910" s="175"/>
      <c r="K910" s="175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 ht="15.75" customHeight="1">
      <c r="A911" s="175"/>
      <c r="B911" s="175"/>
      <c r="C911" s="175"/>
      <c r="D911" s="175"/>
      <c r="E911" s="175"/>
      <c r="F911" s="175"/>
      <c r="G911" s="175"/>
      <c r="H911" s="175"/>
      <c r="I911" s="175"/>
      <c r="J911" s="175"/>
      <c r="K911" s="175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 ht="15.75" customHeight="1">
      <c r="A912" s="175"/>
      <c r="B912" s="175"/>
      <c r="C912" s="175"/>
      <c r="D912" s="175"/>
      <c r="E912" s="175"/>
      <c r="F912" s="175"/>
      <c r="G912" s="175"/>
      <c r="H912" s="175"/>
      <c r="I912" s="175"/>
      <c r="J912" s="175"/>
      <c r="K912" s="175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 ht="15.75" customHeight="1">
      <c r="A913" s="175"/>
      <c r="B913" s="175"/>
      <c r="C913" s="175"/>
      <c r="D913" s="175"/>
      <c r="E913" s="175"/>
      <c r="F913" s="175"/>
      <c r="G913" s="175"/>
      <c r="H913" s="175"/>
      <c r="I913" s="175"/>
      <c r="J913" s="175"/>
      <c r="K913" s="175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 ht="15.75" customHeight="1">
      <c r="A914" s="175"/>
      <c r="B914" s="175"/>
      <c r="C914" s="175"/>
      <c r="D914" s="175"/>
      <c r="E914" s="175"/>
      <c r="F914" s="175"/>
      <c r="G914" s="175"/>
      <c r="H914" s="175"/>
      <c r="I914" s="175"/>
      <c r="J914" s="175"/>
      <c r="K914" s="175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 ht="15.75" customHeight="1">
      <c r="A915" s="175"/>
      <c r="B915" s="175"/>
      <c r="C915" s="175"/>
      <c r="D915" s="175"/>
      <c r="E915" s="175"/>
      <c r="F915" s="175"/>
      <c r="G915" s="175"/>
      <c r="H915" s="175"/>
      <c r="I915" s="175"/>
      <c r="J915" s="175"/>
      <c r="K915" s="175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 ht="15.75" customHeight="1">
      <c r="A916" s="175"/>
      <c r="B916" s="175"/>
      <c r="C916" s="175"/>
      <c r="D916" s="175"/>
      <c r="E916" s="175"/>
      <c r="F916" s="175"/>
      <c r="G916" s="175"/>
      <c r="H916" s="175"/>
      <c r="I916" s="175"/>
      <c r="J916" s="175"/>
      <c r="K916" s="175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 ht="15.75" customHeight="1">
      <c r="A917" s="175"/>
      <c r="B917" s="175"/>
      <c r="C917" s="175"/>
      <c r="D917" s="175"/>
      <c r="E917" s="175"/>
      <c r="F917" s="175"/>
      <c r="G917" s="175"/>
      <c r="H917" s="175"/>
      <c r="I917" s="175"/>
      <c r="J917" s="175"/>
      <c r="K917" s="175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 ht="15.75" customHeight="1">
      <c r="A918" s="175"/>
      <c r="B918" s="175"/>
      <c r="C918" s="175"/>
      <c r="D918" s="175"/>
      <c r="E918" s="175"/>
      <c r="F918" s="175"/>
      <c r="G918" s="175"/>
      <c r="H918" s="175"/>
      <c r="I918" s="175"/>
      <c r="J918" s="175"/>
      <c r="K918" s="175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 ht="15.75" customHeight="1">
      <c r="A919" s="175"/>
      <c r="B919" s="175"/>
      <c r="C919" s="175"/>
      <c r="D919" s="175"/>
      <c r="E919" s="175"/>
      <c r="F919" s="175"/>
      <c r="G919" s="175"/>
      <c r="H919" s="175"/>
      <c r="I919" s="175"/>
      <c r="J919" s="175"/>
      <c r="K919" s="175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 ht="15.75" customHeight="1">
      <c r="A920" s="175"/>
      <c r="B920" s="175"/>
      <c r="C920" s="175"/>
      <c r="D920" s="175"/>
      <c r="E920" s="175"/>
      <c r="F920" s="175"/>
      <c r="G920" s="175"/>
      <c r="H920" s="175"/>
      <c r="I920" s="175"/>
      <c r="J920" s="175"/>
      <c r="K920" s="175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 ht="15.75" customHeight="1">
      <c r="A921" s="175"/>
      <c r="B921" s="175"/>
      <c r="C921" s="175"/>
      <c r="D921" s="175"/>
      <c r="E921" s="175"/>
      <c r="F921" s="175"/>
      <c r="G921" s="175"/>
      <c r="H921" s="175"/>
      <c r="I921" s="175"/>
      <c r="J921" s="175"/>
      <c r="K921" s="175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 ht="15.75" customHeight="1">
      <c r="A922" s="175"/>
      <c r="B922" s="175"/>
      <c r="C922" s="175"/>
      <c r="D922" s="175"/>
      <c r="E922" s="175"/>
      <c r="F922" s="175"/>
      <c r="G922" s="175"/>
      <c r="H922" s="175"/>
      <c r="I922" s="175"/>
      <c r="J922" s="175"/>
      <c r="K922" s="175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 ht="15.75" customHeight="1">
      <c r="A923" s="175"/>
      <c r="B923" s="175"/>
      <c r="C923" s="175"/>
      <c r="D923" s="175"/>
      <c r="E923" s="175"/>
      <c r="F923" s="175"/>
      <c r="G923" s="175"/>
      <c r="H923" s="175"/>
      <c r="I923" s="175"/>
      <c r="J923" s="175"/>
      <c r="K923" s="175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 ht="15.75" customHeight="1">
      <c r="A924" s="175"/>
      <c r="B924" s="175"/>
      <c r="C924" s="175"/>
      <c r="D924" s="175"/>
      <c r="E924" s="175"/>
      <c r="F924" s="175"/>
      <c r="G924" s="175"/>
      <c r="H924" s="175"/>
      <c r="I924" s="175"/>
      <c r="J924" s="175"/>
      <c r="K924" s="175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 ht="15.75" customHeight="1">
      <c r="A925" s="175"/>
      <c r="B925" s="175"/>
      <c r="C925" s="175"/>
      <c r="D925" s="175"/>
      <c r="E925" s="175"/>
      <c r="F925" s="175"/>
      <c r="G925" s="175"/>
      <c r="H925" s="175"/>
      <c r="I925" s="175"/>
      <c r="J925" s="175"/>
      <c r="K925" s="175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 ht="15.75" customHeight="1">
      <c r="A926" s="175"/>
      <c r="B926" s="175"/>
      <c r="C926" s="175"/>
      <c r="D926" s="175"/>
      <c r="E926" s="175"/>
      <c r="F926" s="175"/>
      <c r="G926" s="175"/>
      <c r="H926" s="175"/>
      <c r="I926" s="175"/>
      <c r="J926" s="175"/>
      <c r="K926" s="175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 ht="15.75" customHeight="1">
      <c r="A927" s="175"/>
      <c r="B927" s="175"/>
      <c r="C927" s="175"/>
      <c r="D927" s="175"/>
      <c r="E927" s="175"/>
      <c r="F927" s="175"/>
      <c r="G927" s="175"/>
      <c r="H927" s="175"/>
      <c r="I927" s="175"/>
      <c r="J927" s="175"/>
      <c r="K927" s="175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 ht="15.75" customHeight="1">
      <c r="A928" s="175"/>
      <c r="B928" s="175"/>
      <c r="C928" s="175"/>
      <c r="D928" s="175"/>
      <c r="E928" s="175"/>
      <c r="F928" s="175"/>
      <c r="G928" s="175"/>
      <c r="H928" s="175"/>
      <c r="I928" s="175"/>
      <c r="J928" s="175"/>
      <c r="K928" s="175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 ht="15.75" customHeight="1">
      <c r="A929" s="175"/>
      <c r="B929" s="175"/>
      <c r="C929" s="175"/>
      <c r="D929" s="175"/>
      <c r="E929" s="175"/>
      <c r="F929" s="175"/>
      <c r="G929" s="175"/>
      <c r="H929" s="175"/>
      <c r="I929" s="175"/>
      <c r="J929" s="175"/>
      <c r="K929" s="175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 ht="15.75" customHeight="1">
      <c r="A930" s="175"/>
      <c r="B930" s="175"/>
      <c r="C930" s="175"/>
      <c r="D930" s="175"/>
      <c r="E930" s="175"/>
      <c r="F930" s="175"/>
      <c r="G930" s="175"/>
      <c r="H930" s="175"/>
      <c r="I930" s="175"/>
      <c r="J930" s="175"/>
      <c r="K930" s="175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 ht="15.75" customHeight="1">
      <c r="A931" s="175"/>
      <c r="B931" s="175"/>
      <c r="C931" s="175"/>
      <c r="D931" s="175"/>
      <c r="E931" s="175"/>
      <c r="F931" s="175"/>
      <c r="G931" s="175"/>
      <c r="H931" s="175"/>
      <c r="I931" s="175"/>
      <c r="J931" s="175"/>
      <c r="K931" s="175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 ht="15.75" customHeight="1">
      <c r="A932" s="175"/>
      <c r="B932" s="175"/>
      <c r="C932" s="175"/>
      <c r="D932" s="175"/>
      <c r="E932" s="175"/>
      <c r="F932" s="175"/>
      <c r="G932" s="175"/>
      <c r="H932" s="175"/>
      <c r="I932" s="175"/>
      <c r="J932" s="175"/>
      <c r="K932" s="175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 ht="15.75" customHeight="1">
      <c r="A933" s="175"/>
      <c r="B933" s="175"/>
      <c r="C933" s="175"/>
      <c r="D933" s="175"/>
      <c r="E933" s="175"/>
      <c r="F933" s="175"/>
      <c r="G933" s="175"/>
      <c r="H933" s="175"/>
      <c r="I933" s="175"/>
      <c r="J933" s="175"/>
      <c r="K933" s="175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 ht="15.75" customHeight="1">
      <c r="A934" s="175"/>
      <c r="B934" s="175"/>
      <c r="C934" s="175"/>
      <c r="D934" s="175"/>
      <c r="E934" s="175"/>
      <c r="F934" s="175"/>
      <c r="G934" s="175"/>
      <c r="H934" s="175"/>
      <c r="I934" s="175"/>
      <c r="J934" s="175"/>
      <c r="K934" s="175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 ht="15.75" customHeight="1">
      <c r="A935" s="175"/>
      <c r="B935" s="175"/>
      <c r="C935" s="175"/>
      <c r="D935" s="175"/>
      <c r="E935" s="175"/>
      <c r="F935" s="175"/>
      <c r="G935" s="175"/>
      <c r="H935" s="175"/>
      <c r="I935" s="175"/>
      <c r="J935" s="175"/>
      <c r="K935" s="175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 ht="15.75" customHeight="1">
      <c r="A936" s="175"/>
      <c r="B936" s="175"/>
      <c r="C936" s="175"/>
      <c r="D936" s="175"/>
      <c r="E936" s="175"/>
      <c r="F936" s="175"/>
      <c r="G936" s="175"/>
      <c r="H936" s="175"/>
      <c r="I936" s="175"/>
      <c r="J936" s="175"/>
      <c r="K936" s="175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 ht="15.75" customHeight="1">
      <c r="A937" s="175"/>
      <c r="B937" s="175"/>
      <c r="C937" s="175"/>
      <c r="D937" s="175"/>
      <c r="E937" s="175"/>
      <c r="F937" s="175"/>
      <c r="G937" s="175"/>
      <c r="H937" s="175"/>
      <c r="I937" s="175"/>
      <c r="J937" s="175"/>
      <c r="K937" s="175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 ht="15.75" customHeight="1">
      <c r="A938" s="175"/>
      <c r="B938" s="175"/>
      <c r="C938" s="175"/>
      <c r="D938" s="175"/>
      <c r="E938" s="175"/>
      <c r="F938" s="175"/>
      <c r="G938" s="175"/>
      <c r="H938" s="175"/>
      <c r="I938" s="175"/>
      <c r="J938" s="175"/>
      <c r="K938" s="175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 ht="15.75" customHeight="1">
      <c r="A939" s="175"/>
      <c r="B939" s="175"/>
      <c r="C939" s="175"/>
      <c r="D939" s="175"/>
      <c r="E939" s="175"/>
      <c r="F939" s="175"/>
      <c r="G939" s="175"/>
      <c r="H939" s="175"/>
      <c r="I939" s="175"/>
      <c r="J939" s="175"/>
      <c r="K939" s="175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 ht="15.75" customHeight="1">
      <c r="A940" s="175"/>
      <c r="B940" s="175"/>
      <c r="C940" s="175"/>
      <c r="D940" s="175"/>
      <c r="E940" s="175"/>
      <c r="F940" s="175"/>
      <c r="G940" s="175"/>
      <c r="H940" s="175"/>
      <c r="I940" s="175"/>
      <c r="J940" s="175"/>
      <c r="K940" s="175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 ht="15.75" customHeight="1">
      <c r="A941" s="175"/>
      <c r="B941" s="175"/>
      <c r="C941" s="175"/>
      <c r="D941" s="175"/>
      <c r="E941" s="175"/>
      <c r="F941" s="175"/>
      <c r="G941" s="175"/>
      <c r="H941" s="175"/>
      <c r="I941" s="175"/>
      <c r="J941" s="175"/>
      <c r="K941" s="175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 ht="15.75" customHeight="1">
      <c r="A942" s="175"/>
      <c r="B942" s="175"/>
      <c r="C942" s="175"/>
      <c r="D942" s="175"/>
      <c r="E942" s="175"/>
      <c r="F942" s="175"/>
      <c r="G942" s="175"/>
      <c r="H942" s="175"/>
      <c r="I942" s="175"/>
      <c r="J942" s="175"/>
      <c r="K942" s="175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 ht="15.75" customHeight="1">
      <c r="A943" s="175"/>
      <c r="B943" s="175"/>
      <c r="C943" s="175"/>
      <c r="D943" s="175"/>
      <c r="E943" s="175"/>
      <c r="F943" s="175"/>
      <c r="G943" s="175"/>
      <c r="H943" s="175"/>
      <c r="I943" s="175"/>
      <c r="J943" s="175"/>
      <c r="K943" s="175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 ht="15.75" customHeight="1">
      <c r="A944" s="175"/>
      <c r="B944" s="175"/>
      <c r="C944" s="175"/>
      <c r="D944" s="175"/>
      <c r="E944" s="175"/>
      <c r="F944" s="175"/>
      <c r="G944" s="175"/>
      <c r="H944" s="175"/>
      <c r="I944" s="175"/>
      <c r="J944" s="175"/>
      <c r="K944" s="175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 ht="15.75" customHeight="1">
      <c r="A945" s="175"/>
      <c r="B945" s="175"/>
      <c r="C945" s="175"/>
      <c r="D945" s="175"/>
      <c r="E945" s="175"/>
      <c r="F945" s="175"/>
      <c r="G945" s="175"/>
      <c r="H945" s="175"/>
      <c r="I945" s="175"/>
      <c r="J945" s="175"/>
      <c r="K945" s="175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 ht="15.75" customHeight="1">
      <c r="A946" s="175"/>
      <c r="B946" s="175"/>
      <c r="C946" s="175"/>
      <c r="D946" s="175"/>
      <c r="E946" s="175"/>
      <c r="F946" s="175"/>
      <c r="G946" s="175"/>
      <c r="H946" s="175"/>
      <c r="I946" s="175"/>
      <c r="J946" s="175"/>
      <c r="K946" s="175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 ht="15.75" customHeight="1">
      <c r="A947" s="175"/>
      <c r="B947" s="175"/>
      <c r="C947" s="175"/>
      <c r="D947" s="175"/>
      <c r="E947" s="175"/>
      <c r="F947" s="175"/>
      <c r="G947" s="175"/>
      <c r="H947" s="175"/>
      <c r="I947" s="175"/>
      <c r="J947" s="175"/>
      <c r="K947" s="175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 ht="15.75" customHeight="1">
      <c r="A948" s="175"/>
      <c r="B948" s="175"/>
      <c r="C948" s="175"/>
      <c r="D948" s="175"/>
      <c r="E948" s="175"/>
      <c r="F948" s="175"/>
      <c r="G948" s="175"/>
      <c r="H948" s="175"/>
      <c r="I948" s="175"/>
      <c r="J948" s="175"/>
      <c r="K948" s="175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 ht="15.75" customHeight="1">
      <c r="A949" s="175"/>
      <c r="B949" s="175"/>
      <c r="C949" s="175"/>
      <c r="D949" s="175"/>
      <c r="E949" s="175"/>
      <c r="F949" s="175"/>
      <c r="G949" s="175"/>
      <c r="H949" s="175"/>
      <c r="I949" s="175"/>
      <c r="J949" s="175"/>
      <c r="K949" s="175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 ht="15.75" customHeight="1">
      <c r="A950" s="175"/>
      <c r="B950" s="175"/>
      <c r="C950" s="175"/>
      <c r="D950" s="175"/>
      <c r="E950" s="175"/>
      <c r="F950" s="175"/>
      <c r="G950" s="175"/>
      <c r="H950" s="175"/>
      <c r="I950" s="175"/>
      <c r="J950" s="175"/>
      <c r="K950" s="175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 ht="15.75" customHeight="1">
      <c r="A951" s="175"/>
      <c r="B951" s="175"/>
      <c r="C951" s="175"/>
      <c r="D951" s="175"/>
      <c r="E951" s="175"/>
      <c r="F951" s="175"/>
      <c r="G951" s="175"/>
      <c r="H951" s="175"/>
      <c r="I951" s="175"/>
      <c r="J951" s="175"/>
      <c r="K951" s="175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 ht="15.75" customHeight="1">
      <c r="A952" s="175"/>
      <c r="B952" s="175"/>
      <c r="C952" s="175"/>
      <c r="D952" s="175"/>
      <c r="E952" s="175"/>
      <c r="F952" s="175"/>
      <c r="G952" s="175"/>
      <c r="H952" s="175"/>
      <c r="I952" s="175"/>
      <c r="J952" s="175"/>
      <c r="K952" s="175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 ht="15.75" customHeight="1">
      <c r="A953" s="175"/>
      <c r="B953" s="175"/>
      <c r="C953" s="175"/>
      <c r="D953" s="175"/>
      <c r="E953" s="175"/>
      <c r="F953" s="175"/>
      <c r="G953" s="175"/>
      <c r="H953" s="175"/>
      <c r="I953" s="175"/>
      <c r="J953" s="175"/>
      <c r="K953" s="175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 ht="15.75" customHeight="1">
      <c r="A954" s="175"/>
      <c r="B954" s="175"/>
      <c r="C954" s="175"/>
      <c r="D954" s="175"/>
      <c r="E954" s="175"/>
      <c r="F954" s="175"/>
      <c r="G954" s="175"/>
      <c r="H954" s="175"/>
      <c r="I954" s="175"/>
      <c r="J954" s="175"/>
      <c r="K954" s="175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 ht="15.75" customHeight="1">
      <c r="A955" s="175"/>
      <c r="B955" s="175"/>
      <c r="C955" s="175"/>
      <c r="D955" s="175"/>
      <c r="E955" s="175"/>
      <c r="F955" s="175"/>
      <c r="G955" s="175"/>
      <c r="H955" s="175"/>
      <c r="I955" s="175"/>
      <c r="J955" s="175"/>
      <c r="K955" s="175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 ht="15.75" customHeight="1">
      <c r="A956" s="175"/>
      <c r="B956" s="175"/>
      <c r="C956" s="175"/>
      <c r="D956" s="175"/>
      <c r="E956" s="175"/>
      <c r="F956" s="175"/>
      <c r="G956" s="175"/>
      <c r="H956" s="175"/>
      <c r="I956" s="175"/>
      <c r="J956" s="175"/>
      <c r="K956" s="175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 ht="15.75" customHeight="1">
      <c r="A957" s="175"/>
      <c r="B957" s="175"/>
      <c r="C957" s="175"/>
      <c r="D957" s="175"/>
      <c r="E957" s="175"/>
      <c r="F957" s="175"/>
      <c r="G957" s="175"/>
      <c r="H957" s="175"/>
      <c r="I957" s="175"/>
      <c r="J957" s="175"/>
      <c r="K957" s="175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 ht="15.75" customHeight="1">
      <c r="A958" s="175"/>
      <c r="B958" s="175"/>
      <c r="C958" s="175"/>
      <c r="D958" s="175"/>
      <c r="E958" s="175"/>
      <c r="F958" s="175"/>
      <c r="G958" s="175"/>
      <c r="H958" s="175"/>
      <c r="I958" s="175"/>
      <c r="J958" s="175"/>
      <c r="K958" s="175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 ht="15.75" customHeight="1">
      <c r="A959" s="175"/>
      <c r="B959" s="175"/>
      <c r="C959" s="175"/>
      <c r="D959" s="175"/>
      <c r="E959" s="175"/>
      <c r="F959" s="175"/>
      <c r="G959" s="175"/>
      <c r="H959" s="175"/>
      <c r="I959" s="175"/>
      <c r="J959" s="175"/>
      <c r="K959" s="175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 ht="15.75" customHeight="1">
      <c r="A960" s="175"/>
      <c r="B960" s="175"/>
      <c r="C960" s="175"/>
      <c r="D960" s="175"/>
      <c r="E960" s="175"/>
      <c r="F960" s="175"/>
      <c r="G960" s="175"/>
      <c r="H960" s="175"/>
      <c r="I960" s="175"/>
      <c r="J960" s="175"/>
      <c r="K960" s="175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 ht="15.75" customHeight="1">
      <c r="A961" s="175"/>
      <c r="B961" s="175"/>
      <c r="C961" s="175"/>
      <c r="D961" s="175"/>
      <c r="E961" s="175"/>
      <c r="F961" s="175"/>
      <c r="G961" s="175"/>
      <c r="H961" s="175"/>
      <c r="I961" s="175"/>
      <c r="J961" s="175"/>
      <c r="K961" s="175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 ht="15.75" customHeight="1">
      <c r="A962" s="175"/>
      <c r="B962" s="175"/>
      <c r="C962" s="175"/>
      <c r="D962" s="175"/>
      <c r="E962" s="175"/>
      <c r="F962" s="175"/>
      <c r="G962" s="175"/>
      <c r="H962" s="175"/>
      <c r="I962" s="175"/>
      <c r="J962" s="175"/>
      <c r="K962" s="175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 ht="15.75" customHeight="1">
      <c r="A963" s="175"/>
      <c r="B963" s="175"/>
      <c r="C963" s="175"/>
      <c r="D963" s="175"/>
      <c r="E963" s="175"/>
      <c r="F963" s="175"/>
      <c r="G963" s="175"/>
      <c r="H963" s="175"/>
      <c r="I963" s="175"/>
      <c r="J963" s="175"/>
      <c r="K963" s="175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 ht="15.75" customHeight="1">
      <c r="A964" s="175"/>
      <c r="B964" s="175"/>
      <c r="C964" s="175"/>
      <c r="D964" s="175"/>
      <c r="E964" s="175"/>
      <c r="F964" s="175"/>
      <c r="G964" s="175"/>
      <c r="H964" s="175"/>
      <c r="I964" s="175"/>
      <c r="J964" s="175"/>
      <c r="K964" s="175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 ht="15.75" customHeight="1">
      <c r="A965" s="175"/>
      <c r="B965" s="175"/>
      <c r="C965" s="175"/>
      <c r="D965" s="175"/>
      <c r="E965" s="175"/>
      <c r="F965" s="175"/>
      <c r="G965" s="175"/>
      <c r="H965" s="175"/>
      <c r="I965" s="175"/>
      <c r="J965" s="175"/>
      <c r="K965" s="175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 ht="15.75" customHeight="1">
      <c r="A966" s="175"/>
      <c r="B966" s="175"/>
      <c r="C966" s="175"/>
      <c r="D966" s="175"/>
      <c r="E966" s="175"/>
      <c r="F966" s="175"/>
      <c r="G966" s="175"/>
      <c r="H966" s="175"/>
      <c r="I966" s="175"/>
      <c r="J966" s="175"/>
      <c r="K966" s="175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 ht="15.75" customHeight="1">
      <c r="A967" s="175"/>
      <c r="B967" s="175"/>
      <c r="C967" s="175"/>
      <c r="D967" s="175"/>
      <c r="E967" s="175"/>
      <c r="F967" s="175"/>
      <c r="G967" s="175"/>
      <c r="H967" s="175"/>
      <c r="I967" s="175"/>
      <c r="J967" s="175"/>
      <c r="K967" s="175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 ht="15.75" customHeight="1">
      <c r="A968" s="175"/>
      <c r="B968" s="175"/>
      <c r="C968" s="175"/>
      <c r="D968" s="175"/>
      <c r="E968" s="175"/>
      <c r="F968" s="175"/>
      <c r="G968" s="175"/>
      <c r="H968" s="175"/>
      <c r="I968" s="175"/>
      <c r="J968" s="175"/>
      <c r="K968" s="175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 ht="15.75" customHeight="1">
      <c r="A969" s="175"/>
      <c r="B969" s="175"/>
      <c r="C969" s="175"/>
      <c r="D969" s="175"/>
      <c r="E969" s="175"/>
      <c r="F969" s="175"/>
      <c r="G969" s="175"/>
      <c r="H969" s="175"/>
      <c r="I969" s="175"/>
      <c r="J969" s="175"/>
      <c r="K969" s="175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 ht="15.75" customHeight="1">
      <c r="A970" s="175"/>
      <c r="B970" s="175"/>
      <c r="C970" s="175"/>
      <c r="D970" s="175"/>
      <c r="E970" s="175"/>
      <c r="F970" s="175"/>
      <c r="G970" s="175"/>
      <c r="H970" s="175"/>
      <c r="I970" s="175"/>
      <c r="J970" s="175"/>
      <c r="K970" s="175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 ht="15.75" customHeight="1">
      <c r="A971" s="175"/>
      <c r="B971" s="175"/>
      <c r="C971" s="175"/>
      <c r="D971" s="175"/>
      <c r="E971" s="175"/>
      <c r="F971" s="175"/>
      <c r="G971" s="175"/>
      <c r="H971" s="175"/>
      <c r="I971" s="175"/>
      <c r="J971" s="175"/>
      <c r="K971" s="175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 ht="15.75" customHeight="1">
      <c r="A972" s="175"/>
      <c r="B972" s="175"/>
      <c r="C972" s="175"/>
      <c r="D972" s="175"/>
      <c r="E972" s="175"/>
      <c r="F972" s="175"/>
      <c r="G972" s="175"/>
      <c r="H972" s="175"/>
      <c r="I972" s="175"/>
      <c r="J972" s="175"/>
      <c r="K972" s="175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 ht="15.75" customHeight="1">
      <c r="A973" s="175"/>
      <c r="B973" s="175"/>
      <c r="C973" s="175"/>
      <c r="D973" s="175"/>
      <c r="E973" s="175"/>
      <c r="F973" s="175"/>
      <c r="G973" s="175"/>
      <c r="H973" s="175"/>
      <c r="I973" s="175"/>
      <c r="J973" s="175"/>
      <c r="K973" s="175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 ht="15.75" customHeight="1">
      <c r="A974" s="175"/>
      <c r="B974" s="175"/>
      <c r="C974" s="175"/>
      <c r="D974" s="175"/>
      <c r="E974" s="175"/>
      <c r="F974" s="175"/>
      <c r="G974" s="175"/>
      <c r="H974" s="175"/>
      <c r="I974" s="175"/>
      <c r="J974" s="175"/>
      <c r="K974" s="175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 ht="15.75" customHeight="1">
      <c r="A975" s="175"/>
      <c r="B975" s="175"/>
      <c r="C975" s="175"/>
      <c r="D975" s="175"/>
      <c r="E975" s="175"/>
      <c r="F975" s="175"/>
      <c r="G975" s="175"/>
      <c r="H975" s="175"/>
      <c r="I975" s="175"/>
      <c r="J975" s="175"/>
      <c r="K975" s="175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 ht="15.75" customHeight="1">
      <c r="A976" s="175"/>
      <c r="B976" s="175"/>
      <c r="C976" s="175"/>
      <c r="D976" s="175"/>
      <c r="E976" s="175"/>
      <c r="F976" s="175"/>
      <c r="G976" s="175"/>
      <c r="H976" s="175"/>
      <c r="I976" s="175"/>
      <c r="J976" s="175"/>
      <c r="K976" s="175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 ht="15.75" customHeight="1">
      <c r="A977" s="175"/>
      <c r="B977" s="175"/>
      <c r="C977" s="175"/>
      <c r="D977" s="175"/>
      <c r="E977" s="175"/>
      <c r="F977" s="175"/>
      <c r="G977" s="175"/>
      <c r="H977" s="175"/>
      <c r="I977" s="175"/>
      <c r="J977" s="175"/>
      <c r="K977" s="175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 ht="15.75" customHeight="1">
      <c r="A978" s="175"/>
      <c r="B978" s="175"/>
      <c r="C978" s="175"/>
      <c r="D978" s="175"/>
      <c r="E978" s="175"/>
      <c r="F978" s="175"/>
      <c r="G978" s="175"/>
      <c r="H978" s="175"/>
      <c r="I978" s="175"/>
      <c r="J978" s="175"/>
      <c r="K978" s="175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 ht="15.75" customHeight="1">
      <c r="A979" s="175"/>
      <c r="B979" s="175"/>
      <c r="C979" s="175"/>
      <c r="D979" s="175"/>
      <c r="E979" s="175"/>
      <c r="F979" s="175"/>
      <c r="G979" s="175"/>
      <c r="H979" s="175"/>
      <c r="I979" s="175"/>
      <c r="J979" s="175"/>
      <c r="K979" s="175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 ht="15.75" customHeight="1">
      <c r="A980" s="175"/>
      <c r="B980" s="175"/>
      <c r="C980" s="175"/>
      <c r="D980" s="175"/>
      <c r="E980" s="175"/>
      <c r="F980" s="175"/>
      <c r="G980" s="175"/>
      <c r="H980" s="175"/>
      <c r="I980" s="175"/>
      <c r="J980" s="175"/>
      <c r="K980" s="175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 ht="15.75" customHeight="1">
      <c r="A981" s="175"/>
      <c r="B981" s="175"/>
      <c r="C981" s="175"/>
      <c r="D981" s="175"/>
      <c r="E981" s="175"/>
      <c r="F981" s="175"/>
      <c r="G981" s="175"/>
      <c r="H981" s="175"/>
      <c r="I981" s="175"/>
      <c r="J981" s="175"/>
      <c r="K981" s="175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 ht="15.75" customHeight="1">
      <c r="A982" s="175"/>
      <c r="B982" s="175"/>
      <c r="C982" s="175"/>
      <c r="D982" s="175"/>
      <c r="E982" s="175"/>
      <c r="F982" s="175"/>
      <c r="G982" s="175"/>
      <c r="H982" s="175"/>
      <c r="I982" s="175"/>
      <c r="J982" s="175"/>
      <c r="K982" s="175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 ht="15.75" customHeight="1">
      <c r="A983" s="175"/>
      <c r="B983" s="175"/>
      <c r="C983" s="175"/>
      <c r="D983" s="175"/>
      <c r="E983" s="175"/>
      <c r="F983" s="175"/>
      <c r="G983" s="175"/>
      <c r="H983" s="175"/>
      <c r="I983" s="175"/>
      <c r="J983" s="175"/>
      <c r="K983" s="175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 ht="15.75" customHeight="1">
      <c r="A984" s="175"/>
      <c r="B984" s="175"/>
      <c r="C984" s="175"/>
      <c r="D984" s="175"/>
      <c r="E984" s="175"/>
      <c r="F984" s="175"/>
      <c r="G984" s="175"/>
      <c r="H984" s="175"/>
      <c r="I984" s="175"/>
      <c r="J984" s="175"/>
      <c r="K984" s="175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 ht="15.75" customHeight="1">
      <c r="A985" s="175"/>
      <c r="B985" s="175"/>
      <c r="C985" s="175"/>
      <c r="D985" s="175"/>
      <c r="E985" s="175"/>
      <c r="F985" s="175"/>
      <c r="G985" s="175"/>
      <c r="H985" s="175"/>
      <c r="I985" s="175"/>
      <c r="J985" s="175"/>
      <c r="K985" s="175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 ht="15.75" customHeight="1">
      <c r="A986" s="175"/>
      <c r="B986" s="175"/>
      <c r="C986" s="175"/>
      <c r="D986" s="175"/>
      <c r="E986" s="175"/>
      <c r="F986" s="175"/>
      <c r="G986" s="175"/>
      <c r="H986" s="175"/>
      <c r="I986" s="175"/>
      <c r="J986" s="175"/>
      <c r="K986" s="175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 ht="15.75" customHeight="1">
      <c r="A987" s="175"/>
      <c r="B987" s="175"/>
      <c r="C987" s="175"/>
      <c r="D987" s="175"/>
      <c r="E987" s="175"/>
      <c r="F987" s="175"/>
      <c r="G987" s="175"/>
      <c r="H987" s="175"/>
      <c r="I987" s="175"/>
      <c r="J987" s="175"/>
      <c r="K987" s="175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 ht="15.75" customHeight="1">
      <c r="A988" s="175"/>
      <c r="B988" s="175"/>
      <c r="C988" s="175"/>
      <c r="D988" s="175"/>
      <c r="E988" s="175"/>
      <c r="F988" s="175"/>
      <c r="G988" s="175"/>
      <c r="H988" s="175"/>
      <c r="I988" s="175"/>
      <c r="J988" s="175"/>
      <c r="K988" s="175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 ht="15.75" customHeight="1">
      <c r="A989" s="175"/>
      <c r="B989" s="175"/>
      <c r="C989" s="175"/>
      <c r="D989" s="175"/>
      <c r="E989" s="175"/>
      <c r="F989" s="175"/>
      <c r="G989" s="175"/>
      <c r="H989" s="175"/>
      <c r="I989" s="175"/>
      <c r="J989" s="175"/>
      <c r="K989" s="175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 ht="15.75" customHeight="1">
      <c r="A990" s="175"/>
      <c r="B990" s="175"/>
      <c r="C990" s="175"/>
      <c r="D990" s="175"/>
      <c r="E990" s="175"/>
      <c r="F990" s="175"/>
      <c r="G990" s="175"/>
      <c r="H990" s="175"/>
      <c r="I990" s="175"/>
      <c r="J990" s="175"/>
      <c r="K990" s="175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 ht="15.75" customHeight="1">
      <c r="A991" s="175"/>
      <c r="B991" s="175"/>
      <c r="C991" s="175"/>
      <c r="D991" s="175"/>
      <c r="E991" s="175"/>
      <c r="F991" s="175"/>
      <c r="G991" s="175"/>
      <c r="H991" s="175"/>
      <c r="I991" s="175"/>
      <c r="J991" s="175"/>
      <c r="K991" s="175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 ht="15.75" customHeight="1">
      <c r="A992" s="175"/>
      <c r="B992" s="175"/>
      <c r="C992" s="175"/>
      <c r="D992" s="175"/>
      <c r="E992" s="175"/>
      <c r="F992" s="175"/>
      <c r="G992" s="175"/>
      <c r="H992" s="175"/>
      <c r="I992" s="175"/>
      <c r="J992" s="175"/>
      <c r="K992" s="175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 ht="15.75" customHeight="1">
      <c r="A993" s="175"/>
      <c r="B993" s="175"/>
      <c r="C993" s="175"/>
      <c r="D993" s="175"/>
      <c r="E993" s="175"/>
      <c r="F993" s="175"/>
      <c r="G993" s="175"/>
      <c r="H993" s="175"/>
      <c r="I993" s="175"/>
      <c r="J993" s="175"/>
      <c r="K993" s="175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 ht="15.75" customHeight="1">
      <c r="A994" s="175"/>
      <c r="B994" s="175"/>
      <c r="C994" s="175"/>
      <c r="D994" s="175"/>
      <c r="E994" s="175"/>
      <c r="F994" s="175"/>
      <c r="G994" s="175"/>
      <c r="H994" s="175"/>
      <c r="I994" s="175"/>
      <c r="J994" s="175"/>
      <c r="K994" s="175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 ht="15.75" customHeight="1">
      <c r="A995" s="175"/>
      <c r="B995" s="175"/>
      <c r="C995" s="175"/>
      <c r="D995" s="175"/>
      <c r="E995" s="175"/>
      <c r="F995" s="175"/>
      <c r="G995" s="175"/>
      <c r="H995" s="175"/>
      <c r="I995" s="175"/>
      <c r="J995" s="175"/>
      <c r="K995" s="175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 ht="15.75" customHeight="1">
      <c r="A996" s="175"/>
      <c r="B996" s="178"/>
      <c r="C996" s="178"/>
      <c r="D996" s="178"/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 ht="15.75" customHeight="1">
      <c r="A997" s="175"/>
      <c r="B997" s="178"/>
      <c r="C997" s="178"/>
      <c r="D997" s="178"/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 ht="15.75" customHeight="1">
      <c r="A998" s="175"/>
      <c r="B998" s="178"/>
      <c r="C998" s="178"/>
      <c r="D998" s="178"/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 ht="15.75" customHeight="1">
      <c r="A999" s="175"/>
      <c r="B999" s="178"/>
      <c r="C999" s="178"/>
      <c r="D999" s="178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 ht="15.75" customHeight="1">
      <c r="A1000" s="175"/>
      <c r="B1000" s="178"/>
      <c r="C1000" s="178"/>
      <c r="D1000" s="178"/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  <row r="1001" ht="15.75" customHeight="1">
      <c r="A1001" s="175"/>
      <c r="B1001" s="178"/>
      <c r="C1001" s="178"/>
      <c r="D1001" s="178"/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  <c r="Z1001" s="178"/>
    </row>
    <row r="1002" ht="15.75" customHeight="1">
      <c r="A1002" s="175"/>
      <c r="B1002" s="178"/>
      <c r="C1002" s="178"/>
      <c r="D1002" s="178"/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  <c r="Z1002" s="178"/>
    </row>
  </sheetData>
  <mergeCells count="5">
    <mergeCell ref="B1:J1"/>
    <mergeCell ref="E30:G30"/>
    <mergeCell ref="E31:G31"/>
    <mergeCell ref="E32:G32"/>
    <mergeCell ref="D33:G3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5" max="5" width="18.43"/>
  </cols>
  <sheetData>
    <row r="1">
      <c r="A1" s="154"/>
      <c r="B1" s="155" t="s">
        <v>249</v>
      </c>
      <c r="C1" s="156"/>
      <c r="D1" s="156"/>
      <c r="E1" s="156"/>
      <c r="F1" s="156"/>
      <c r="G1" s="156"/>
      <c r="H1" s="156"/>
      <c r="I1" s="156"/>
      <c r="J1" s="156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154"/>
      <c r="B3" s="204" t="s">
        <v>250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</row>
    <row r="4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>
      <c r="A5" s="154"/>
      <c r="B5" s="205" t="s">
        <v>251</v>
      </c>
      <c r="C5" s="206"/>
      <c r="D5" s="206"/>
      <c r="E5" s="206"/>
      <c r="F5" s="206"/>
      <c r="G5" s="206"/>
      <c r="H5" s="206"/>
      <c r="I5" s="206"/>
      <c r="J5" s="206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</row>
    <row r="6">
      <c r="A6" s="154"/>
      <c r="B6" s="154"/>
      <c r="C6" s="154"/>
      <c r="D6" s="154"/>
      <c r="E6" s="154"/>
      <c r="F6" s="154"/>
      <c r="G6" s="207" t="s">
        <v>252</v>
      </c>
      <c r="H6" s="207" t="s">
        <v>252</v>
      </c>
      <c r="I6" s="207" t="s">
        <v>253</v>
      </c>
      <c r="J6" s="207" t="s">
        <v>254</v>
      </c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>
      <c r="A7" s="154"/>
      <c r="B7" s="158" t="s">
        <v>166</v>
      </c>
      <c r="C7" s="158" t="s">
        <v>167</v>
      </c>
      <c r="D7" s="208" t="s">
        <v>255</v>
      </c>
      <c r="E7" s="159" t="s">
        <v>256</v>
      </c>
      <c r="F7" s="160" t="s">
        <v>257</v>
      </c>
      <c r="G7" s="160" t="s">
        <v>258</v>
      </c>
      <c r="H7" s="160" t="s">
        <v>259</v>
      </c>
      <c r="I7" s="160" t="s">
        <v>260</v>
      </c>
      <c r="J7" s="160" t="s">
        <v>260</v>
      </c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>
      <c r="A8" s="154"/>
      <c r="B8" s="157"/>
      <c r="C8" s="157"/>
      <c r="D8" s="157"/>
      <c r="E8" s="157"/>
      <c r="F8" s="157"/>
      <c r="G8" s="157"/>
      <c r="H8" s="157"/>
      <c r="I8" s="157"/>
      <c r="J8" s="157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>
      <c r="A9" s="154"/>
      <c r="B9" s="162" t="s">
        <v>176</v>
      </c>
      <c r="C9" s="163" t="s">
        <v>177</v>
      </c>
      <c r="D9" s="136">
        <v>8600.0</v>
      </c>
      <c r="E9" s="136">
        <v>3150.0</v>
      </c>
      <c r="F9" s="209">
        <v>0.2</v>
      </c>
      <c r="G9" s="210">
        <f t="shared" ref="G9:G17" si="1">D9/E9</f>
        <v>2.73015873</v>
      </c>
      <c r="H9" s="210">
        <f t="shared" ref="H9:H17" si="2">D9/(D9+E9)</f>
        <v>0.7319148936</v>
      </c>
      <c r="I9" s="211">
        <f>'Beta Regression'!C4</f>
        <v>0.9305353868</v>
      </c>
      <c r="J9" s="212">
        <f t="shared" ref="J9:J17" si="3">I9/(1+(1-F9)*G9)</f>
        <v>0.2922419211</v>
      </c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</row>
    <row r="10">
      <c r="A10" s="154"/>
      <c r="B10" s="167" t="s">
        <v>178</v>
      </c>
      <c r="C10" s="163" t="s">
        <v>177</v>
      </c>
      <c r="D10" s="136">
        <v>11145.0</v>
      </c>
      <c r="E10" s="136">
        <v>18551.0</v>
      </c>
      <c r="F10" s="213">
        <v>0.2</v>
      </c>
      <c r="G10" s="210">
        <f t="shared" si="1"/>
        <v>0.6007762385</v>
      </c>
      <c r="H10" s="210">
        <f t="shared" si="2"/>
        <v>0.3753030711</v>
      </c>
      <c r="I10" s="211">
        <f>'Beta Regression'!G4</f>
        <v>0.8447629424</v>
      </c>
      <c r="J10" s="212">
        <f t="shared" si="3"/>
        <v>0.5705463773</v>
      </c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</row>
    <row r="11">
      <c r="A11" s="154"/>
      <c r="B11" s="167" t="s">
        <v>179</v>
      </c>
      <c r="C11" s="163" t="s">
        <v>177</v>
      </c>
      <c r="D11" s="136">
        <v>11718.0</v>
      </c>
      <c r="E11" s="136">
        <v>38729.0</v>
      </c>
      <c r="F11" s="213">
        <v>0.2</v>
      </c>
      <c r="G11" s="210">
        <f t="shared" si="1"/>
        <v>0.3025639702</v>
      </c>
      <c r="H11" s="210">
        <f t="shared" si="2"/>
        <v>0.2322833865</v>
      </c>
      <c r="I11" s="211">
        <f>'Beta Regression'!K4</f>
        <v>0.9059192253</v>
      </c>
      <c r="J11" s="212">
        <f t="shared" si="3"/>
        <v>0.7293735095</v>
      </c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</row>
    <row r="12">
      <c r="A12" s="154"/>
      <c r="B12" s="167" t="s">
        <v>180</v>
      </c>
      <c r="C12" s="169" t="s">
        <v>181</v>
      </c>
      <c r="D12" s="136">
        <v>1247.0</v>
      </c>
      <c r="E12" s="136">
        <v>3108.0</v>
      </c>
      <c r="F12" s="213">
        <v>0.2</v>
      </c>
      <c r="G12" s="210">
        <f t="shared" si="1"/>
        <v>0.4012226512</v>
      </c>
      <c r="H12" s="210">
        <f t="shared" si="2"/>
        <v>0.2863375431</v>
      </c>
      <c r="I12" s="211">
        <f>'Beta Regression'!O4</f>
        <v>0.3792410062</v>
      </c>
      <c r="J12" s="212">
        <f t="shared" si="3"/>
        <v>0.2870910579</v>
      </c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</row>
    <row r="13">
      <c r="A13" s="154"/>
      <c r="B13" s="167" t="s">
        <v>182</v>
      </c>
      <c r="C13" s="163" t="s">
        <v>183</v>
      </c>
      <c r="D13" s="136">
        <v>3072.0</v>
      </c>
      <c r="E13" s="136">
        <v>1606.0</v>
      </c>
      <c r="F13" s="213">
        <v>0.2</v>
      </c>
      <c r="G13" s="210">
        <f t="shared" si="1"/>
        <v>1.912826899</v>
      </c>
      <c r="H13" s="210">
        <f t="shared" si="2"/>
        <v>0.6566908935</v>
      </c>
      <c r="I13" s="211">
        <f>'Beta Regression'!S4</f>
        <v>0.813952487</v>
      </c>
      <c r="J13" s="212">
        <f t="shared" si="3"/>
        <v>0.3216870987</v>
      </c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</row>
    <row r="14">
      <c r="A14" s="154"/>
      <c r="B14" s="167" t="s">
        <v>184</v>
      </c>
      <c r="C14" s="163" t="s">
        <v>185</v>
      </c>
      <c r="D14" s="136">
        <v>0.0</v>
      </c>
      <c r="E14" s="136">
        <v>11017.0</v>
      </c>
      <c r="F14" s="213">
        <v>0.2</v>
      </c>
      <c r="G14" s="210">
        <f t="shared" si="1"/>
        <v>0</v>
      </c>
      <c r="H14" s="210">
        <f t="shared" si="2"/>
        <v>0</v>
      </c>
      <c r="I14" s="211">
        <f>'Beta Regression'!W4</f>
        <v>0.3256316065</v>
      </c>
      <c r="J14" s="212">
        <f t="shared" si="3"/>
        <v>0.3256316065</v>
      </c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</row>
    <row r="15">
      <c r="A15" s="154"/>
      <c r="B15" s="167" t="s">
        <v>186</v>
      </c>
      <c r="C15" s="163" t="s">
        <v>185</v>
      </c>
      <c r="D15" s="136">
        <v>0.0</v>
      </c>
      <c r="E15" s="136">
        <v>11660.0</v>
      </c>
      <c r="F15" s="213">
        <v>0.2</v>
      </c>
      <c r="G15" s="210">
        <f t="shared" si="1"/>
        <v>0</v>
      </c>
      <c r="H15" s="210">
        <f t="shared" si="2"/>
        <v>0</v>
      </c>
      <c r="I15" s="211">
        <f>'Beta Regression'!AA4</f>
        <v>0.3287302967</v>
      </c>
      <c r="J15" s="212">
        <f t="shared" si="3"/>
        <v>0.3287302967</v>
      </c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</row>
    <row r="16">
      <c r="A16" s="154"/>
      <c r="B16" s="167" t="s">
        <v>187</v>
      </c>
      <c r="C16" s="163" t="s">
        <v>188</v>
      </c>
      <c r="D16" s="136">
        <v>1228.0</v>
      </c>
      <c r="E16" s="136">
        <v>1323.0</v>
      </c>
      <c r="F16" s="213">
        <v>0.2</v>
      </c>
      <c r="G16" s="210">
        <f t="shared" si="1"/>
        <v>0.9281934996</v>
      </c>
      <c r="H16" s="210">
        <f t="shared" si="2"/>
        <v>0.481379851</v>
      </c>
      <c r="I16" s="211">
        <f>'Beta Regression'!AE4</f>
        <v>0.862693497</v>
      </c>
      <c r="J16" s="212">
        <f t="shared" si="3"/>
        <v>0.4950739553</v>
      </c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</row>
    <row r="17">
      <c r="A17" s="154"/>
      <c r="B17" s="167" t="s">
        <v>189</v>
      </c>
      <c r="C17" s="163" t="s">
        <v>185</v>
      </c>
      <c r="D17" s="136">
        <v>1301.5</v>
      </c>
      <c r="E17" s="136">
        <v>7050.0</v>
      </c>
      <c r="F17" s="213">
        <v>0.2</v>
      </c>
      <c r="G17" s="210">
        <f t="shared" si="1"/>
        <v>0.1846099291</v>
      </c>
      <c r="H17" s="210">
        <f t="shared" si="2"/>
        <v>0.1558402682</v>
      </c>
      <c r="I17" s="211">
        <f>'Beta Regression'!AI4</f>
        <v>0.285084034</v>
      </c>
      <c r="J17" s="212">
        <f t="shared" si="3"/>
        <v>0.2483985614</v>
      </c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</row>
    <row r="18">
      <c r="A18" s="154"/>
      <c r="B18" s="154"/>
      <c r="C18" s="154"/>
      <c r="D18" s="154"/>
      <c r="E18" s="214"/>
      <c r="F18" s="215"/>
      <c r="G18" s="214"/>
      <c r="H18" s="214"/>
      <c r="I18" s="214"/>
      <c r="J18" s="21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</row>
    <row r="19">
      <c r="A19" s="154"/>
      <c r="B19" s="154"/>
      <c r="C19" s="154"/>
      <c r="D19" s="154"/>
      <c r="E19" s="216" t="s">
        <v>261</v>
      </c>
      <c r="F19" s="217">
        <f t="shared" ref="F19:J19" si="4">AVERAGE(F10:F17)</f>
        <v>0.2</v>
      </c>
      <c r="G19" s="217">
        <f t="shared" si="4"/>
        <v>0.5412741485</v>
      </c>
      <c r="H19" s="217">
        <f t="shared" si="4"/>
        <v>0.2734793767</v>
      </c>
      <c r="I19" s="218">
        <f t="shared" si="4"/>
        <v>0.5932518869</v>
      </c>
      <c r="J19" s="218">
        <f t="shared" si="4"/>
        <v>0.4133165579</v>
      </c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</row>
    <row r="20">
      <c r="A20" s="154"/>
      <c r="B20" s="154"/>
      <c r="C20" s="154"/>
      <c r="D20" s="154"/>
      <c r="E20" s="219" t="s">
        <v>191</v>
      </c>
      <c r="F20" s="220">
        <f t="shared" ref="F20:J20" si="5">MEDIAN(F10:F17)</f>
        <v>0.2</v>
      </c>
      <c r="G20" s="220">
        <f t="shared" si="5"/>
        <v>0.3518933107</v>
      </c>
      <c r="H20" s="220">
        <f t="shared" si="5"/>
        <v>0.2593104648</v>
      </c>
      <c r="I20" s="221">
        <f t="shared" si="5"/>
        <v>0.5965967466</v>
      </c>
      <c r="J20" s="221">
        <f t="shared" si="5"/>
        <v>0.3271809516</v>
      </c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</row>
    <row r="21">
      <c r="A21" s="154"/>
      <c r="B21" s="154"/>
      <c r="C21" s="154"/>
      <c r="D21" s="154"/>
      <c r="E21" s="154"/>
      <c r="F21" s="154"/>
      <c r="G21" s="222"/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</row>
    <row r="22">
      <c r="A22" s="154"/>
      <c r="B22" s="154"/>
      <c r="C22" s="154"/>
      <c r="D22" s="154"/>
      <c r="E22" s="154"/>
      <c r="F22" s="154"/>
      <c r="G22" s="222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>
      <c r="A23" s="154"/>
      <c r="B23" s="219" t="s">
        <v>262</v>
      </c>
      <c r="C23" s="214"/>
      <c r="D23" s="214"/>
      <c r="E23" s="214"/>
      <c r="F23" s="154"/>
      <c r="G23" s="219" t="s">
        <v>263</v>
      </c>
      <c r="H23" s="214"/>
      <c r="I23" s="214"/>
      <c r="J23" s="21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>
      <c r="A24" s="154"/>
      <c r="B24" s="222"/>
      <c r="C24" s="154"/>
      <c r="D24" s="154"/>
      <c r="E24" s="154"/>
      <c r="F24" s="154"/>
      <c r="G24" s="222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>
      <c r="A25" s="154"/>
      <c r="B25" s="207" t="s">
        <v>264</v>
      </c>
      <c r="C25" s="154"/>
      <c r="D25" s="154"/>
      <c r="E25" s="223">
        <f>0.049</f>
        <v>0.049</v>
      </c>
      <c r="F25" s="154"/>
      <c r="G25" s="224" t="s">
        <v>265</v>
      </c>
      <c r="H25" s="154"/>
      <c r="I25" s="154"/>
      <c r="J25" s="225">
        <v>0.045</v>
      </c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154"/>
      <c r="B26" s="226" t="s">
        <v>266</v>
      </c>
      <c r="C26" s="227"/>
      <c r="D26" s="227"/>
      <c r="E26" s="228">
        <f>F20</f>
        <v>0.2</v>
      </c>
      <c r="F26" s="154"/>
      <c r="G26" s="207" t="s">
        <v>267</v>
      </c>
      <c r="H26" s="154"/>
      <c r="I26" s="154"/>
      <c r="J26" s="229">
        <f>6%</f>
        <v>0.06</v>
      </c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</row>
    <row r="27">
      <c r="A27" s="154"/>
      <c r="B27" s="207" t="s">
        <v>268</v>
      </c>
      <c r="C27" s="154"/>
      <c r="D27" s="154"/>
      <c r="E27" s="210">
        <f>E25*(1-E26)</f>
        <v>0.0392</v>
      </c>
      <c r="F27" s="154"/>
      <c r="G27" s="226" t="s">
        <v>269</v>
      </c>
      <c r="H27" s="227"/>
      <c r="I27" s="227"/>
      <c r="J27" s="212">
        <f>I9</f>
        <v>0.9305353868</v>
      </c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</row>
    <row r="28">
      <c r="A28" s="154"/>
      <c r="B28" s="154"/>
      <c r="C28" s="154"/>
      <c r="D28" s="154"/>
      <c r="E28" s="154"/>
      <c r="F28" s="154"/>
      <c r="G28" s="207" t="s">
        <v>263</v>
      </c>
      <c r="H28" s="154"/>
      <c r="I28" s="154"/>
      <c r="J28" s="210">
        <f>J25+(J26*J27)</f>
        <v>0.1008321232</v>
      </c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</row>
    <row r="29">
      <c r="A29" s="154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</row>
    <row r="30">
      <c r="A30" s="154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</row>
    <row r="31">
      <c r="A31" s="154"/>
      <c r="B31" s="219" t="s">
        <v>270</v>
      </c>
      <c r="C31" s="214"/>
      <c r="D31" s="214"/>
      <c r="E31" s="214"/>
      <c r="F31" s="154"/>
      <c r="G31" s="219" t="s">
        <v>269</v>
      </c>
      <c r="H31" s="214"/>
      <c r="I31" s="214"/>
      <c r="J31" s="21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</row>
    <row r="32">
      <c r="A32" s="154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</row>
    <row r="33">
      <c r="A33" s="154"/>
      <c r="B33" s="154"/>
      <c r="C33" s="154"/>
      <c r="D33" s="230" t="s">
        <v>271</v>
      </c>
      <c r="E33" s="230" t="s">
        <v>198</v>
      </c>
      <c r="F33" s="154"/>
      <c r="G33" s="231" t="s">
        <v>272</v>
      </c>
      <c r="H33" s="154"/>
      <c r="I33" s="154"/>
      <c r="J33" s="218">
        <f>J20</f>
        <v>0.3271809516</v>
      </c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</row>
    <row r="34">
      <c r="A34" s="154"/>
      <c r="B34" s="207" t="s">
        <v>273</v>
      </c>
      <c r="C34" s="232">
        <f>D9</f>
        <v>8600</v>
      </c>
      <c r="D34" s="217">
        <f>C34/C36</f>
        <v>0.7319148936</v>
      </c>
      <c r="E34" s="217">
        <f>H19</f>
        <v>0.2734793767</v>
      </c>
      <c r="F34" s="154"/>
      <c r="G34" s="207" t="s">
        <v>274</v>
      </c>
      <c r="H34" s="154"/>
      <c r="I34" s="154"/>
      <c r="J34" s="217">
        <f>G20</f>
        <v>0.3518933107</v>
      </c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</row>
    <row r="35">
      <c r="A35" s="154"/>
      <c r="B35" s="207" t="s">
        <v>275</v>
      </c>
      <c r="C35" s="233">
        <f>E9</f>
        <v>3150</v>
      </c>
      <c r="D35" s="228">
        <f>C35/C36</f>
        <v>0.2680851064</v>
      </c>
      <c r="E35" s="228">
        <f>E36-E34</f>
        <v>0.7265206233</v>
      </c>
      <c r="F35" s="154"/>
      <c r="G35" s="226" t="s">
        <v>266</v>
      </c>
      <c r="H35" s="227"/>
      <c r="I35" s="227"/>
      <c r="J35" s="228">
        <f>E26</f>
        <v>0.2</v>
      </c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</row>
    <row r="36">
      <c r="A36" s="154"/>
      <c r="B36" s="207" t="s">
        <v>276</v>
      </c>
      <c r="C36" s="234">
        <f>SUM(C34:C35)</f>
        <v>11750</v>
      </c>
      <c r="D36" s="217">
        <f>D34+D35</f>
        <v>1</v>
      </c>
      <c r="E36" s="217">
        <f>D36</f>
        <v>1</v>
      </c>
      <c r="F36" s="154"/>
      <c r="G36" s="207" t="s">
        <v>277</v>
      </c>
      <c r="H36" s="154"/>
      <c r="I36" s="154"/>
      <c r="J36" s="218">
        <f>J33*(1+(1-J34)*J35)</f>
        <v>0.3695905843</v>
      </c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</row>
    <row r="37">
      <c r="A37" s="154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</row>
    <row r="38">
      <c r="A38" s="154"/>
      <c r="B38" s="207" t="s">
        <v>278</v>
      </c>
      <c r="C38" s="154"/>
      <c r="D38" s="210">
        <f t="shared" ref="D38:E38" si="6">D34/D35</f>
        <v>2.73015873</v>
      </c>
      <c r="E38" s="210">
        <f t="shared" si="6"/>
        <v>0.3764234186</v>
      </c>
      <c r="F38" s="154"/>
      <c r="G38" s="219" t="s">
        <v>249</v>
      </c>
      <c r="H38" s="214"/>
      <c r="I38" s="214"/>
      <c r="J38" s="21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</row>
    <row r="39">
      <c r="A39" s="154"/>
      <c r="B39" s="154"/>
      <c r="C39" s="154"/>
      <c r="D39" s="154"/>
      <c r="E39" s="154"/>
      <c r="F39" s="154"/>
      <c r="G39" s="222"/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</row>
    <row r="40">
      <c r="A40" s="154"/>
      <c r="B40" s="235" t="s">
        <v>279</v>
      </c>
      <c r="C40" s="154"/>
      <c r="D40" s="154"/>
      <c r="E40" s="154"/>
      <c r="F40" s="154"/>
      <c r="G40" s="207" t="s">
        <v>263</v>
      </c>
      <c r="H40" s="154"/>
      <c r="I40" s="154"/>
      <c r="J40" s="217">
        <f>J28</f>
        <v>0.1008321232</v>
      </c>
      <c r="K40" s="154"/>
      <c r="L40" s="154"/>
      <c r="M40" s="154"/>
      <c r="N40" s="154"/>
      <c r="O40" s="154"/>
      <c r="P40" s="154"/>
      <c r="Q40" s="154"/>
      <c r="R40" s="154"/>
      <c r="S40" s="154"/>
      <c r="T40" s="154"/>
      <c r="U40" s="154"/>
      <c r="V40" s="154"/>
      <c r="W40" s="154"/>
      <c r="X40" s="154"/>
      <c r="Y40" s="154"/>
      <c r="Z40" s="154"/>
    </row>
    <row r="41">
      <c r="A41" s="154"/>
      <c r="B41" s="235" t="s">
        <v>280</v>
      </c>
      <c r="C41" s="154"/>
      <c r="D41" s="154"/>
      <c r="E41" s="154"/>
      <c r="F41" s="154"/>
      <c r="G41" s="207" t="s">
        <v>281</v>
      </c>
      <c r="H41" s="154"/>
      <c r="I41" s="154"/>
      <c r="J41" s="217">
        <f>E35</f>
        <v>0.7265206233</v>
      </c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</row>
    <row r="42">
      <c r="A42" s="154"/>
      <c r="B42" s="154"/>
      <c r="C42" s="154"/>
      <c r="D42" s="154"/>
      <c r="E42" s="154"/>
      <c r="F42" s="154"/>
      <c r="G42" s="154"/>
      <c r="H42" s="154"/>
      <c r="I42" s="154"/>
      <c r="J42" s="236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</row>
    <row r="43">
      <c r="A43" s="154"/>
      <c r="B43" s="154"/>
      <c r="C43" s="154"/>
      <c r="D43" s="154"/>
      <c r="E43" s="154"/>
      <c r="F43" s="154"/>
      <c r="G43" s="207" t="s">
        <v>262</v>
      </c>
      <c r="H43" s="154"/>
      <c r="I43" s="154"/>
      <c r="J43" s="217">
        <f>E27</f>
        <v>0.0392</v>
      </c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</row>
    <row r="44">
      <c r="A44" s="154"/>
      <c r="B44" s="154"/>
      <c r="C44" s="154"/>
      <c r="D44" s="154"/>
      <c r="E44" s="154"/>
      <c r="F44" s="154"/>
      <c r="G44" s="207" t="s">
        <v>282</v>
      </c>
      <c r="H44" s="154"/>
      <c r="I44" s="154"/>
      <c r="J44" s="217">
        <f>E34</f>
        <v>0.2734793767</v>
      </c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</row>
    <row r="45">
      <c r="A45" s="154"/>
      <c r="B45" s="154"/>
      <c r="C45" s="154"/>
      <c r="D45" s="154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</row>
    <row r="46">
      <c r="A46" s="154"/>
      <c r="B46" s="154"/>
      <c r="C46" s="154"/>
      <c r="D46" s="154"/>
      <c r="E46" s="154"/>
      <c r="F46" s="154"/>
      <c r="G46" s="237" t="s">
        <v>62</v>
      </c>
      <c r="H46" s="238"/>
      <c r="I46" s="238"/>
      <c r="J46" s="239">
        <f>(J40*J41)+(J43*J44)</f>
        <v>0.08397700857</v>
      </c>
      <c r="K46" s="154"/>
      <c r="L46" s="154"/>
      <c r="M46" s="154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</row>
    <row r="47">
      <c r="A47" s="154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</row>
    <row r="48">
      <c r="A48" s="154"/>
      <c r="B48" s="154"/>
      <c r="C48" s="154"/>
      <c r="D48" s="154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</row>
    <row r="49">
      <c r="A49" s="154"/>
      <c r="B49" s="154"/>
      <c r="C49" s="154"/>
      <c r="D49" s="154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>
      <c r="A50" s="154"/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>
      <c r="A51" s="154"/>
      <c r="B51" s="154"/>
      <c r="C51" s="154"/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>
      <c r="A52" s="154"/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>
      <c r="A53" s="154"/>
      <c r="B53" s="154"/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  <row r="54">
      <c r="A54" s="154"/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</row>
    <row r="55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54"/>
      <c r="V55" s="154"/>
      <c r="W55" s="154"/>
      <c r="X55" s="154"/>
      <c r="Y55" s="154"/>
      <c r="Z55" s="154"/>
    </row>
    <row r="56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</row>
    <row r="57">
      <c r="A57" s="154"/>
      <c r="B57" s="154"/>
      <c r="C57" s="154"/>
      <c r="D57" s="154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</row>
    <row r="58">
      <c r="A58" s="154"/>
      <c r="B58" s="154"/>
      <c r="C58" s="154"/>
      <c r="D58" s="154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</row>
    <row r="59">
      <c r="A59" s="154"/>
      <c r="B59" s="154"/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4"/>
    </row>
    <row r="60">
      <c r="A60" s="154"/>
      <c r="B60" s="154"/>
      <c r="C60" s="154"/>
      <c r="D60" s="154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</row>
    <row r="61">
      <c r="A61" s="154"/>
      <c r="B61" s="154"/>
      <c r="C61" s="154"/>
      <c r="D61" s="154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</row>
    <row r="62">
      <c r="A62" s="154"/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</row>
    <row r="63">
      <c r="A63" s="154"/>
      <c r="B63" s="154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54"/>
      <c r="V63" s="154"/>
      <c r="W63" s="154"/>
      <c r="X63" s="154"/>
      <c r="Y63" s="154"/>
      <c r="Z63" s="154"/>
    </row>
    <row r="64">
      <c r="A64" s="154"/>
      <c r="B64" s="154"/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</row>
    <row r="65">
      <c r="A65" s="154"/>
      <c r="B65" s="154"/>
      <c r="C65" s="154"/>
      <c r="D65" s="154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</row>
    <row r="66">
      <c r="A66" s="154"/>
      <c r="B66" s="154"/>
      <c r="C66" s="154"/>
      <c r="D66" s="154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</row>
    <row r="67">
      <c r="A67" s="154"/>
      <c r="B67" s="154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</row>
    <row r="68">
      <c r="A68" s="154"/>
      <c r="B68" s="154"/>
      <c r="C68" s="154"/>
      <c r="D68" s="154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54"/>
      <c r="V68" s="154"/>
      <c r="W68" s="154"/>
      <c r="X68" s="154"/>
      <c r="Y68" s="154"/>
      <c r="Z68" s="154"/>
    </row>
    <row r="69">
      <c r="A69" s="154"/>
      <c r="B69" s="154"/>
      <c r="C69" s="154"/>
      <c r="D69" s="154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</row>
    <row r="70">
      <c r="A70" s="154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</row>
    <row r="71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>
      <c r="A75" s="154"/>
      <c r="B75" s="154"/>
      <c r="C75" s="154"/>
      <c r="D75" s="154"/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>
      <c r="A978" s="154"/>
      <c r="B978" s="154"/>
      <c r="C978" s="154"/>
      <c r="D978" s="154"/>
      <c r="E978" s="154"/>
      <c r="F978" s="154"/>
      <c r="G978" s="154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>
      <c r="A979" s="154"/>
      <c r="B979" s="154"/>
      <c r="C979" s="154"/>
      <c r="D979" s="154"/>
      <c r="E979" s="154"/>
      <c r="F979" s="154"/>
      <c r="G979" s="154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>
      <c r="A980" s="154"/>
      <c r="B980" s="154"/>
      <c r="C980" s="154"/>
      <c r="D980" s="154"/>
      <c r="E980" s="154"/>
      <c r="F980" s="154"/>
      <c r="G980" s="154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>
      <c r="A981" s="154"/>
      <c r="B981" s="154"/>
      <c r="C981" s="154"/>
      <c r="D981" s="154"/>
      <c r="E981" s="154"/>
      <c r="F981" s="154"/>
      <c r="G981" s="154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>
      <c r="A982" s="154"/>
      <c r="B982" s="154"/>
      <c r="C982" s="154"/>
      <c r="D982" s="154"/>
      <c r="E982" s="154"/>
      <c r="F982" s="154"/>
      <c r="G982" s="154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>
      <c r="A983" s="154"/>
      <c r="B983" s="154"/>
      <c r="C983" s="154"/>
      <c r="D983" s="154"/>
      <c r="E983" s="154"/>
      <c r="F983" s="154"/>
      <c r="G983" s="154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>
      <c r="A984" s="154"/>
      <c r="B984" s="154"/>
      <c r="C984" s="154"/>
      <c r="D984" s="154"/>
      <c r="E984" s="154"/>
      <c r="F984" s="154"/>
      <c r="G984" s="154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>
      <c r="A985" s="154"/>
      <c r="B985" s="154"/>
      <c r="C985" s="154"/>
      <c r="D985" s="154"/>
      <c r="E985" s="154"/>
      <c r="F985" s="154"/>
      <c r="G985" s="154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>
      <c r="A986" s="154"/>
      <c r="B986" s="154"/>
      <c r="C986" s="154"/>
      <c r="D986" s="154"/>
      <c r="E986" s="154"/>
      <c r="F986" s="154"/>
      <c r="G986" s="154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>
      <c r="A987" s="154"/>
      <c r="B987" s="154"/>
      <c r="C987" s="154"/>
      <c r="D987" s="154"/>
      <c r="E987" s="154"/>
      <c r="F987" s="154"/>
      <c r="G987" s="154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>
      <c r="A988" s="154"/>
      <c r="B988" s="154"/>
      <c r="C988" s="154"/>
      <c r="D988" s="154"/>
      <c r="E988" s="154"/>
      <c r="F988" s="154"/>
      <c r="G988" s="154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>
      <c r="A989" s="154"/>
      <c r="B989" s="154"/>
      <c r="C989" s="154"/>
      <c r="D989" s="154"/>
      <c r="E989" s="154"/>
      <c r="F989" s="154"/>
      <c r="G989" s="154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>
      <c r="A990" s="154"/>
      <c r="B990" s="154"/>
      <c r="C990" s="154"/>
      <c r="D990" s="154"/>
      <c r="E990" s="154"/>
      <c r="F990" s="154"/>
      <c r="G990" s="154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>
      <c r="A991" s="154"/>
      <c r="B991" s="154"/>
      <c r="C991" s="154"/>
      <c r="D991" s="154"/>
      <c r="E991" s="154"/>
      <c r="F991" s="154"/>
      <c r="G991" s="154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>
      <c r="A992" s="154"/>
      <c r="B992" s="154"/>
      <c r="C992" s="154"/>
      <c r="D992" s="154"/>
      <c r="E992" s="154"/>
      <c r="F992" s="154"/>
      <c r="G992" s="154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>
      <c r="A993" s="154"/>
      <c r="B993" s="154"/>
      <c r="C993" s="154"/>
      <c r="D993" s="154"/>
      <c r="E993" s="154"/>
      <c r="F993" s="154"/>
      <c r="G993" s="154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>
      <c r="A994" s="154"/>
      <c r="B994" s="154"/>
      <c r="C994" s="154"/>
      <c r="D994" s="154"/>
      <c r="E994" s="154"/>
      <c r="F994" s="154"/>
      <c r="G994" s="154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>
      <c r="A995" s="154"/>
      <c r="B995" s="154"/>
      <c r="C995" s="154"/>
      <c r="D995" s="154"/>
      <c r="E995" s="154"/>
      <c r="F995" s="154"/>
      <c r="G995" s="154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>
      <c r="A996" s="154"/>
      <c r="B996" s="154"/>
      <c r="C996" s="154"/>
      <c r="D996" s="154"/>
      <c r="E996" s="154"/>
      <c r="F996" s="154"/>
      <c r="G996" s="154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>
      <c r="A997" s="154"/>
      <c r="B997" s="154"/>
      <c r="C997" s="154"/>
      <c r="D997" s="154"/>
      <c r="E997" s="154"/>
      <c r="F997" s="154"/>
      <c r="G997" s="154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>
      <c r="A998" s="154"/>
      <c r="B998" s="154"/>
      <c r="C998" s="154"/>
      <c r="D998" s="154"/>
      <c r="E998" s="154"/>
      <c r="F998" s="154"/>
      <c r="G998" s="154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>
      <c r="A999" s="154"/>
      <c r="B999" s="154"/>
      <c r="C999" s="154"/>
      <c r="D999" s="154"/>
      <c r="E999" s="154"/>
      <c r="F999" s="154"/>
      <c r="G999" s="154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>
      <c r="A1000" s="154"/>
      <c r="B1000" s="154"/>
      <c r="C1000" s="154"/>
      <c r="D1000" s="154"/>
      <c r="E1000" s="154"/>
      <c r="F1000" s="154"/>
      <c r="G1000" s="154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  <row r="1001">
      <c r="A1001" s="154"/>
      <c r="B1001" s="154"/>
      <c r="C1001" s="154"/>
      <c r="D1001" s="154"/>
      <c r="E1001" s="154"/>
      <c r="F1001" s="154"/>
      <c r="G1001" s="154"/>
      <c r="H1001" s="154"/>
      <c r="I1001" s="154"/>
      <c r="J1001" s="154"/>
      <c r="K1001" s="154"/>
      <c r="L1001" s="154"/>
      <c r="M1001" s="154"/>
      <c r="N1001" s="154"/>
      <c r="O1001" s="154"/>
      <c r="P1001" s="154"/>
      <c r="Q1001" s="154"/>
      <c r="R1001" s="154"/>
      <c r="S1001" s="154"/>
      <c r="T1001" s="154"/>
      <c r="U1001" s="154"/>
      <c r="V1001" s="154"/>
      <c r="W1001" s="154"/>
      <c r="X1001" s="154"/>
      <c r="Y1001" s="154"/>
      <c r="Z1001" s="154"/>
    </row>
    <row r="1002">
      <c r="A1002" s="154"/>
      <c r="B1002" s="154"/>
      <c r="C1002" s="154"/>
      <c r="D1002" s="154"/>
      <c r="E1002" s="154"/>
      <c r="F1002" s="154"/>
      <c r="G1002" s="154"/>
      <c r="H1002" s="154"/>
      <c r="I1002" s="154"/>
      <c r="J1002" s="154"/>
      <c r="K1002" s="154"/>
      <c r="L1002" s="154"/>
      <c r="M1002" s="154"/>
      <c r="N1002" s="154"/>
      <c r="O1002" s="154"/>
      <c r="P1002" s="154"/>
      <c r="Q1002" s="154"/>
      <c r="R1002" s="154"/>
      <c r="S1002" s="154"/>
      <c r="T1002" s="154"/>
      <c r="U1002" s="154"/>
      <c r="V1002" s="154"/>
      <c r="W1002" s="154"/>
      <c r="X1002" s="154"/>
      <c r="Y1002" s="154"/>
      <c r="Z1002" s="154"/>
    </row>
    <row r="1003">
      <c r="A1003" s="154"/>
      <c r="E1003" s="154"/>
      <c r="F1003" s="154"/>
      <c r="G1003" s="154"/>
      <c r="H1003" s="154"/>
      <c r="I1003" s="154"/>
      <c r="J1003" s="154"/>
      <c r="K1003" s="154"/>
      <c r="L1003" s="154"/>
      <c r="M1003" s="154"/>
      <c r="N1003" s="154"/>
      <c r="O1003" s="154"/>
      <c r="P1003" s="154"/>
      <c r="Q1003" s="154"/>
      <c r="R1003" s="154"/>
      <c r="S1003" s="154"/>
      <c r="T1003" s="154"/>
      <c r="U1003" s="154"/>
      <c r="V1003" s="154"/>
      <c r="W1003" s="154"/>
      <c r="X1003" s="154"/>
      <c r="Y1003" s="154"/>
      <c r="Z1003" s="154"/>
    </row>
    <row r="1004">
      <c r="A1004" s="154"/>
      <c r="E1004" s="154"/>
      <c r="F1004" s="154"/>
      <c r="G1004" s="154"/>
      <c r="H1004" s="154"/>
      <c r="I1004" s="154"/>
      <c r="J1004" s="154"/>
      <c r="K1004" s="154"/>
      <c r="L1004" s="154"/>
      <c r="M1004" s="154"/>
      <c r="N1004" s="154"/>
      <c r="O1004" s="154"/>
      <c r="P1004" s="154"/>
      <c r="Q1004" s="154"/>
      <c r="R1004" s="154"/>
      <c r="S1004" s="154"/>
      <c r="T1004" s="154"/>
      <c r="U1004" s="154"/>
      <c r="V1004" s="154"/>
      <c r="W1004" s="154"/>
      <c r="X1004" s="154"/>
      <c r="Y1004" s="154"/>
      <c r="Z1004" s="15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57"/>
  </cols>
  <sheetData>
    <row r="1">
      <c r="A1" s="154"/>
      <c r="B1" s="240" t="s">
        <v>283</v>
      </c>
      <c r="C1" s="241"/>
      <c r="D1" s="156"/>
      <c r="E1" s="154"/>
      <c r="F1" s="154"/>
      <c r="G1" s="242"/>
      <c r="H1" s="154"/>
      <c r="I1" s="154"/>
      <c r="J1" s="154"/>
      <c r="K1" s="242"/>
      <c r="L1" s="154"/>
      <c r="M1" s="154"/>
      <c r="N1" s="154"/>
      <c r="O1" s="242"/>
      <c r="P1" s="154"/>
      <c r="Q1" s="154"/>
      <c r="R1" s="154"/>
      <c r="S1" s="243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244"/>
      <c r="AH1" s="154"/>
      <c r="AI1" s="154"/>
      <c r="AJ1" s="154"/>
      <c r="AK1" s="244"/>
      <c r="AL1" s="154"/>
      <c r="AM1" s="242"/>
      <c r="AN1" s="154"/>
      <c r="AO1" s="154"/>
      <c r="AP1" s="154"/>
    </row>
    <row r="2">
      <c r="A2" s="154"/>
      <c r="B2" s="154"/>
      <c r="C2" s="242"/>
      <c r="D2" s="154"/>
      <c r="E2" s="154"/>
      <c r="F2" s="154"/>
      <c r="G2" s="242"/>
      <c r="H2" s="154"/>
      <c r="I2" s="154"/>
      <c r="J2" s="154"/>
      <c r="K2" s="242"/>
      <c r="L2" s="154"/>
      <c r="M2" s="154"/>
      <c r="N2" s="154"/>
      <c r="O2" s="242"/>
      <c r="P2" s="154"/>
      <c r="Q2" s="154"/>
      <c r="R2" s="154"/>
      <c r="S2" s="243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244"/>
      <c r="AH2" s="154"/>
      <c r="AI2" s="154"/>
      <c r="AJ2" s="154"/>
      <c r="AK2" s="244"/>
      <c r="AL2" s="154"/>
      <c r="AM2" s="242"/>
      <c r="AN2" s="154"/>
      <c r="AO2" s="154"/>
      <c r="AP2" s="154"/>
    </row>
    <row r="3">
      <c r="A3" s="154"/>
      <c r="B3" s="245" t="s">
        <v>284</v>
      </c>
      <c r="C3" s="246">
        <f>SLOPE(D9:D500,$AN9:$AN500)</f>
        <v>0.9073805157</v>
      </c>
      <c r="D3" s="154"/>
      <c r="E3" s="243">
        <f>MIN(C9:C260)</f>
        <v>5.7</v>
      </c>
      <c r="F3" s="245" t="s">
        <v>284</v>
      </c>
      <c r="G3" s="246">
        <f>SLOPE(H9:H500,$AN9:$AN500)</f>
        <v>0.7930172565</v>
      </c>
      <c r="H3" s="154"/>
      <c r="I3" s="154"/>
      <c r="J3" s="245" t="s">
        <v>284</v>
      </c>
      <c r="K3" s="246">
        <f>SLOPE(L9:L500,$AN9:$AN500)</f>
        <v>0.874558967</v>
      </c>
      <c r="L3" s="154"/>
      <c r="M3" s="154"/>
      <c r="N3" s="245" t="s">
        <v>284</v>
      </c>
      <c r="O3" s="246">
        <f>SLOPE(P9:P500,$AN9:$AN500)</f>
        <v>0.1723213416</v>
      </c>
      <c r="P3" s="154"/>
      <c r="Q3" s="154"/>
      <c r="R3" s="245" t="s">
        <v>284</v>
      </c>
      <c r="S3" s="246">
        <f>SLOPE(T9:T500,$AN9:$AN500)</f>
        <v>0.7519366494</v>
      </c>
      <c r="T3" s="154"/>
      <c r="U3" s="154"/>
      <c r="V3" s="245" t="s">
        <v>284</v>
      </c>
      <c r="W3" s="246">
        <f>SLOPE(X9:X500,$AN9:$AN500)</f>
        <v>0.1008421421</v>
      </c>
      <c r="X3" s="154"/>
      <c r="Y3" s="154"/>
      <c r="Z3" s="245" t="s">
        <v>284</v>
      </c>
      <c r="AA3" s="246">
        <f>SLOPE(AB9:AB500,$AN9:$AN500)</f>
        <v>0.1049737289</v>
      </c>
      <c r="AB3" s="154"/>
      <c r="AC3" s="154"/>
      <c r="AD3" s="245" t="s">
        <v>284</v>
      </c>
      <c r="AE3" s="246">
        <f>SLOPE(AF9:AF500,$AN9:$AN500)</f>
        <v>0.8169246626</v>
      </c>
      <c r="AF3" s="154"/>
      <c r="AG3" s="244"/>
      <c r="AH3" s="245" t="s">
        <v>284</v>
      </c>
      <c r="AI3" s="246">
        <f>SLOPE(AJ9:AJ500,$AN9:$AN500)</f>
        <v>0.04677871203</v>
      </c>
      <c r="AJ3" s="154"/>
      <c r="AK3" s="244"/>
      <c r="AL3" s="154"/>
      <c r="AM3" s="242"/>
      <c r="AN3" s="154"/>
      <c r="AO3" s="154"/>
      <c r="AP3" s="154"/>
    </row>
    <row r="4">
      <c r="A4" s="154"/>
      <c r="B4" s="245" t="s">
        <v>285</v>
      </c>
      <c r="C4" s="246">
        <f>(0.75*C3)+(0.25*1)</f>
        <v>0.9305353868</v>
      </c>
      <c r="D4" s="154"/>
      <c r="E4" s="243">
        <f>MAX(C9:C260)</f>
        <v>13.16</v>
      </c>
      <c r="F4" s="245" t="s">
        <v>285</v>
      </c>
      <c r="G4" s="246">
        <f>(0.75*G3)+(0.25*1)</f>
        <v>0.8447629424</v>
      </c>
      <c r="H4" s="154"/>
      <c r="I4" s="154"/>
      <c r="J4" s="245" t="s">
        <v>285</v>
      </c>
      <c r="K4" s="246">
        <f>(0.75*K3)+(0.25*1)</f>
        <v>0.9059192253</v>
      </c>
      <c r="L4" s="154"/>
      <c r="M4" s="154"/>
      <c r="N4" s="245" t="s">
        <v>285</v>
      </c>
      <c r="O4" s="246">
        <f>(0.75*O3)+(0.25*1)</f>
        <v>0.3792410062</v>
      </c>
      <c r="P4" s="154"/>
      <c r="Q4" s="154"/>
      <c r="R4" s="245" t="s">
        <v>285</v>
      </c>
      <c r="S4" s="246">
        <f>(0.75*S3)+(0.25*1)</f>
        <v>0.813952487</v>
      </c>
      <c r="T4" s="154"/>
      <c r="U4" s="154"/>
      <c r="V4" s="245" t="s">
        <v>285</v>
      </c>
      <c r="W4" s="246">
        <f>(0.75*W3)+(0.25*1)</f>
        <v>0.3256316065</v>
      </c>
      <c r="X4" s="154"/>
      <c r="Y4" s="154"/>
      <c r="Z4" s="245" t="s">
        <v>285</v>
      </c>
      <c r="AA4" s="246">
        <f>(0.75*AA3)+(0.25*1)</f>
        <v>0.3287302967</v>
      </c>
      <c r="AB4" s="154"/>
      <c r="AC4" s="154"/>
      <c r="AD4" s="245" t="s">
        <v>285</v>
      </c>
      <c r="AE4" s="246">
        <f>(0.75*AE3)+(0.25*1)</f>
        <v>0.862693497</v>
      </c>
      <c r="AF4" s="154"/>
      <c r="AG4" s="244"/>
      <c r="AH4" s="245" t="s">
        <v>285</v>
      </c>
      <c r="AI4" s="246">
        <f>(0.75*AI3)+(0.25*1)</f>
        <v>0.285084034</v>
      </c>
      <c r="AJ4" s="154"/>
      <c r="AK4" s="244"/>
      <c r="AL4" s="154"/>
      <c r="AM4" s="242"/>
      <c r="AN4" s="154"/>
      <c r="AO4" s="154"/>
      <c r="AP4" s="154"/>
    </row>
    <row r="5">
      <c r="A5" s="154"/>
      <c r="B5" s="154"/>
      <c r="C5" s="242"/>
      <c r="D5" s="154"/>
      <c r="E5" s="154"/>
      <c r="F5" s="154"/>
      <c r="G5" s="242"/>
      <c r="H5" s="154"/>
      <c r="I5" s="154"/>
      <c r="J5" s="154"/>
      <c r="K5" s="242"/>
      <c r="L5" s="154"/>
      <c r="M5" s="154"/>
      <c r="N5" s="154"/>
      <c r="O5" s="242"/>
      <c r="P5" s="154"/>
      <c r="Q5" s="154"/>
      <c r="R5" s="154"/>
      <c r="S5" s="243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244"/>
      <c r="AH5" s="154"/>
      <c r="AI5" s="154"/>
      <c r="AJ5" s="154"/>
      <c r="AK5" s="244"/>
      <c r="AL5" s="154"/>
      <c r="AM5" s="242"/>
      <c r="AN5" s="154"/>
      <c r="AO5" s="154"/>
      <c r="AP5" s="154"/>
    </row>
    <row r="6">
      <c r="A6" s="154"/>
      <c r="B6" s="247" t="s">
        <v>176</v>
      </c>
      <c r="E6" s="154"/>
      <c r="F6" s="247" t="s">
        <v>178</v>
      </c>
      <c r="I6" s="154"/>
      <c r="J6" s="247" t="s">
        <v>179</v>
      </c>
      <c r="M6" s="154"/>
      <c r="N6" s="247" t="s">
        <v>180</v>
      </c>
      <c r="Q6" s="154"/>
      <c r="R6" s="247" t="s">
        <v>182</v>
      </c>
      <c r="U6" s="154"/>
      <c r="V6" s="247" t="s">
        <v>286</v>
      </c>
      <c r="Y6" s="154"/>
      <c r="Z6" s="247" t="s">
        <v>186</v>
      </c>
      <c r="AC6" s="154"/>
      <c r="AD6" s="247" t="s">
        <v>187</v>
      </c>
      <c r="AG6" s="248"/>
      <c r="AH6" s="247" t="s">
        <v>287</v>
      </c>
      <c r="AK6" s="248"/>
      <c r="AL6" s="247" t="s">
        <v>288</v>
      </c>
      <c r="AO6" s="154"/>
      <c r="AP6" s="154"/>
    </row>
    <row r="7">
      <c r="A7" s="154"/>
      <c r="B7" s="154"/>
      <c r="C7" s="242"/>
      <c r="D7" s="154"/>
      <c r="E7" s="154"/>
      <c r="F7" s="154"/>
      <c r="G7" s="242"/>
      <c r="H7" s="154"/>
      <c r="I7" s="154"/>
      <c r="J7" s="154"/>
      <c r="K7" s="242"/>
      <c r="L7" s="154"/>
      <c r="M7" s="154"/>
      <c r="N7" s="154"/>
      <c r="O7" s="242"/>
      <c r="P7" s="154"/>
      <c r="Q7" s="154"/>
      <c r="R7" s="154"/>
      <c r="S7" s="243"/>
      <c r="T7" s="154"/>
      <c r="U7" s="154"/>
      <c r="V7" s="207"/>
      <c r="W7" s="249"/>
      <c r="X7" s="207"/>
      <c r="Y7" s="154"/>
      <c r="Z7" s="207"/>
      <c r="AA7" s="249"/>
      <c r="AB7" s="207"/>
      <c r="AC7" s="154"/>
      <c r="AD7" s="207"/>
      <c r="AE7" s="249"/>
      <c r="AF7" s="207"/>
      <c r="AG7" s="244"/>
      <c r="AH7" s="207"/>
      <c r="AI7" s="249"/>
      <c r="AJ7" s="207"/>
      <c r="AK7" s="244"/>
      <c r="AL7" s="154"/>
      <c r="AM7" s="242"/>
      <c r="AN7" s="154"/>
      <c r="AO7" s="154"/>
      <c r="AP7" s="154"/>
    </row>
    <row r="8">
      <c r="A8" s="154"/>
      <c r="B8" s="250" t="s">
        <v>199</v>
      </c>
      <c r="C8" s="251" t="s">
        <v>289</v>
      </c>
      <c r="D8" s="252" t="s">
        <v>290</v>
      </c>
      <c r="E8" s="154"/>
      <c r="F8" s="250" t="s">
        <v>199</v>
      </c>
      <c r="G8" s="251" t="s">
        <v>289</v>
      </c>
      <c r="H8" s="252" t="s">
        <v>290</v>
      </c>
      <c r="I8" s="154"/>
      <c r="J8" s="250" t="s">
        <v>199</v>
      </c>
      <c r="K8" s="251" t="s">
        <v>289</v>
      </c>
      <c r="L8" s="252" t="s">
        <v>290</v>
      </c>
      <c r="M8" s="154"/>
      <c r="N8" s="250" t="s">
        <v>199</v>
      </c>
      <c r="O8" s="251" t="s">
        <v>289</v>
      </c>
      <c r="P8" s="252" t="s">
        <v>290</v>
      </c>
      <c r="Q8" s="154"/>
      <c r="R8" s="250" t="s">
        <v>199</v>
      </c>
      <c r="S8" s="253" t="s">
        <v>289</v>
      </c>
      <c r="T8" s="252" t="s">
        <v>290</v>
      </c>
      <c r="U8" s="154"/>
      <c r="V8" s="250" t="s">
        <v>199</v>
      </c>
      <c r="W8" s="251" t="s">
        <v>289</v>
      </c>
      <c r="X8" s="252" t="s">
        <v>290</v>
      </c>
      <c r="Y8" s="154"/>
      <c r="Z8" s="250" t="s">
        <v>199</v>
      </c>
      <c r="AA8" s="251" t="s">
        <v>289</v>
      </c>
      <c r="AB8" s="252" t="s">
        <v>290</v>
      </c>
      <c r="AC8" s="154"/>
      <c r="AD8" s="250" t="s">
        <v>199</v>
      </c>
      <c r="AE8" s="251" t="s">
        <v>289</v>
      </c>
      <c r="AF8" s="252" t="s">
        <v>290</v>
      </c>
      <c r="AG8" s="254"/>
      <c r="AH8" s="250" t="s">
        <v>199</v>
      </c>
      <c r="AI8" s="251" t="s">
        <v>289</v>
      </c>
      <c r="AJ8" s="252" t="s">
        <v>290</v>
      </c>
      <c r="AK8" s="254"/>
      <c r="AL8" s="250" t="s">
        <v>199</v>
      </c>
      <c r="AM8" s="251" t="s">
        <v>289</v>
      </c>
      <c r="AN8" s="252" t="s">
        <v>290</v>
      </c>
      <c r="AO8" s="154"/>
      <c r="AP8" s="154"/>
    </row>
    <row r="9">
      <c r="A9" s="154"/>
      <c r="B9" s="255">
        <v>46136.0</v>
      </c>
      <c r="C9" s="174">
        <v>11.26</v>
      </c>
      <c r="D9" s="256">
        <f t="shared" ref="D9:D500" si="1">(C9-C10)/C10</f>
        <v>0.3093023256</v>
      </c>
      <c r="E9" s="154"/>
      <c r="F9" s="255">
        <v>46136.0</v>
      </c>
      <c r="G9" s="174">
        <v>14.59</v>
      </c>
      <c r="H9" s="256">
        <f t="shared" ref="H9:H500" si="2">(G9-G10)/G10</f>
        <v>-0.01084745763</v>
      </c>
      <c r="I9" s="154"/>
      <c r="J9" s="255">
        <v>46136.0</v>
      </c>
      <c r="K9" s="174">
        <v>30.64</v>
      </c>
      <c r="L9" s="256">
        <f t="shared" ref="L9:L500" si="3">(K9-K10)/K10</f>
        <v>-0.01826337712</v>
      </c>
      <c r="M9" s="154"/>
      <c r="N9" s="255">
        <v>46136.0</v>
      </c>
      <c r="O9" s="174">
        <v>1385.0</v>
      </c>
      <c r="P9" s="256">
        <f t="shared" ref="P9:P500" si="4">(O9-O10)/O10</f>
        <v>-0.01247771836</v>
      </c>
      <c r="Q9" s="154"/>
      <c r="R9" s="255">
        <v>46136.0</v>
      </c>
      <c r="S9" s="174">
        <v>11.82</v>
      </c>
      <c r="T9" s="256">
        <f t="shared" ref="T9:T500" si="5">(S9-S10)/S10</f>
        <v>0.01112061591</v>
      </c>
      <c r="U9" s="154"/>
      <c r="V9" s="255">
        <v>46136.0</v>
      </c>
      <c r="W9" s="174">
        <v>1317.1</v>
      </c>
      <c r="X9" s="256">
        <f t="shared" ref="X9:X500" si="6">(W9-W10)/W10</f>
        <v>-0.01044327573</v>
      </c>
      <c r="Y9" s="154"/>
      <c r="Z9" s="255">
        <v>46136.0</v>
      </c>
      <c r="AA9" s="174">
        <v>1295.0</v>
      </c>
      <c r="AB9" s="256">
        <f t="shared" ref="AB9:AB500" si="7">(AA9-AA10)/AA10</f>
        <v>-0.008346734053</v>
      </c>
      <c r="AC9" s="154"/>
      <c r="AD9" s="255">
        <v>46136.0</v>
      </c>
      <c r="AE9" s="174">
        <v>3.38</v>
      </c>
      <c r="AF9" s="256">
        <f t="shared" ref="AF9:AF500" si="8">(AE9-AE10)/AE10</f>
        <v>0</v>
      </c>
      <c r="AG9" s="257"/>
      <c r="AH9" s="255">
        <v>46136.0</v>
      </c>
      <c r="AI9" s="174">
        <v>349.85</v>
      </c>
      <c r="AJ9" s="256">
        <f t="shared" ref="AJ9:AJ500" si="9">(AI9-AI10)/AI10</f>
        <v>-0.02276536313</v>
      </c>
      <c r="AK9" s="257"/>
      <c r="AL9" s="255">
        <v>46136.0</v>
      </c>
      <c r="AM9" s="174">
        <v>7165.08</v>
      </c>
      <c r="AN9" s="256">
        <f t="shared" ref="AN9:AN500" si="10">(AM9-AM10)/AM10</f>
        <v>0.00797366496</v>
      </c>
      <c r="AO9" s="154"/>
      <c r="AP9" s="154"/>
    </row>
    <row r="10">
      <c r="A10" s="154"/>
      <c r="B10" s="255">
        <v>46135.0</v>
      </c>
      <c r="C10" s="174">
        <v>8.6</v>
      </c>
      <c r="D10" s="256">
        <f t="shared" si="1"/>
        <v>-0.0590809628</v>
      </c>
      <c r="E10" s="154"/>
      <c r="F10" s="255">
        <v>46135.0</v>
      </c>
      <c r="G10" s="174">
        <v>14.75</v>
      </c>
      <c r="H10" s="256">
        <f t="shared" si="2"/>
        <v>0.01584022039</v>
      </c>
      <c r="I10" s="154"/>
      <c r="J10" s="255">
        <v>46135.0</v>
      </c>
      <c r="K10" s="174">
        <v>31.21</v>
      </c>
      <c r="L10" s="256">
        <f t="shared" si="3"/>
        <v>-0.0003203074952</v>
      </c>
      <c r="M10" s="154"/>
      <c r="N10" s="255">
        <v>46135.0</v>
      </c>
      <c r="O10" s="174">
        <v>1402.5</v>
      </c>
      <c r="P10" s="256">
        <f t="shared" si="4"/>
        <v>0.06089258699</v>
      </c>
      <c r="Q10" s="154"/>
      <c r="R10" s="255">
        <v>46135.0</v>
      </c>
      <c r="S10" s="174">
        <v>11.69</v>
      </c>
      <c r="T10" s="256">
        <f t="shared" si="5"/>
        <v>-0.01099830795</v>
      </c>
      <c r="U10" s="154"/>
      <c r="V10" s="255">
        <v>46135.0</v>
      </c>
      <c r="W10" s="174">
        <v>1331.0</v>
      </c>
      <c r="X10" s="256">
        <f t="shared" si="6"/>
        <v>0.09367296631</v>
      </c>
      <c r="Y10" s="154"/>
      <c r="Z10" s="255">
        <v>46135.0</v>
      </c>
      <c r="AA10" s="174">
        <v>1305.9</v>
      </c>
      <c r="AB10" s="256">
        <f t="shared" si="7"/>
        <v>0.05629701529</v>
      </c>
      <c r="AC10" s="154"/>
      <c r="AD10" s="255">
        <v>46135.0</v>
      </c>
      <c r="AE10" s="174">
        <v>3.38</v>
      </c>
      <c r="AF10" s="256">
        <f t="shared" si="8"/>
        <v>-0.03428571429</v>
      </c>
      <c r="AG10" s="257"/>
      <c r="AH10" s="255">
        <v>46135.0</v>
      </c>
      <c r="AI10" s="174">
        <v>358.0</v>
      </c>
      <c r="AJ10" s="256">
        <f t="shared" si="9"/>
        <v>0.0005589714925</v>
      </c>
      <c r="AK10" s="257"/>
      <c r="AL10" s="255">
        <v>46135.0</v>
      </c>
      <c r="AM10" s="174">
        <v>7108.4</v>
      </c>
      <c r="AN10" s="256">
        <f t="shared" si="10"/>
        <v>-0.004132868211</v>
      </c>
      <c r="AO10" s="154"/>
      <c r="AP10" s="154"/>
    </row>
    <row r="11">
      <c r="A11" s="154"/>
      <c r="B11" s="255">
        <v>46134.0</v>
      </c>
      <c r="C11" s="174">
        <v>9.14</v>
      </c>
      <c r="D11" s="256">
        <f t="shared" si="1"/>
        <v>0.03393665158</v>
      </c>
      <c r="E11" s="154"/>
      <c r="F11" s="255">
        <v>46134.0</v>
      </c>
      <c r="G11" s="174">
        <v>14.52</v>
      </c>
      <c r="H11" s="256">
        <f t="shared" si="2"/>
        <v>-0.01425661914</v>
      </c>
      <c r="I11" s="154"/>
      <c r="J11" s="255">
        <v>46134.0</v>
      </c>
      <c r="K11" s="174">
        <v>31.22</v>
      </c>
      <c r="L11" s="256">
        <f t="shared" si="3"/>
        <v>-0.002237136465</v>
      </c>
      <c r="M11" s="154"/>
      <c r="N11" s="255">
        <v>46134.0</v>
      </c>
      <c r="O11" s="174">
        <v>1322.0</v>
      </c>
      <c r="P11" s="256">
        <f t="shared" si="4"/>
        <v>-0.01928783383</v>
      </c>
      <c r="Q11" s="154"/>
      <c r="R11" s="255">
        <v>46134.0</v>
      </c>
      <c r="S11" s="174">
        <v>11.82</v>
      </c>
      <c r="T11" s="256">
        <f t="shared" si="5"/>
        <v>0.007672634271</v>
      </c>
      <c r="U11" s="154"/>
      <c r="V11" s="255">
        <v>46134.0</v>
      </c>
      <c r="W11" s="174">
        <v>1217.0</v>
      </c>
      <c r="X11" s="256">
        <f t="shared" si="6"/>
        <v>-0.002949369163</v>
      </c>
      <c r="Y11" s="154"/>
      <c r="Z11" s="255">
        <v>46134.0</v>
      </c>
      <c r="AA11" s="174">
        <v>1236.3</v>
      </c>
      <c r="AB11" s="256">
        <f t="shared" si="7"/>
        <v>0.0030831643</v>
      </c>
      <c r="AC11" s="154"/>
      <c r="AD11" s="255">
        <v>46134.0</v>
      </c>
      <c r="AE11" s="174">
        <v>3.5</v>
      </c>
      <c r="AF11" s="256">
        <f t="shared" si="8"/>
        <v>-0.002849002849</v>
      </c>
      <c r="AG11" s="257"/>
      <c r="AH11" s="255">
        <v>46134.0</v>
      </c>
      <c r="AI11" s="174">
        <v>357.8</v>
      </c>
      <c r="AJ11" s="256">
        <f t="shared" si="9"/>
        <v>-0.0102351314</v>
      </c>
      <c r="AK11" s="257"/>
      <c r="AL11" s="255">
        <v>46134.0</v>
      </c>
      <c r="AM11" s="174">
        <v>7137.9</v>
      </c>
      <c r="AN11" s="256">
        <f t="shared" si="10"/>
        <v>0.01046006447</v>
      </c>
      <c r="AO11" s="154"/>
      <c r="AP11" s="154"/>
    </row>
    <row r="12">
      <c r="A12" s="154"/>
      <c r="B12" s="255">
        <v>46133.0</v>
      </c>
      <c r="C12" s="174">
        <v>8.84</v>
      </c>
      <c r="D12" s="256">
        <f t="shared" si="1"/>
        <v>-0.04535637149</v>
      </c>
      <c r="E12" s="154"/>
      <c r="F12" s="255">
        <v>46133.0</v>
      </c>
      <c r="G12" s="174">
        <v>14.73</v>
      </c>
      <c r="H12" s="256">
        <f t="shared" si="2"/>
        <v>-0.009414929388</v>
      </c>
      <c r="I12" s="154"/>
      <c r="J12" s="255">
        <v>46133.0</v>
      </c>
      <c r="K12" s="174">
        <v>31.29</v>
      </c>
      <c r="L12" s="256">
        <f t="shared" si="3"/>
        <v>-0.02279825109</v>
      </c>
      <c r="M12" s="154"/>
      <c r="N12" s="255">
        <v>46133.0</v>
      </c>
      <c r="O12" s="174">
        <v>1348.0</v>
      </c>
      <c r="P12" s="256">
        <f t="shared" si="4"/>
        <v>-0.02141560799</v>
      </c>
      <c r="Q12" s="154"/>
      <c r="R12" s="255">
        <v>46133.0</v>
      </c>
      <c r="S12" s="174">
        <v>11.73</v>
      </c>
      <c r="T12" s="256">
        <f t="shared" si="5"/>
        <v>-0.02574750831</v>
      </c>
      <c r="U12" s="154"/>
      <c r="V12" s="255">
        <v>46133.0</v>
      </c>
      <c r="W12" s="174">
        <v>1220.6</v>
      </c>
      <c r="X12" s="256">
        <f t="shared" si="6"/>
        <v>-0.009735518416</v>
      </c>
      <c r="Y12" s="154"/>
      <c r="Z12" s="255">
        <v>46133.0</v>
      </c>
      <c r="AA12" s="174">
        <v>1232.5</v>
      </c>
      <c r="AB12" s="256">
        <f t="shared" si="7"/>
        <v>0.002440016267</v>
      </c>
      <c r="AC12" s="154"/>
      <c r="AD12" s="255">
        <v>46133.0</v>
      </c>
      <c r="AE12" s="174">
        <v>3.51</v>
      </c>
      <c r="AF12" s="256">
        <f t="shared" si="8"/>
        <v>-0.03038674033</v>
      </c>
      <c r="AG12" s="257"/>
      <c r="AH12" s="255">
        <v>46133.0</v>
      </c>
      <c r="AI12" s="174">
        <v>361.5</v>
      </c>
      <c r="AJ12" s="256">
        <f t="shared" si="9"/>
        <v>0.006823562178</v>
      </c>
      <c r="AK12" s="257"/>
      <c r="AL12" s="255">
        <v>46133.0</v>
      </c>
      <c r="AM12" s="174">
        <v>7064.01</v>
      </c>
      <c r="AN12" s="256">
        <f t="shared" si="10"/>
        <v>-0.006348165882</v>
      </c>
      <c r="AO12" s="154"/>
      <c r="AP12" s="154"/>
    </row>
    <row r="13">
      <c r="A13" s="154"/>
      <c r="B13" s="255">
        <v>46132.0</v>
      </c>
      <c r="C13" s="174">
        <v>9.26</v>
      </c>
      <c r="D13" s="256">
        <f t="shared" si="1"/>
        <v>-0.0512295082</v>
      </c>
      <c r="E13" s="154"/>
      <c r="F13" s="255">
        <v>46132.0</v>
      </c>
      <c r="G13" s="174">
        <v>14.87</v>
      </c>
      <c r="H13" s="256">
        <f t="shared" si="2"/>
        <v>0.01294277929</v>
      </c>
      <c r="I13" s="154"/>
      <c r="J13" s="255">
        <v>46132.0</v>
      </c>
      <c r="K13" s="174">
        <v>32.02</v>
      </c>
      <c r="L13" s="256">
        <f t="shared" si="3"/>
        <v>-0.01172839506</v>
      </c>
      <c r="M13" s="154"/>
      <c r="N13" s="255">
        <v>46132.0</v>
      </c>
      <c r="O13" s="174">
        <v>1377.5</v>
      </c>
      <c r="P13" s="256">
        <f t="shared" si="4"/>
        <v>-0.001087744743</v>
      </c>
      <c r="Q13" s="154"/>
      <c r="R13" s="255">
        <v>46132.0</v>
      </c>
      <c r="S13" s="174">
        <v>12.04</v>
      </c>
      <c r="T13" s="256">
        <f t="shared" si="5"/>
        <v>0.02033898305</v>
      </c>
      <c r="U13" s="154"/>
      <c r="V13" s="255">
        <v>46132.0</v>
      </c>
      <c r="W13" s="174">
        <v>1232.6</v>
      </c>
      <c r="X13" s="256">
        <f t="shared" si="6"/>
        <v>-0.002508699523</v>
      </c>
      <c r="Y13" s="154"/>
      <c r="Z13" s="255">
        <v>46132.0</v>
      </c>
      <c r="AA13" s="174">
        <v>1229.5</v>
      </c>
      <c r="AB13" s="256">
        <f t="shared" si="7"/>
        <v>-0.009107027724</v>
      </c>
      <c r="AC13" s="154"/>
      <c r="AD13" s="255">
        <v>46132.0</v>
      </c>
      <c r="AE13" s="174">
        <v>3.62</v>
      </c>
      <c r="AF13" s="256">
        <f t="shared" si="8"/>
        <v>0.002770083102</v>
      </c>
      <c r="AG13" s="257"/>
      <c r="AH13" s="255">
        <v>46132.0</v>
      </c>
      <c r="AI13" s="174">
        <v>359.05</v>
      </c>
      <c r="AJ13" s="256">
        <f t="shared" si="9"/>
        <v>0.002652890254</v>
      </c>
      <c r="AK13" s="257"/>
      <c r="AL13" s="255">
        <v>46132.0</v>
      </c>
      <c r="AM13" s="174">
        <v>7109.14</v>
      </c>
      <c r="AN13" s="256">
        <f t="shared" si="10"/>
        <v>-0.0023743836</v>
      </c>
      <c r="AO13" s="154"/>
      <c r="AP13" s="154"/>
    </row>
    <row r="14">
      <c r="A14" s="154"/>
      <c r="B14" s="255">
        <v>46129.0</v>
      </c>
      <c r="C14" s="174">
        <v>9.76</v>
      </c>
      <c r="D14" s="256">
        <f t="shared" si="1"/>
        <v>0.04608788853</v>
      </c>
      <c r="E14" s="154"/>
      <c r="F14" s="255">
        <v>46129.0</v>
      </c>
      <c r="G14" s="174">
        <v>14.68</v>
      </c>
      <c r="H14" s="256">
        <f t="shared" si="2"/>
        <v>0.04782298358</v>
      </c>
      <c r="I14" s="154"/>
      <c r="J14" s="255">
        <v>46129.0</v>
      </c>
      <c r="K14" s="174">
        <v>32.4</v>
      </c>
      <c r="L14" s="256">
        <f t="shared" si="3"/>
        <v>0.03646833013</v>
      </c>
      <c r="M14" s="154"/>
      <c r="N14" s="255">
        <v>46129.0</v>
      </c>
      <c r="O14" s="174">
        <v>1379.0</v>
      </c>
      <c r="P14" s="256">
        <f t="shared" si="4"/>
        <v>0.02680565897</v>
      </c>
      <c r="Q14" s="154"/>
      <c r="R14" s="255">
        <v>46129.0</v>
      </c>
      <c r="S14" s="174">
        <v>11.8</v>
      </c>
      <c r="T14" s="256">
        <f t="shared" si="5"/>
        <v>0.03327495622</v>
      </c>
      <c r="U14" s="154"/>
      <c r="V14" s="255">
        <v>46129.0</v>
      </c>
      <c r="W14" s="174">
        <v>1235.7</v>
      </c>
      <c r="X14" s="256">
        <f t="shared" si="6"/>
        <v>0.01170787621</v>
      </c>
      <c r="Y14" s="154"/>
      <c r="Z14" s="255">
        <v>46129.0</v>
      </c>
      <c r="AA14" s="174">
        <v>1240.8</v>
      </c>
      <c r="AB14" s="256">
        <f t="shared" si="7"/>
        <v>0.008370581065</v>
      </c>
      <c r="AC14" s="154"/>
      <c r="AD14" s="255">
        <v>46129.0</v>
      </c>
      <c r="AE14" s="174">
        <v>3.61</v>
      </c>
      <c r="AF14" s="256">
        <f t="shared" si="8"/>
        <v>-0.002762430939</v>
      </c>
      <c r="AG14" s="257"/>
      <c r="AH14" s="255">
        <v>46129.0</v>
      </c>
      <c r="AI14" s="174">
        <v>358.1</v>
      </c>
      <c r="AJ14" s="256">
        <f t="shared" si="9"/>
        <v>0.02095509622</v>
      </c>
      <c r="AK14" s="257"/>
      <c r="AL14" s="255">
        <v>46129.0</v>
      </c>
      <c r="AM14" s="174">
        <v>7126.06</v>
      </c>
      <c r="AN14" s="256">
        <f t="shared" si="10"/>
        <v>0.01204042447</v>
      </c>
      <c r="AO14" s="154"/>
      <c r="AP14" s="154"/>
    </row>
    <row r="15">
      <c r="A15" s="154"/>
      <c r="B15" s="255">
        <v>46128.0</v>
      </c>
      <c r="C15" s="174">
        <v>9.33</v>
      </c>
      <c r="D15" s="256">
        <f t="shared" si="1"/>
        <v>0.01302931596</v>
      </c>
      <c r="E15" s="154"/>
      <c r="F15" s="255">
        <v>46128.0</v>
      </c>
      <c r="G15" s="174">
        <v>14.01</v>
      </c>
      <c r="H15" s="256">
        <f t="shared" si="2"/>
        <v>0.01082251082</v>
      </c>
      <c r="I15" s="154"/>
      <c r="J15" s="255">
        <v>46128.0</v>
      </c>
      <c r="K15" s="174">
        <v>31.26</v>
      </c>
      <c r="L15" s="256">
        <f t="shared" si="3"/>
        <v>-0.01107244543</v>
      </c>
      <c r="M15" s="154"/>
      <c r="N15" s="255">
        <v>46128.0</v>
      </c>
      <c r="O15" s="174">
        <v>1343.0</v>
      </c>
      <c r="P15" s="256">
        <f t="shared" si="4"/>
        <v>-0.003709198813</v>
      </c>
      <c r="Q15" s="154"/>
      <c r="R15" s="255">
        <v>46128.0</v>
      </c>
      <c r="S15" s="174">
        <v>11.42</v>
      </c>
      <c r="T15" s="256">
        <f t="shared" si="5"/>
        <v>0.0008764241893</v>
      </c>
      <c r="U15" s="154"/>
      <c r="V15" s="255">
        <v>46128.0</v>
      </c>
      <c r="W15" s="174">
        <v>1221.4</v>
      </c>
      <c r="X15" s="256">
        <f t="shared" si="6"/>
        <v>0.002956150435</v>
      </c>
      <c r="Y15" s="154"/>
      <c r="Z15" s="255">
        <v>46128.0</v>
      </c>
      <c r="AA15" s="174">
        <v>1230.5</v>
      </c>
      <c r="AB15" s="256">
        <f t="shared" si="7"/>
        <v>0.002852485738</v>
      </c>
      <c r="AC15" s="154"/>
      <c r="AD15" s="255">
        <v>46128.0</v>
      </c>
      <c r="AE15" s="174">
        <v>3.62</v>
      </c>
      <c r="AF15" s="256">
        <f t="shared" si="8"/>
        <v>-0.01092896175</v>
      </c>
      <c r="AG15" s="257"/>
      <c r="AH15" s="255">
        <v>46128.0</v>
      </c>
      <c r="AI15" s="174">
        <v>350.75</v>
      </c>
      <c r="AJ15" s="256">
        <f t="shared" si="9"/>
        <v>0.001141715427</v>
      </c>
      <c r="AK15" s="257"/>
      <c r="AL15" s="255">
        <v>46128.0</v>
      </c>
      <c r="AM15" s="174">
        <v>7041.28</v>
      </c>
      <c r="AN15" s="256">
        <f t="shared" si="10"/>
        <v>0.00261001431</v>
      </c>
      <c r="AO15" s="154"/>
      <c r="AP15" s="154"/>
    </row>
    <row r="16">
      <c r="A16" s="154"/>
      <c r="B16" s="255">
        <v>46127.0</v>
      </c>
      <c r="C16" s="174">
        <v>9.21</v>
      </c>
      <c r="D16" s="256">
        <f t="shared" si="1"/>
        <v>0.05862068966</v>
      </c>
      <c r="E16" s="154"/>
      <c r="F16" s="255">
        <v>46127.0</v>
      </c>
      <c r="G16" s="174">
        <v>13.86</v>
      </c>
      <c r="H16" s="256">
        <f t="shared" si="2"/>
        <v>-0.003594536305</v>
      </c>
      <c r="I16" s="154"/>
      <c r="J16" s="255">
        <v>46127.0</v>
      </c>
      <c r="K16" s="174">
        <v>31.61</v>
      </c>
      <c r="L16" s="256">
        <f t="shared" si="3"/>
        <v>-0.005036197671</v>
      </c>
      <c r="M16" s="154"/>
      <c r="N16" s="255">
        <v>46127.0</v>
      </c>
      <c r="O16" s="174">
        <v>1348.0</v>
      </c>
      <c r="P16" s="256">
        <f t="shared" si="4"/>
        <v>0.005970149254</v>
      </c>
      <c r="Q16" s="154"/>
      <c r="R16" s="255">
        <v>46127.0</v>
      </c>
      <c r="S16" s="174">
        <v>11.41</v>
      </c>
      <c r="T16" s="256">
        <f t="shared" si="5"/>
        <v>-0.005231037489</v>
      </c>
      <c r="U16" s="154"/>
      <c r="V16" s="255">
        <v>46127.0</v>
      </c>
      <c r="W16" s="174">
        <v>1217.8</v>
      </c>
      <c r="X16" s="256">
        <f t="shared" si="6"/>
        <v>-0.00587755102</v>
      </c>
      <c r="Y16" s="154"/>
      <c r="Z16" s="255">
        <v>46127.0</v>
      </c>
      <c r="AA16" s="174">
        <v>1227.0</v>
      </c>
      <c r="AB16" s="256">
        <f t="shared" si="7"/>
        <v>0.006975789906</v>
      </c>
      <c r="AC16" s="154"/>
      <c r="AD16" s="255">
        <v>46127.0</v>
      </c>
      <c r="AE16" s="174">
        <v>3.66</v>
      </c>
      <c r="AF16" s="256">
        <f t="shared" si="8"/>
        <v>0.03682719547</v>
      </c>
      <c r="AG16" s="257"/>
      <c r="AH16" s="255">
        <v>46127.0</v>
      </c>
      <c r="AI16" s="174">
        <v>350.35</v>
      </c>
      <c r="AJ16" s="256">
        <f t="shared" si="9"/>
        <v>0.008201438849</v>
      </c>
      <c r="AK16" s="257"/>
      <c r="AL16" s="255">
        <v>46127.0</v>
      </c>
      <c r="AM16" s="174">
        <v>7022.95</v>
      </c>
      <c r="AN16" s="256">
        <f t="shared" si="10"/>
        <v>0.007975738369</v>
      </c>
      <c r="AO16" s="154"/>
      <c r="AP16" s="154"/>
    </row>
    <row r="17">
      <c r="A17" s="154"/>
      <c r="B17" s="255">
        <v>46126.0</v>
      </c>
      <c r="C17" s="174">
        <v>8.7</v>
      </c>
      <c r="D17" s="256">
        <f t="shared" si="1"/>
        <v>0.018735363</v>
      </c>
      <c r="E17" s="154"/>
      <c r="F17" s="255">
        <v>46126.0</v>
      </c>
      <c r="G17" s="174">
        <v>13.91</v>
      </c>
      <c r="H17" s="256">
        <f t="shared" si="2"/>
        <v>0.005784526392</v>
      </c>
      <c r="I17" s="154"/>
      <c r="J17" s="255">
        <v>46126.0</v>
      </c>
      <c r="K17" s="174">
        <v>31.77</v>
      </c>
      <c r="L17" s="256">
        <f t="shared" si="3"/>
        <v>0.01990369181</v>
      </c>
      <c r="M17" s="154"/>
      <c r="N17" s="255">
        <v>46126.0</v>
      </c>
      <c r="O17" s="174">
        <v>1340.0</v>
      </c>
      <c r="P17" s="256">
        <f t="shared" si="4"/>
        <v>0.01399924328</v>
      </c>
      <c r="Q17" s="154"/>
      <c r="R17" s="255">
        <v>46126.0</v>
      </c>
      <c r="S17" s="174">
        <v>11.47</v>
      </c>
      <c r="T17" s="256">
        <f t="shared" si="5"/>
        <v>0.01414677277</v>
      </c>
      <c r="U17" s="154"/>
      <c r="V17" s="255">
        <v>46126.0</v>
      </c>
      <c r="W17" s="258">
        <v>1225.0</v>
      </c>
      <c r="X17" s="256">
        <f t="shared" si="6"/>
        <v>-0.008819483777</v>
      </c>
      <c r="Y17" s="154"/>
      <c r="Z17" s="255">
        <v>46126.0</v>
      </c>
      <c r="AA17" s="258">
        <v>1218.5</v>
      </c>
      <c r="AB17" s="256">
        <f t="shared" si="7"/>
        <v>0.0061101478</v>
      </c>
      <c r="AC17" s="154"/>
      <c r="AD17" s="255">
        <v>46126.0</v>
      </c>
      <c r="AE17" s="174">
        <v>3.53</v>
      </c>
      <c r="AF17" s="256">
        <f t="shared" si="8"/>
        <v>-0.04851752022</v>
      </c>
      <c r="AG17" s="257"/>
      <c r="AH17" s="259">
        <v>46126.0</v>
      </c>
      <c r="AI17" s="260">
        <v>347.5</v>
      </c>
      <c r="AJ17" s="256">
        <f t="shared" si="9"/>
        <v>0.007246376812</v>
      </c>
      <c r="AK17" s="257"/>
      <c r="AL17" s="255">
        <v>46126.0</v>
      </c>
      <c r="AM17" s="174">
        <v>6967.38</v>
      </c>
      <c r="AN17" s="256">
        <f t="shared" si="10"/>
        <v>0.01178291782</v>
      </c>
      <c r="AO17" s="154"/>
      <c r="AP17" s="154"/>
    </row>
    <row r="18">
      <c r="A18" s="154"/>
      <c r="B18" s="255">
        <v>46125.0</v>
      </c>
      <c r="C18" s="174">
        <v>8.54</v>
      </c>
      <c r="D18" s="256">
        <f t="shared" si="1"/>
        <v>-0.03284258211</v>
      </c>
      <c r="E18" s="154"/>
      <c r="F18" s="255">
        <v>46125.0</v>
      </c>
      <c r="G18" s="174">
        <v>13.83</v>
      </c>
      <c r="H18" s="256">
        <f t="shared" si="2"/>
        <v>0.02672605791</v>
      </c>
      <c r="I18" s="154"/>
      <c r="J18" s="255">
        <v>46125.0</v>
      </c>
      <c r="K18" s="174">
        <v>31.15</v>
      </c>
      <c r="L18" s="256">
        <f t="shared" si="3"/>
        <v>0.0107073329</v>
      </c>
      <c r="M18" s="154"/>
      <c r="N18" s="255">
        <v>46125.0</v>
      </c>
      <c r="O18" s="174">
        <v>1321.5</v>
      </c>
      <c r="P18" s="256">
        <f t="shared" si="4"/>
        <v>-0.000378214826</v>
      </c>
      <c r="Q18" s="154"/>
      <c r="R18" s="255">
        <v>46125.0</v>
      </c>
      <c r="S18" s="174">
        <v>11.31</v>
      </c>
      <c r="T18" s="256">
        <f t="shared" si="5"/>
        <v>0.04143646409</v>
      </c>
      <c r="U18" s="154"/>
      <c r="V18" s="255">
        <v>46125.0</v>
      </c>
      <c r="W18" s="174">
        <v>1235.9</v>
      </c>
      <c r="X18" s="256">
        <f t="shared" si="6"/>
        <v>0.003002759292</v>
      </c>
      <c r="Y18" s="154"/>
      <c r="Z18" s="255">
        <v>46125.0</v>
      </c>
      <c r="AA18" s="174">
        <v>1211.1</v>
      </c>
      <c r="AB18" s="256">
        <f t="shared" si="7"/>
        <v>-0.0149654331</v>
      </c>
      <c r="AC18" s="154"/>
      <c r="AD18" s="255">
        <v>46125.0</v>
      </c>
      <c r="AE18" s="174">
        <v>3.71</v>
      </c>
      <c r="AF18" s="256">
        <f t="shared" si="8"/>
        <v>0.02486187845</v>
      </c>
      <c r="AG18" s="257"/>
      <c r="AH18" s="255">
        <v>46125.0</v>
      </c>
      <c r="AI18" s="174">
        <v>345.0</v>
      </c>
      <c r="AJ18" s="256">
        <f t="shared" si="9"/>
        <v>-0.01032702238</v>
      </c>
      <c r="AK18" s="257"/>
      <c r="AL18" s="255">
        <v>46125.0</v>
      </c>
      <c r="AM18" s="174">
        <v>6886.24</v>
      </c>
      <c r="AN18" s="256">
        <f t="shared" si="10"/>
        <v>0.01017326083</v>
      </c>
      <c r="AO18" s="154"/>
      <c r="AP18" s="154"/>
    </row>
    <row r="19">
      <c r="A19" s="154"/>
      <c r="B19" s="255">
        <v>46122.0</v>
      </c>
      <c r="C19" s="174">
        <v>8.83</v>
      </c>
      <c r="D19" s="256">
        <f t="shared" si="1"/>
        <v>0.2778581766</v>
      </c>
      <c r="E19" s="154"/>
      <c r="F19" s="255">
        <v>46122.0</v>
      </c>
      <c r="G19" s="174">
        <v>13.47</v>
      </c>
      <c r="H19" s="256">
        <f t="shared" si="2"/>
        <v>-0.010286554</v>
      </c>
      <c r="I19" s="154"/>
      <c r="J19" s="255">
        <v>46122.0</v>
      </c>
      <c r="K19" s="174">
        <v>30.82</v>
      </c>
      <c r="L19" s="256">
        <f t="shared" si="3"/>
        <v>-0.004521963824</v>
      </c>
      <c r="M19" s="154"/>
      <c r="N19" s="255">
        <v>46122.0</v>
      </c>
      <c r="O19" s="174">
        <v>1322.0</v>
      </c>
      <c r="P19" s="256">
        <f t="shared" si="4"/>
        <v>-0.003392385978</v>
      </c>
      <c r="Q19" s="154"/>
      <c r="R19" s="255">
        <v>46122.0</v>
      </c>
      <c r="S19" s="174">
        <v>10.86</v>
      </c>
      <c r="T19" s="256">
        <f t="shared" si="5"/>
        <v>0.02452830189</v>
      </c>
      <c r="U19" s="154"/>
      <c r="V19" s="255">
        <v>46122.0</v>
      </c>
      <c r="W19" s="174">
        <v>1232.2</v>
      </c>
      <c r="X19" s="256">
        <f t="shared" si="6"/>
        <v>0.01675055698</v>
      </c>
      <c r="Y19" s="154"/>
      <c r="Z19" s="255">
        <v>46122.0</v>
      </c>
      <c r="AA19" s="174">
        <v>1229.5</v>
      </c>
      <c r="AB19" s="256">
        <f t="shared" si="7"/>
        <v>0.004165305456</v>
      </c>
      <c r="AC19" s="154"/>
      <c r="AD19" s="255">
        <v>46122.0</v>
      </c>
      <c r="AE19" s="174">
        <v>3.62</v>
      </c>
      <c r="AF19" s="256">
        <f t="shared" si="8"/>
        <v>0.005555555556</v>
      </c>
      <c r="AG19" s="257"/>
      <c r="AH19" s="255">
        <v>46122.0</v>
      </c>
      <c r="AI19" s="174">
        <v>348.6</v>
      </c>
      <c r="AJ19" s="256">
        <f t="shared" si="9"/>
        <v>0.008388776396</v>
      </c>
      <c r="AK19" s="257"/>
      <c r="AL19" s="255">
        <v>46122.0</v>
      </c>
      <c r="AM19" s="174">
        <v>6816.89</v>
      </c>
      <c r="AN19" s="256">
        <f t="shared" si="10"/>
        <v>-0.001138518256</v>
      </c>
      <c r="AO19" s="154"/>
      <c r="AP19" s="154"/>
    </row>
    <row r="20">
      <c r="A20" s="154"/>
      <c r="B20" s="255">
        <v>46121.0</v>
      </c>
      <c r="C20" s="174">
        <v>6.91</v>
      </c>
      <c r="D20" s="256">
        <f t="shared" si="1"/>
        <v>0.1791808874</v>
      </c>
      <c r="E20" s="154"/>
      <c r="F20" s="255">
        <v>46121.0</v>
      </c>
      <c r="G20" s="174">
        <v>13.61</v>
      </c>
      <c r="H20" s="256">
        <f t="shared" si="2"/>
        <v>0.002947678703</v>
      </c>
      <c r="I20" s="154"/>
      <c r="J20" s="255">
        <v>46121.0</v>
      </c>
      <c r="K20" s="174">
        <v>30.96</v>
      </c>
      <c r="L20" s="256">
        <f t="shared" si="3"/>
        <v>0.01441677588</v>
      </c>
      <c r="M20" s="154"/>
      <c r="N20" s="255">
        <v>46121.0</v>
      </c>
      <c r="O20" s="174">
        <v>1326.5</v>
      </c>
      <c r="P20" s="256">
        <f t="shared" si="4"/>
        <v>0.009512937595</v>
      </c>
      <c r="Q20" s="154"/>
      <c r="R20" s="255">
        <v>46121.0</v>
      </c>
      <c r="S20" s="174">
        <v>10.6</v>
      </c>
      <c r="T20" s="256">
        <f t="shared" si="5"/>
        <v>-0.02123730379</v>
      </c>
      <c r="U20" s="154"/>
      <c r="V20" s="255">
        <v>46121.0</v>
      </c>
      <c r="W20" s="174">
        <v>1211.9</v>
      </c>
      <c r="X20" s="256">
        <f t="shared" si="6"/>
        <v>0.01720664764</v>
      </c>
      <c r="Y20" s="154"/>
      <c r="Z20" s="255">
        <v>46121.0</v>
      </c>
      <c r="AA20" s="174">
        <v>1224.4</v>
      </c>
      <c r="AB20" s="256">
        <f t="shared" si="7"/>
        <v>0.006990706473</v>
      </c>
      <c r="AC20" s="154"/>
      <c r="AD20" s="255">
        <v>46121.0</v>
      </c>
      <c r="AE20" s="174">
        <v>3.6</v>
      </c>
      <c r="AF20" s="256">
        <f t="shared" si="8"/>
        <v>0.005586592179</v>
      </c>
      <c r="AG20" s="257"/>
      <c r="AH20" s="255">
        <v>46121.0</v>
      </c>
      <c r="AI20" s="174">
        <v>345.7</v>
      </c>
      <c r="AJ20" s="256">
        <f t="shared" si="9"/>
        <v>-0.01172098342</v>
      </c>
      <c r="AK20" s="257"/>
      <c r="AL20" s="255">
        <v>46121.0</v>
      </c>
      <c r="AM20" s="174">
        <v>6824.66</v>
      </c>
      <c r="AN20" s="256">
        <f t="shared" si="10"/>
        <v>0.006170009185</v>
      </c>
      <c r="AO20" s="154"/>
      <c r="AP20" s="154"/>
    </row>
    <row r="21">
      <c r="A21" s="154"/>
      <c r="B21" s="255">
        <v>46120.0</v>
      </c>
      <c r="C21" s="174">
        <v>5.86</v>
      </c>
      <c r="D21" s="256">
        <f t="shared" si="1"/>
        <v>-0.04248366013</v>
      </c>
      <c r="E21" s="154"/>
      <c r="F21" s="255">
        <v>46120.0</v>
      </c>
      <c r="G21" s="174">
        <v>13.57</v>
      </c>
      <c r="H21" s="256">
        <f t="shared" si="2"/>
        <v>0.0311550152</v>
      </c>
      <c r="I21" s="154"/>
      <c r="J21" s="255">
        <v>46120.0</v>
      </c>
      <c r="K21" s="174">
        <v>30.52</v>
      </c>
      <c r="L21" s="256">
        <f t="shared" si="3"/>
        <v>0.04057279236</v>
      </c>
      <c r="M21" s="154"/>
      <c r="N21" s="255">
        <v>46120.0</v>
      </c>
      <c r="O21" s="174">
        <v>1314.0</v>
      </c>
      <c r="P21" s="256">
        <f t="shared" si="4"/>
        <v>0.02217036173</v>
      </c>
      <c r="Q21" s="154"/>
      <c r="R21" s="255">
        <v>46120.0</v>
      </c>
      <c r="S21" s="174">
        <v>10.83</v>
      </c>
      <c r="T21" s="256">
        <f t="shared" si="5"/>
        <v>0.02556818182</v>
      </c>
      <c r="U21" s="154"/>
      <c r="V21" s="255">
        <v>46120.0</v>
      </c>
      <c r="W21" s="174">
        <v>1191.4</v>
      </c>
      <c r="X21" s="256">
        <f t="shared" si="6"/>
        <v>-0.003929437338</v>
      </c>
      <c r="Y21" s="154"/>
      <c r="Z21" s="255">
        <v>46120.0</v>
      </c>
      <c r="AA21" s="174">
        <v>1215.9</v>
      </c>
      <c r="AB21" s="256">
        <f t="shared" si="7"/>
        <v>0.01122754491</v>
      </c>
      <c r="AC21" s="154"/>
      <c r="AD21" s="255">
        <v>46120.0</v>
      </c>
      <c r="AE21" s="174">
        <v>3.58</v>
      </c>
      <c r="AF21" s="256">
        <f t="shared" si="8"/>
        <v>0.05604719764</v>
      </c>
      <c r="AG21" s="257"/>
      <c r="AH21" s="255">
        <v>46120.0</v>
      </c>
      <c r="AI21" s="174">
        <v>349.8</v>
      </c>
      <c r="AJ21" s="256">
        <f t="shared" si="9"/>
        <v>0.02867225408</v>
      </c>
      <c r="AK21" s="257"/>
      <c r="AL21" s="255">
        <v>46120.0</v>
      </c>
      <c r="AM21" s="174">
        <v>6782.81</v>
      </c>
      <c r="AN21" s="256">
        <f t="shared" si="10"/>
        <v>0.02508142092</v>
      </c>
      <c r="AO21" s="154"/>
      <c r="AP21" s="154"/>
    </row>
    <row r="22">
      <c r="A22" s="154"/>
      <c r="B22" s="255">
        <v>46119.0</v>
      </c>
      <c r="C22" s="174">
        <v>6.12</v>
      </c>
      <c r="D22" s="256">
        <f t="shared" si="1"/>
        <v>0.01157024793</v>
      </c>
      <c r="E22" s="154"/>
      <c r="F22" s="255">
        <v>46119.0</v>
      </c>
      <c r="G22" s="174">
        <v>13.16</v>
      </c>
      <c r="H22" s="256">
        <f t="shared" si="2"/>
        <v>-0.01864280388</v>
      </c>
      <c r="I22" s="154"/>
      <c r="J22" s="255">
        <v>46119.0</v>
      </c>
      <c r="K22" s="174">
        <v>29.33</v>
      </c>
      <c r="L22" s="256">
        <f t="shared" si="3"/>
        <v>-0.01643192488</v>
      </c>
      <c r="M22" s="154"/>
      <c r="N22" s="255">
        <v>46119.0</v>
      </c>
      <c r="O22" s="174">
        <v>1285.5</v>
      </c>
      <c r="P22" s="256">
        <f t="shared" si="4"/>
        <v>-0.003488372093</v>
      </c>
      <c r="Q22" s="154"/>
      <c r="R22" s="255">
        <v>46119.0</v>
      </c>
      <c r="S22" s="174">
        <v>10.56</v>
      </c>
      <c r="T22" s="256">
        <f t="shared" si="5"/>
        <v>-0.00283286119</v>
      </c>
      <c r="U22" s="154"/>
      <c r="V22" s="255">
        <v>46119.0</v>
      </c>
      <c r="W22" s="174">
        <v>1196.1</v>
      </c>
      <c r="X22" s="256">
        <f t="shared" si="6"/>
        <v>-0.0178190179</v>
      </c>
      <c r="Y22" s="154"/>
      <c r="Z22" s="255">
        <v>46119.0</v>
      </c>
      <c r="AA22" s="174">
        <v>1202.4</v>
      </c>
      <c r="AB22" s="256">
        <f t="shared" si="7"/>
        <v>0.001249063203</v>
      </c>
      <c r="AC22" s="154"/>
      <c r="AD22" s="255">
        <v>46119.0</v>
      </c>
      <c r="AE22" s="174">
        <v>3.39</v>
      </c>
      <c r="AF22" s="256">
        <f t="shared" si="8"/>
        <v>-0.1055408971</v>
      </c>
      <c r="AG22" s="257"/>
      <c r="AH22" s="255">
        <v>46119.0</v>
      </c>
      <c r="AI22" s="174">
        <v>340.05</v>
      </c>
      <c r="AJ22" s="256">
        <f t="shared" si="9"/>
        <v>-0.04211267606</v>
      </c>
      <c r="AK22" s="257"/>
      <c r="AL22" s="255">
        <v>46119.0</v>
      </c>
      <c r="AM22" s="174">
        <v>6616.85</v>
      </c>
      <c r="AN22" s="256">
        <f t="shared" si="10"/>
        <v>0.0007592451712</v>
      </c>
      <c r="AO22" s="154"/>
      <c r="AP22" s="154"/>
    </row>
    <row r="23">
      <c r="A23" s="154"/>
      <c r="B23" s="255">
        <v>46118.0</v>
      </c>
      <c r="C23" s="174">
        <v>6.05</v>
      </c>
      <c r="D23" s="256">
        <f t="shared" si="1"/>
        <v>-0.04874213836</v>
      </c>
      <c r="E23" s="154"/>
      <c r="F23" s="255">
        <v>46118.0</v>
      </c>
      <c r="G23" s="174">
        <v>13.41</v>
      </c>
      <c r="H23" s="256">
        <f t="shared" si="2"/>
        <v>-0.002232142857</v>
      </c>
      <c r="I23" s="154"/>
      <c r="J23" s="255">
        <v>46118.0</v>
      </c>
      <c r="K23" s="174">
        <v>29.82</v>
      </c>
      <c r="L23" s="256">
        <f t="shared" si="3"/>
        <v>-0.008643617021</v>
      </c>
      <c r="M23" s="154"/>
      <c r="N23" s="255">
        <v>46118.0</v>
      </c>
      <c r="O23" s="258">
        <v>1290.0</v>
      </c>
      <c r="P23" s="256">
        <f t="shared" si="4"/>
        <v>-0.01376146789</v>
      </c>
      <c r="Q23" s="154"/>
      <c r="R23" s="255">
        <v>46118.0</v>
      </c>
      <c r="S23" s="174">
        <v>10.59</v>
      </c>
      <c r="T23" s="256">
        <f t="shared" si="5"/>
        <v>-0.02396313364</v>
      </c>
      <c r="U23" s="154"/>
      <c r="V23" s="255">
        <v>46118.0</v>
      </c>
      <c r="W23" s="174">
        <v>1217.8</v>
      </c>
      <c r="X23" s="256">
        <f t="shared" si="6"/>
        <v>0.0004107450916</v>
      </c>
      <c r="Y23" s="154"/>
      <c r="Z23" s="255">
        <v>46118.0</v>
      </c>
      <c r="AA23" s="174">
        <v>1200.9</v>
      </c>
      <c r="AB23" s="256">
        <f t="shared" si="7"/>
        <v>0.007128480376</v>
      </c>
      <c r="AC23" s="154"/>
      <c r="AD23" s="255">
        <v>46118.0</v>
      </c>
      <c r="AE23" s="174">
        <v>3.79</v>
      </c>
      <c r="AF23" s="256">
        <f t="shared" si="8"/>
        <v>0.03835616438</v>
      </c>
      <c r="AG23" s="257"/>
      <c r="AH23" s="255">
        <v>46118.0</v>
      </c>
      <c r="AI23" s="174">
        <v>355.0</v>
      </c>
      <c r="AJ23" s="256">
        <f t="shared" si="9"/>
        <v>0.006949368884</v>
      </c>
      <c r="AK23" s="257"/>
      <c r="AL23" s="255">
        <v>46118.0</v>
      </c>
      <c r="AM23" s="174">
        <v>6611.83</v>
      </c>
      <c r="AN23" s="256">
        <f t="shared" si="10"/>
        <v>0.004426761704</v>
      </c>
      <c r="AO23" s="154"/>
      <c r="AP23" s="154"/>
    </row>
    <row r="24">
      <c r="A24" s="154"/>
      <c r="B24" s="255">
        <v>46114.0</v>
      </c>
      <c r="C24" s="174">
        <v>6.36</v>
      </c>
      <c r="D24" s="256">
        <f t="shared" si="1"/>
        <v>0.03583061889</v>
      </c>
      <c r="E24" s="154"/>
      <c r="F24" s="255">
        <v>46114.0</v>
      </c>
      <c r="G24" s="174">
        <v>13.44</v>
      </c>
      <c r="H24" s="256">
        <f t="shared" si="2"/>
        <v>-0.01393983859</v>
      </c>
      <c r="I24" s="154"/>
      <c r="J24" s="255">
        <v>46114.0</v>
      </c>
      <c r="K24" s="174">
        <v>30.08</v>
      </c>
      <c r="L24" s="256">
        <f t="shared" si="3"/>
        <v>-0.005619834711</v>
      </c>
      <c r="M24" s="154"/>
      <c r="N24" s="255">
        <v>46114.0</v>
      </c>
      <c r="O24" s="174">
        <v>1308.0</v>
      </c>
      <c r="P24" s="256">
        <f t="shared" si="4"/>
        <v>0.01631701632</v>
      </c>
      <c r="Q24" s="154"/>
      <c r="R24" s="255">
        <v>46114.0</v>
      </c>
      <c r="S24" s="174">
        <v>10.85</v>
      </c>
      <c r="T24" s="256">
        <f t="shared" si="5"/>
        <v>-0.01363636364</v>
      </c>
      <c r="U24" s="154"/>
      <c r="V24" s="255">
        <v>46114.0</v>
      </c>
      <c r="W24" s="174">
        <v>1217.3</v>
      </c>
      <c r="X24" s="256">
        <f t="shared" si="6"/>
        <v>0.006365740741</v>
      </c>
      <c r="Y24" s="154"/>
      <c r="Z24" s="255">
        <v>46114.0</v>
      </c>
      <c r="AA24" s="174">
        <v>1192.4</v>
      </c>
      <c r="AB24" s="256">
        <f t="shared" si="7"/>
        <v>-0.002926666109</v>
      </c>
      <c r="AC24" s="154"/>
      <c r="AD24" s="255">
        <v>46114.0</v>
      </c>
      <c r="AE24" s="174">
        <v>3.65</v>
      </c>
      <c r="AF24" s="256">
        <f t="shared" si="8"/>
        <v>0.008287292818</v>
      </c>
      <c r="AG24" s="257"/>
      <c r="AH24" s="255">
        <v>46114.0</v>
      </c>
      <c r="AI24" s="174">
        <v>352.55</v>
      </c>
      <c r="AJ24" s="256">
        <f t="shared" si="9"/>
        <v>-0.03463855422</v>
      </c>
      <c r="AK24" s="257"/>
      <c r="AL24" s="255">
        <v>46114.0</v>
      </c>
      <c r="AM24" s="174">
        <v>6582.69</v>
      </c>
      <c r="AN24" s="256">
        <f t="shared" si="10"/>
        <v>0.001120857996</v>
      </c>
      <c r="AO24" s="154"/>
      <c r="AP24" s="154"/>
    </row>
    <row r="25">
      <c r="A25" s="154"/>
      <c r="B25" s="255">
        <v>46113.0</v>
      </c>
      <c r="C25" s="174">
        <v>6.14</v>
      </c>
      <c r="D25" s="256">
        <f t="shared" si="1"/>
        <v>0.02504173623</v>
      </c>
      <c r="E25" s="154"/>
      <c r="F25" s="255">
        <v>46113.0</v>
      </c>
      <c r="G25" s="174">
        <v>13.63</v>
      </c>
      <c r="H25" s="256">
        <f t="shared" si="2"/>
        <v>0.0088823094</v>
      </c>
      <c r="I25" s="154"/>
      <c r="J25" s="255">
        <v>46113.0</v>
      </c>
      <c r="K25" s="174">
        <v>30.25</v>
      </c>
      <c r="L25" s="256">
        <f t="shared" si="3"/>
        <v>0.004316069057</v>
      </c>
      <c r="M25" s="154"/>
      <c r="N25" s="255">
        <v>46113.0</v>
      </c>
      <c r="O25" s="174">
        <v>1287.0</v>
      </c>
      <c r="P25" s="256">
        <f t="shared" si="4"/>
        <v>0.0206185567</v>
      </c>
      <c r="Q25" s="154"/>
      <c r="R25" s="255">
        <v>46113.0</v>
      </c>
      <c r="S25" s="174">
        <v>11.0</v>
      </c>
      <c r="T25" s="256">
        <f t="shared" si="5"/>
        <v>0.02420856611</v>
      </c>
      <c r="U25" s="154"/>
      <c r="V25" s="255">
        <v>46113.0</v>
      </c>
      <c r="W25" s="174">
        <v>1209.6</v>
      </c>
      <c r="X25" s="256">
        <f t="shared" si="6"/>
        <v>-0.01658536585</v>
      </c>
      <c r="Y25" s="154"/>
      <c r="Z25" s="255">
        <v>46113.0</v>
      </c>
      <c r="AA25" s="174">
        <v>1195.9</v>
      </c>
      <c r="AB25" s="256">
        <f t="shared" si="7"/>
        <v>-0.01165289256</v>
      </c>
      <c r="AC25" s="154"/>
      <c r="AD25" s="255">
        <v>46113.0</v>
      </c>
      <c r="AE25" s="174">
        <v>3.62</v>
      </c>
      <c r="AF25" s="256">
        <f t="shared" si="8"/>
        <v>0.05539358601</v>
      </c>
      <c r="AG25" s="257"/>
      <c r="AH25" s="255">
        <v>46113.0</v>
      </c>
      <c r="AI25" s="174">
        <v>365.2</v>
      </c>
      <c r="AJ25" s="256">
        <f t="shared" si="9"/>
        <v>0.008839779006</v>
      </c>
      <c r="AK25" s="257"/>
      <c r="AL25" s="255">
        <v>46113.0</v>
      </c>
      <c r="AM25" s="174">
        <v>6575.32</v>
      </c>
      <c r="AN25" s="256">
        <f t="shared" si="10"/>
        <v>0.007168546623</v>
      </c>
      <c r="AO25" s="154"/>
      <c r="AP25" s="154"/>
    </row>
    <row r="26">
      <c r="A26" s="154"/>
      <c r="B26" s="255">
        <v>46112.0</v>
      </c>
      <c r="C26" s="174">
        <v>5.99</v>
      </c>
      <c r="D26" s="256">
        <f t="shared" si="1"/>
        <v>0.05087719298</v>
      </c>
      <c r="E26" s="154"/>
      <c r="F26" s="255">
        <v>46112.0</v>
      </c>
      <c r="G26" s="174">
        <v>13.51</v>
      </c>
      <c r="H26" s="256">
        <f t="shared" si="2"/>
        <v>0.0424382716</v>
      </c>
      <c r="I26" s="154"/>
      <c r="J26" s="255">
        <v>46112.0</v>
      </c>
      <c r="K26" s="174">
        <v>30.12</v>
      </c>
      <c r="L26" s="256">
        <f t="shared" si="3"/>
        <v>0.06243386243</v>
      </c>
      <c r="M26" s="154"/>
      <c r="N26" s="255">
        <v>46112.0</v>
      </c>
      <c r="O26" s="174">
        <v>1261.0</v>
      </c>
      <c r="P26" s="256">
        <f t="shared" si="4"/>
        <v>0.003182179793</v>
      </c>
      <c r="Q26" s="154"/>
      <c r="R26" s="255">
        <v>46112.0</v>
      </c>
      <c r="S26" s="174">
        <v>10.74</v>
      </c>
      <c r="T26" s="256">
        <f t="shared" si="5"/>
        <v>0.1049382716</v>
      </c>
      <c r="U26" s="154"/>
      <c r="V26" s="255">
        <v>46112.0</v>
      </c>
      <c r="W26" s="258">
        <v>1230.0</v>
      </c>
      <c r="X26" s="256">
        <f t="shared" si="6"/>
        <v>-0.0198422185</v>
      </c>
      <c r="Y26" s="154"/>
      <c r="Z26" s="255">
        <v>46112.0</v>
      </c>
      <c r="AA26" s="258">
        <v>1210.0</v>
      </c>
      <c r="AB26" s="256">
        <f t="shared" si="7"/>
        <v>-0.01159941186</v>
      </c>
      <c r="AC26" s="154"/>
      <c r="AD26" s="255">
        <v>46112.0</v>
      </c>
      <c r="AE26" s="174">
        <v>3.43</v>
      </c>
      <c r="AF26" s="256">
        <f t="shared" si="8"/>
        <v>0.04255319149</v>
      </c>
      <c r="AG26" s="257"/>
      <c r="AH26" s="261">
        <v>46112.0</v>
      </c>
      <c r="AI26" s="262">
        <v>362.0</v>
      </c>
      <c r="AJ26" s="256">
        <f t="shared" si="9"/>
        <v>0.003047935716</v>
      </c>
      <c r="AK26" s="257"/>
      <c r="AL26" s="255">
        <v>46112.0</v>
      </c>
      <c r="AM26" s="174">
        <v>6528.52</v>
      </c>
      <c r="AN26" s="256">
        <f t="shared" si="10"/>
        <v>0.02913117225</v>
      </c>
      <c r="AO26" s="154"/>
      <c r="AP26" s="154"/>
    </row>
    <row r="27">
      <c r="A27" s="154"/>
      <c r="B27" s="255">
        <v>46111.0</v>
      </c>
      <c r="C27" s="174">
        <v>5.7</v>
      </c>
      <c r="D27" s="256">
        <f t="shared" si="1"/>
        <v>-0.02397260274</v>
      </c>
      <c r="E27" s="154"/>
      <c r="F27" s="255">
        <v>46111.0</v>
      </c>
      <c r="G27" s="174">
        <v>12.96</v>
      </c>
      <c r="H27" s="256">
        <f t="shared" si="2"/>
        <v>-0.006896551724</v>
      </c>
      <c r="I27" s="154"/>
      <c r="J27" s="255">
        <v>46111.0</v>
      </c>
      <c r="K27" s="174">
        <v>28.35</v>
      </c>
      <c r="L27" s="256">
        <f t="shared" si="3"/>
        <v>-0.01356993737</v>
      </c>
      <c r="M27" s="154"/>
      <c r="N27" s="255">
        <v>46111.0</v>
      </c>
      <c r="O27" s="174">
        <v>1257.0</v>
      </c>
      <c r="P27" s="256">
        <f t="shared" si="4"/>
        <v>0.01126307321</v>
      </c>
      <c r="Q27" s="154"/>
      <c r="R27" s="255">
        <v>46111.0</v>
      </c>
      <c r="S27" s="174">
        <v>9.72</v>
      </c>
      <c r="T27" s="256">
        <f t="shared" si="5"/>
        <v>0.01993704092</v>
      </c>
      <c r="U27" s="154"/>
      <c r="V27" s="255">
        <v>46111.0</v>
      </c>
      <c r="W27" s="174">
        <v>1254.9</v>
      </c>
      <c r="X27" s="256">
        <f t="shared" si="6"/>
        <v>-0.02090972927</v>
      </c>
      <c r="Y27" s="154"/>
      <c r="Z27" s="255">
        <v>46111.0</v>
      </c>
      <c r="AA27" s="174">
        <v>1224.2</v>
      </c>
      <c r="AB27" s="256">
        <f t="shared" si="7"/>
        <v>-0.01456974966</v>
      </c>
      <c r="AC27" s="154"/>
      <c r="AD27" s="255">
        <v>46111.0</v>
      </c>
      <c r="AE27" s="174">
        <v>3.29</v>
      </c>
      <c r="AF27" s="256">
        <f t="shared" si="8"/>
        <v>0.0578778135</v>
      </c>
      <c r="AG27" s="257"/>
      <c r="AH27" s="255">
        <v>46111.0</v>
      </c>
      <c r="AI27" s="174">
        <v>360.9</v>
      </c>
      <c r="AJ27" s="256">
        <f t="shared" si="9"/>
        <v>-0.02485814645</v>
      </c>
      <c r="AK27" s="257"/>
      <c r="AL27" s="255">
        <v>46111.0</v>
      </c>
      <c r="AM27" s="174">
        <v>6343.72</v>
      </c>
      <c r="AN27" s="256">
        <f t="shared" si="10"/>
        <v>-0.003945767289</v>
      </c>
      <c r="AO27" s="154"/>
      <c r="AP27" s="154"/>
    </row>
    <row r="28">
      <c r="A28" s="154"/>
      <c r="B28" s="255">
        <v>46108.0</v>
      </c>
      <c r="C28" s="174">
        <v>5.84</v>
      </c>
      <c r="D28" s="256">
        <f t="shared" si="1"/>
        <v>-0.0347107438</v>
      </c>
      <c r="E28" s="154"/>
      <c r="F28" s="255">
        <v>46108.0</v>
      </c>
      <c r="G28" s="174">
        <v>13.05</v>
      </c>
      <c r="H28" s="256">
        <f t="shared" si="2"/>
        <v>-0.023934181</v>
      </c>
      <c r="I28" s="154"/>
      <c r="J28" s="255">
        <v>46108.0</v>
      </c>
      <c r="K28" s="174">
        <v>28.74</v>
      </c>
      <c r="L28" s="256">
        <f t="shared" si="3"/>
        <v>-0.03492276696</v>
      </c>
      <c r="M28" s="154"/>
      <c r="N28" s="255">
        <v>46108.0</v>
      </c>
      <c r="O28" s="174">
        <v>1243.0</v>
      </c>
      <c r="P28" s="256">
        <f t="shared" si="4"/>
        <v>-0.01583531275</v>
      </c>
      <c r="Q28" s="154"/>
      <c r="R28" s="255">
        <v>46108.0</v>
      </c>
      <c r="S28" s="174">
        <v>9.53</v>
      </c>
      <c r="T28" s="256">
        <f t="shared" si="5"/>
        <v>0.01599147122</v>
      </c>
      <c r="U28" s="154"/>
      <c r="V28" s="255">
        <v>46108.0</v>
      </c>
      <c r="W28" s="174">
        <v>1281.7</v>
      </c>
      <c r="X28" s="256">
        <f t="shared" si="6"/>
        <v>-0.006434108527</v>
      </c>
      <c r="Y28" s="154"/>
      <c r="Z28" s="255">
        <v>46108.0</v>
      </c>
      <c r="AA28" s="174">
        <v>1242.3</v>
      </c>
      <c r="AB28" s="256">
        <f t="shared" si="7"/>
        <v>-0.0005631536605</v>
      </c>
      <c r="AC28" s="154"/>
      <c r="AD28" s="255">
        <v>46108.0</v>
      </c>
      <c r="AE28" s="174">
        <v>3.11</v>
      </c>
      <c r="AF28" s="256">
        <f t="shared" si="8"/>
        <v>-0.04012345679</v>
      </c>
      <c r="AG28" s="257"/>
      <c r="AH28" s="255">
        <v>46108.0</v>
      </c>
      <c r="AI28" s="174">
        <v>370.1</v>
      </c>
      <c r="AJ28" s="256">
        <f t="shared" si="9"/>
        <v>-0.01306666667</v>
      </c>
      <c r="AK28" s="257"/>
      <c r="AL28" s="255">
        <v>46108.0</v>
      </c>
      <c r="AM28" s="174">
        <v>6368.85</v>
      </c>
      <c r="AN28" s="256">
        <f t="shared" si="10"/>
        <v>-0.01672183488</v>
      </c>
      <c r="AO28" s="154"/>
      <c r="AP28" s="154"/>
    </row>
    <row r="29">
      <c r="A29" s="154"/>
      <c r="B29" s="255">
        <v>46107.0</v>
      </c>
      <c r="C29" s="174">
        <v>6.05</v>
      </c>
      <c r="D29" s="256">
        <f t="shared" si="1"/>
        <v>-0.008196721311</v>
      </c>
      <c r="E29" s="154"/>
      <c r="F29" s="255">
        <v>46107.0</v>
      </c>
      <c r="G29" s="174">
        <v>13.37</v>
      </c>
      <c r="H29" s="256">
        <f t="shared" si="2"/>
        <v>-0.00962962963</v>
      </c>
      <c r="I29" s="154"/>
      <c r="J29" s="255">
        <v>46107.0</v>
      </c>
      <c r="K29" s="174">
        <v>29.78</v>
      </c>
      <c r="L29" s="256">
        <f t="shared" si="3"/>
        <v>0.01086218601</v>
      </c>
      <c r="M29" s="154"/>
      <c r="N29" s="255">
        <v>46107.0</v>
      </c>
      <c r="O29" s="174">
        <v>1263.0</v>
      </c>
      <c r="P29" s="256">
        <f t="shared" si="4"/>
        <v>-0.007855459544</v>
      </c>
      <c r="Q29" s="154"/>
      <c r="R29" s="255">
        <v>46107.0</v>
      </c>
      <c r="S29" s="174">
        <v>9.38</v>
      </c>
      <c r="T29" s="256">
        <f t="shared" si="5"/>
        <v>-0.03199174407</v>
      </c>
      <c r="U29" s="154"/>
      <c r="V29" s="255">
        <v>46107.0</v>
      </c>
      <c r="W29" s="258">
        <v>1290.0</v>
      </c>
      <c r="X29" s="256">
        <f t="shared" si="6"/>
        <v>-0.008226339663</v>
      </c>
      <c r="Y29" s="154"/>
      <c r="Z29" s="255">
        <v>46107.0</v>
      </c>
      <c r="AA29" s="258">
        <v>1243.0</v>
      </c>
      <c r="AB29" s="256">
        <f t="shared" si="7"/>
        <v>-0.00112504018</v>
      </c>
      <c r="AC29" s="154"/>
      <c r="AD29" s="255">
        <v>46107.0</v>
      </c>
      <c r="AE29" s="174">
        <v>3.24</v>
      </c>
      <c r="AF29" s="256">
        <f t="shared" si="8"/>
        <v>0.03184713376</v>
      </c>
      <c r="AG29" s="257"/>
      <c r="AH29" s="255">
        <v>46107.0</v>
      </c>
      <c r="AI29" s="258">
        <v>375.0</v>
      </c>
      <c r="AJ29" s="256">
        <f t="shared" si="9"/>
        <v>-0.01224812327</v>
      </c>
      <c r="AK29" s="257"/>
      <c r="AL29" s="255">
        <v>46107.0</v>
      </c>
      <c r="AM29" s="174">
        <v>6477.16</v>
      </c>
      <c r="AN29" s="256">
        <f t="shared" si="10"/>
        <v>-0.01740621065</v>
      </c>
      <c r="AO29" s="154"/>
      <c r="AP29" s="154"/>
    </row>
    <row r="30">
      <c r="A30" s="154"/>
      <c r="B30" s="255">
        <v>46106.0</v>
      </c>
      <c r="C30" s="174">
        <v>6.1</v>
      </c>
      <c r="D30" s="256">
        <f t="shared" si="1"/>
        <v>-0.001636661211</v>
      </c>
      <c r="E30" s="154"/>
      <c r="F30" s="255">
        <v>46106.0</v>
      </c>
      <c r="G30" s="174">
        <v>13.5</v>
      </c>
      <c r="H30" s="256">
        <f t="shared" si="2"/>
        <v>0.01047904192</v>
      </c>
      <c r="I30" s="154"/>
      <c r="J30" s="255">
        <v>46106.0</v>
      </c>
      <c r="K30" s="174">
        <v>29.46</v>
      </c>
      <c r="L30" s="256">
        <f t="shared" si="3"/>
        <v>0.01098146877</v>
      </c>
      <c r="M30" s="154"/>
      <c r="N30" s="255">
        <v>46106.0</v>
      </c>
      <c r="O30" s="174">
        <v>1273.0</v>
      </c>
      <c r="P30" s="256">
        <f t="shared" si="4"/>
        <v>0.03664495114</v>
      </c>
      <c r="Q30" s="154"/>
      <c r="R30" s="255">
        <v>46106.0</v>
      </c>
      <c r="S30" s="174">
        <v>9.69</v>
      </c>
      <c r="T30" s="256">
        <f t="shared" si="5"/>
        <v>0.005186721992</v>
      </c>
      <c r="U30" s="154"/>
      <c r="V30" s="255">
        <v>46106.0</v>
      </c>
      <c r="W30" s="174">
        <v>1300.7</v>
      </c>
      <c r="X30" s="256">
        <f t="shared" si="6"/>
        <v>0.03262940616</v>
      </c>
      <c r="Y30" s="154"/>
      <c r="Z30" s="255">
        <v>46106.0</v>
      </c>
      <c r="AA30" s="174">
        <v>1244.4</v>
      </c>
      <c r="AB30" s="256">
        <f t="shared" si="7"/>
        <v>0.02050188617</v>
      </c>
      <c r="AC30" s="154"/>
      <c r="AD30" s="255">
        <v>46106.0</v>
      </c>
      <c r="AE30" s="174">
        <v>3.14</v>
      </c>
      <c r="AF30" s="256">
        <f t="shared" si="8"/>
        <v>0.003194888179</v>
      </c>
      <c r="AG30" s="257"/>
      <c r="AH30" s="255">
        <v>46106.0</v>
      </c>
      <c r="AI30" s="174">
        <v>379.65</v>
      </c>
      <c r="AJ30" s="256">
        <f t="shared" si="9"/>
        <v>0.02872239534</v>
      </c>
      <c r="AK30" s="257"/>
      <c r="AL30" s="255">
        <v>46106.0</v>
      </c>
      <c r="AM30" s="174">
        <v>6591.9</v>
      </c>
      <c r="AN30" s="256">
        <f t="shared" si="10"/>
        <v>0.005419157247</v>
      </c>
      <c r="AO30" s="154"/>
      <c r="AP30" s="154"/>
    </row>
    <row r="31">
      <c r="A31" s="154"/>
      <c r="B31" s="255">
        <v>46105.0</v>
      </c>
      <c r="C31" s="174">
        <v>6.11</v>
      </c>
      <c r="D31" s="256">
        <f t="shared" si="1"/>
        <v>0.00328407225</v>
      </c>
      <c r="E31" s="154"/>
      <c r="F31" s="255">
        <v>46105.0</v>
      </c>
      <c r="G31" s="174">
        <v>13.36</v>
      </c>
      <c r="H31" s="256">
        <f t="shared" si="2"/>
        <v>0.005267118134</v>
      </c>
      <c r="I31" s="154"/>
      <c r="J31" s="255">
        <v>46105.0</v>
      </c>
      <c r="K31" s="174">
        <v>29.14</v>
      </c>
      <c r="L31" s="256">
        <f t="shared" si="3"/>
        <v>0.0128606187</v>
      </c>
      <c r="M31" s="154"/>
      <c r="N31" s="255">
        <v>46105.0</v>
      </c>
      <c r="O31" s="174">
        <v>1228.0</v>
      </c>
      <c r="P31" s="256">
        <f t="shared" si="4"/>
        <v>0</v>
      </c>
      <c r="Q31" s="154"/>
      <c r="R31" s="255">
        <v>46105.0</v>
      </c>
      <c r="S31" s="174">
        <v>9.64</v>
      </c>
      <c r="T31" s="256">
        <f t="shared" si="5"/>
        <v>0.007314524556</v>
      </c>
      <c r="U31" s="154"/>
      <c r="V31" s="255">
        <v>46105.0</v>
      </c>
      <c r="W31" s="174">
        <v>1259.6</v>
      </c>
      <c r="X31" s="256">
        <f t="shared" si="6"/>
        <v>0.005026729434</v>
      </c>
      <c r="Y31" s="154"/>
      <c r="Z31" s="255">
        <v>46105.0</v>
      </c>
      <c r="AA31" s="174">
        <v>1219.4</v>
      </c>
      <c r="AB31" s="256">
        <f t="shared" si="7"/>
        <v>-0.001964314945</v>
      </c>
      <c r="AC31" s="154"/>
      <c r="AD31" s="255">
        <v>46105.0</v>
      </c>
      <c r="AE31" s="174">
        <v>3.13</v>
      </c>
      <c r="AF31" s="256">
        <f t="shared" si="8"/>
        <v>-0.06006006006</v>
      </c>
      <c r="AG31" s="257"/>
      <c r="AH31" s="255">
        <v>46105.0</v>
      </c>
      <c r="AI31" s="174">
        <v>369.05</v>
      </c>
      <c r="AJ31" s="256">
        <f t="shared" si="9"/>
        <v>0.005174996595</v>
      </c>
      <c r="AK31" s="257"/>
      <c r="AL31" s="255">
        <v>46105.0</v>
      </c>
      <c r="AM31" s="174">
        <v>6556.37</v>
      </c>
      <c r="AN31" s="256">
        <f t="shared" si="10"/>
        <v>-0.003742592311</v>
      </c>
      <c r="AO31" s="154"/>
      <c r="AP31" s="154"/>
    </row>
    <row r="32">
      <c r="A32" s="154"/>
      <c r="B32" s="255">
        <v>46104.0</v>
      </c>
      <c r="C32" s="174">
        <v>6.09</v>
      </c>
      <c r="D32" s="256">
        <f t="shared" si="1"/>
        <v>0.009950248756</v>
      </c>
      <c r="E32" s="154"/>
      <c r="F32" s="255">
        <v>46104.0</v>
      </c>
      <c r="G32" s="174">
        <v>13.29</v>
      </c>
      <c r="H32" s="256">
        <f t="shared" si="2"/>
        <v>0.006818181818</v>
      </c>
      <c r="I32" s="154"/>
      <c r="J32" s="255">
        <v>46104.0</v>
      </c>
      <c r="K32" s="174">
        <v>28.77</v>
      </c>
      <c r="L32" s="256">
        <f t="shared" si="3"/>
        <v>0.001392272885</v>
      </c>
      <c r="M32" s="154"/>
      <c r="N32" s="255">
        <v>46104.0</v>
      </c>
      <c r="O32" s="174">
        <v>1228.0</v>
      </c>
      <c r="P32" s="256">
        <f t="shared" si="4"/>
        <v>-0.02073365231</v>
      </c>
      <c r="Q32" s="154"/>
      <c r="R32" s="255">
        <v>46104.0</v>
      </c>
      <c r="S32" s="174">
        <v>9.57</v>
      </c>
      <c r="T32" s="256">
        <f t="shared" si="5"/>
        <v>0.03459459459</v>
      </c>
      <c r="U32" s="154"/>
      <c r="V32" s="255">
        <v>46104.0</v>
      </c>
      <c r="W32" s="174">
        <v>1253.3</v>
      </c>
      <c r="X32" s="256">
        <f t="shared" si="6"/>
        <v>-0.03510662869</v>
      </c>
      <c r="Y32" s="154"/>
      <c r="Z32" s="255">
        <v>46104.0</v>
      </c>
      <c r="AA32" s="174">
        <v>1221.8</v>
      </c>
      <c r="AB32" s="256">
        <f t="shared" si="7"/>
        <v>-0.02753900032</v>
      </c>
      <c r="AC32" s="154"/>
      <c r="AD32" s="255">
        <v>46104.0</v>
      </c>
      <c r="AE32" s="174">
        <v>3.33</v>
      </c>
      <c r="AF32" s="256">
        <f t="shared" si="8"/>
        <v>-0.0566572238</v>
      </c>
      <c r="AG32" s="257"/>
      <c r="AH32" s="255">
        <v>46104.0</v>
      </c>
      <c r="AI32" s="174">
        <v>367.15</v>
      </c>
      <c r="AJ32" s="256">
        <f t="shared" si="9"/>
        <v>-0.03622522641</v>
      </c>
      <c r="AK32" s="257"/>
      <c r="AL32" s="255">
        <v>46104.0</v>
      </c>
      <c r="AM32" s="174">
        <v>6581.0</v>
      </c>
      <c r="AN32" s="256">
        <f t="shared" si="10"/>
        <v>0.01145319743</v>
      </c>
      <c r="AO32" s="154"/>
      <c r="AP32" s="154"/>
    </row>
    <row r="33">
      <c r="A33" s="154"/>
      <c r="B33" s="255">
        <v>46101.0</v>
      </c>
      <c r="C33" s="174">
        <v>6.03</v>
      </c>
      <c r="D33" s="256">
        <f t="shared" si="1"/>
        <v>-0.03827751196</v>
      </c>
      <c r="E33" s="154"/>
      <c r="F33" s="255">
        <v>46101.0</v>
      </c>
      <c r="G33" s="174">
        <v>13.2</v>
      </c>
      <c r="H33" s="256">
        <f t="shared" si="2"/>
        <v>-0.02222222222</v>
      </c>
      <c r="I33" s="154"/>
      <c r="J33" s="255">
        <v>46101.0</v>
      </c>
      <c r="K33" s="174">
        <v>28.73</v>
      </c>
      <c r="L33" s="256">
        <f t="shared" si="3"/>
        <v>-0.02411684783</v>
      </c>
      <c r="M33" s="154"/>
      <c r="N33" s="255">
        <v>46101.0</v>
      </c>
      <c r="O33" s="174">
        <v>1254.0</v>
      </c>
      <c r="P33" s="256">
        <f t="shared" si="4"/>
        <v>0.007228915663</v>
      </c>
      <c r="Q33" s="154"/>
      <c r="R33" s="255">
        <v>46101.0</v>
      </c>
      <c r="S33" s="174">
        <v>9.25</v>
      </c>
      <c r="T33" s="256">
        <f t="shared" si="5"/>
        <v>-0.0414507772</v>
      </c>
      <c r="U33" s="154"/>
      <c r="V33" s="255">
        <v>46101.0</v>
      </c>
      <c r="W33" s="174">
        <v>1298.9</v>
      </c>
      <c r="X33" s="256">
        <f t="shared" si="6"/>
        <v>0.01914476265</v>
      </c>
      <c r="Y33" s="154"/>
      <c r="Z33" s="255">
        <v>46101.0</v>
      </c>
      <c r="AA33" s="174">
        <v>1256.4</v>
      </c>
      <c r="AB33" s="256">
        <f t="shared" si="7"/>
        <v>0.01387992253</v>
      </c>
      <c r="AC33" s="154"/>
      <c r="AD33" s="255">
        <v>46101.0</v>
      </c>
      <c r="AE33" s="174">
        <v>3.53</v>
      </c>
      <c r="AF33" s="256">
        <f t="shared" si="8"/>
        <v>-0.01396648045</v>
      </c>
      <c r="AG33" s="257"/>
      <c r="AH33" s="255">
        <v>46101.0</v>
      </c>
      <c r="AI33" s="174">
        <v>380.95</v>
      </c>
      <c r="AJ33" s="256">
        <f t="shared" si="9"/>
        <v>0.03364536698</v>
      </c>
      <c r="AK33" s="257"/>
      <c r="AL33" s="255">
        <v>46101.0</v>
      </c>
      <c r="AM33" s="174">
        <v>6506.48</v>
      </c>
      <c r="AN33" s="256">
        <f t="shared" si="10"/>
        <v>-0.01513814446</v>
      </c>
      <c r="AO33" s="154"/>
      <c r="AP33" s="154"/>
    </row>
    <row r="34">
      <c r="A34" s="154"/>
      <c r="B34" s="255">
        <v>46100.0</v>
      </c>
      <c r="C34" s="174">
        <v>6.27</v>
      </c>
      <c r="D34" s="256">
        <f t="shared" si="1"/>
        <v>0.006420545746</v>
      </c>
      <c r="E34" s="154"/>
      <c r="F34" s="255">
        <v>46100.0</v>
      </c>
      <c r="G34" s="174">
        <v>13.5</v>
      </c>
      <c r="H34" s="256">
        <f t="shared" si="2"/>
        <v>-0.01746724891</v>
      </c>
      <c r="I34" s="154"/>
      <c r="J34" s="255">
        <v>46100.0</v>
      </c>
      <c r="K34" s="174">
        <v>29.44</v>
      </c>
      <c r="L34" s="256">
        <f t="shared" si="3"/>
        <v>-0.005741303614</v>
      </c>
      <c r="M34" s="154"/>
      <c r="N34" s="255">
        <v>46100.0</v>
      </c>
      <c r="O34" s="174">
        <v>1245.0</v>
      </c>
      <c r="P34" s="256">
        <f t="shared" si="4"/>
        <v>-0.03112840467</v>
      </c>
      <c r="Q34" s="154"/>
      <c r="R34" s="255">
        <v>46100.0</v>
      </c>
      <c r="S34" s="174">
        <v>9.65</v>
      </c>
      <c r="T34" s="256">
        <f t="shared" si="5"/>
        <v>-0.0291750503</v>
      </c>
      <c r="U34" s="154"/>
      <c r="V34" s="255">
        <v>46100.0</v>
      </c>
      <c r="W34" s="174">
        <v>1274.5</v>
      </c>
      <c r="X34" s="256">
        <f t="shared" si="6"/>
        <v>-0.015678097</v>
      </c>
      <c r="Y34" s="154"/>
      <c r="Z34" s="255">
        <v>46100.0</v>
      </c>
      <c r="AA34" s="174">
        <v>1239.2</v>
      </c>
      <c r="AB34" s="256">
        <f t="shared" si="7"/>
        <v>-0.02309814742</v>
      </c>
      <c r="AC34" s="154"/>
      <c r="AD34" s="255">
        <v>46100.0</v>
      </c>
      <c r="AE34" s="174">
        <v>3.58</v>
      </c>
      <c r="AF34" s="256">
        <f t="shared" si="8"/>
        <v>-0.05789473684</v>
      </c>
      <c r="AG34" s="257"/>
      <c r="AH34" s="255">
        <v>46100.0</v>
      </c>
      <c r="AI34" s="174">
        <v>368.55</v>
      </c>
      <c r="AJ34" s="256">
        <f t="shared" si="9"/>
        <v>-0.03672242551</v>
      </c>
      <c r="AK34" s="257"/>
      <c r="AL34" s="255">
        <v>46100.0</v>
      </c>
      <c r="AM34" s="174">
        <v>6606.49</v>
      </c>
      <c r="AN34" s="256">
        <f t="shared" si="10"/>
        <v>-0.002748803719</v>
      </c>
      <c r="AO34" s="154"/>
      <c r="AP34" s="154"/>
    </row>
    <row r="35">
      <c r="A35" s="154"/>
      <c r="B35" s="255">
        <v>46099.0</v>
      </c>
      <c r="C35" s="174">
        <v>6.23</v>
      </c>
      <c r="D35" s="256">
        <f t="shared" si="1"/>
        <v>-0.02503912363</v>
      </c>
      <c r="E35" s="154"/>
      <c r="F35" s="255">
        <v>46099.0</v>
      </c>
      <c r="G35" s="174">
        <v>13.74</v>
      </c>
      <c r="H35" s="256">
        <f t="shared" si="2"/>
        <v>-0.004347826087</v>
      </c>
      <c r="I35" s="154"/>
      <c r="J35" s="255">
        <v>46099.0</v>
      </c>
      <c r="K35" s="174">
        <v>29.61</v>
      </c>
      <c r="L35" s="256">
        <f t="shared" si="3"/>
        <v>-0.01595214357</v>
      </c>
      <c r="M35" s="154"/>
      <c r="N35" s="255">
        <v>46099.0</v>
      </c>
      <c r="O35" s="174">
        <v>1285.0</v>
      </c>
      <c r="P35" s="256">
        <f t="shared" si="4"/>
        <v>-0.002329192547</v>
      </c>
      <c r="Q35" s="154"/>
      <c r="R35" s="255">
        <v>46099.0</v>
      </c>
      <c r="S35" s="174">
        <v>9.94</v>
      </c>
      <c r="T35" s="256">
        <f t="shared" si="5"/>
        <v>-0.03495145631</v>
      </c>
      <c r="U35" s="154"/>
      <c r="V35" s="255">
        <v>46099.0</v>
      </c>
      <c r="W35" s="174">
        <v>1294.8</v>
      </c>
      <c r="X35" s="256">
        <f t="shared" si="6"/>
        <v>0.008568312821</v>
      </c>
      <c r="Y35" s="154"/>
      <c r="Z35" s="255">
        <v>46099.0</v>
      </c>
      <c r="AA35" s="174">
        <v>1268.5</v>
      </c>
      <c r="AB35" s="256">
        <f t="shared" si="7"/>
        <v>-0.01045323348</v>
      </c>
      <c r="AC35" s="154"/>
      <c r="AD35" s="255">
        <v>46099.0</v>
      </c>
      <c r="AE35" s="174">
        <v>3.8</v>
      </c>
      <c r="AF35" s="256">
        <f t="shared" si="8"/>
        <v>-0.005235602094</v>
      </c>
      <c r="AG35" s="257"/>
      <c r="AH35" s="255">
        <v>46099.0</v>
      </c>
      <c r="AI35" s="174">
        <v>382.6</v>
      </c>
      <c r="AJ35" s="256">
        <f t="shared" si="9"/>
        <v>0.01337571183</v>
      </c>
      <c r="AK35" s="257"/>
      <c r="AL35" s="255">
        <v>46099.0</v>
      </c>
      <c r="AM35" s="174">
        <v>6624.7</v>
      </c>
      <c r="AN35" s="256">
        <f t="shared" si="10"/>
        <v>-0.01360761991</v>
      </c>
      <c r="AO35" s="154"/>
      <c r="AP35" s="154"/>
    </row>
    <row r="36">
      <c r="A36" s="154"/>
      <c r="B36" s="255">
        <v>46098.0</v>
      </c>
      <c r="C36" s="174">
        <v>6.39</v>
      </c>
      <c r="D36" s="256">
        <f t="shared" si="1"/>
        <v>0.007886435331</v>
      </c>
      <c r="E36" s="154"/>
      <c r="F36" s="255">
        <v>46098.0</v>
      </c>
      <c r="G36" s="174">
        <v>13.8</v>
      </c>
      <c r="H36" s="256">
        <f t="shared" si="2"/>
        <v>0.02146558105</v>
      </c>
      <c r="I36" s="154"/>
      <c r="J36" s="255">
        <v>46098.0</v>
      </c>
      <c r="K36" s="174">
        <v>30.09</v>
      </c>
      <c r="L36" s="256">
        <f t="shared" si="3"/>
        <v>0.02138492872</v>
      </c>
      <c r="M36" s="154"/>
      <c r="N36" s="255">
        <v>46098.0</v>
      </c>
      <c r="O36" s="174">
        <v>1288.0</v>
      </c>
      <c r="P36" s="256">
        <f t="shared" si="4"/>
        <v>0.01737756714</v>
      </c>
      <c r="Q36" s="154"/>
      <c r="R36" s="255">
        <v>46098.0</v>
      </c>
      <c r="S36" s="174">
        <v>10.3</v>
      </c>
      <c r="T36" s="256">
        <f t="shared" si="5"/>
        <v>0.05967078189</v>
      </c>
      <c r="U36" s="154"/>
      <c r="V36" s="255">
        <v>46098.0</v>
      </c>
      <c r="W36" s="174">
        <v>1283.8</v>
      </c>
      <c r="X36" s="256">
        <f t="shared" si="6"/>
        <v>0.005403712115</v>
      </c>
      <c r="Y36" s="154"/>
      <c r="Z36" s="255">
        <v>46098.0</v>
      </c>
      <c r="AA36" s="174">
        <v>1281.9</v>
      </c>
      <c r="AB36" s="256">
        <f t="shared" si="7"/>
        <v>-0.01392307692</v>
      </c>
      <c r="AC36" s="154"/>
      <c r="AD36" s="255">
        <v>46098.0</v>
      </c>
      <c r="AE36" s="174">
        <v>3.82</v>
      </c>
      <c r="AF36" s="256">
        <f t="shared" si="8"/>
        <v>0.05817174515</v>
      </c>
      <c r="AG36" s="257"/>
      <c r="AH36" s="255">
        <v>46098.0</v>
      </c>
      <c r="AI36" s="174">
        <v>377.55</v>
      </c>
      <c r="AJ36" s="256">
        <f t="shared" si="9"/>
        <v>0.001326084074</v>
      </c>
      <c r="AK36" s="257"/>
      <c r="AL36" s="255">
        <v>46098.0</v>
      </c>
      <c r="AM36" s="174">
        <v>6716.09</v>
      </c>
      <c r="AN36" s="256">
        <f t="shared" si="10"/>
        <v>0.002494260663</v>
      </c>
      <c r="AO36" s="154"/>
      <c r="AP36" s="154"/>
    </row>
    <row r="37">
      <c r="A37" s="154"/>
      <c r="B37" s="255">
        <v>46097.0</v>
      </c>
      <c r="C37" s="174">
        <v>6.34</v>
      </c>
      <c r="D37" s="256">
        <f t="shared" si="1"/>
        <v>-0.00157480315</v>
      </c>
      <c r="E37" s="154"/>
      <c r="F37" s="255">
        <v>46097.0</v>
      </c>
      <c r="G37" s="174">
        <v>13.51</v>
      </c>
      <c r="H37" s="256">
        <f t="shared" si="2"/>
        <v>0</v>
      </c>
      <c r="I37" s="154"/>
      <c r="J37" s="255">
        <v>46097.0</v>
      </c>
      <c r="K37" s="174">
        <v>29.46</v>
      </c>
      <c r="L37" s="256">
        <f t="shared" si="3"/>
        <v>0.03115155758</v>
      </c>
      <c r="M37" s="154"/>
      <c r="N37" s="255">
        <v>46097.0</v>
      </c>
      <c r="O37" s="174">
        <v>1266.0</v>
      </c>
      <c r="P37" s="256">
        <f t="shared" si="4"/>
        <v>0.02096774194</v>
      </c>
      <c r="Q37" s="154"/>
      <c r="R37" s="255">
        <v>46097.0</v>
      </c>
      <c r="S37" s="174">
        <v>9.72</v>
      </c>
      <c r="T37" s="256">
        <f t="shared" si="5"/>
        <v>0.04516129032</v>
      </c>
      <c r="U37" s="154"/>
      <c r="V37" s="255">
        <v>46097.0</v>
      </c>
      <c r="W37" s="174">
        <v>1276.9</v>
      </c>
      <c r="X37" s="256">
        <f t="shared" si="6"/>
        <v>-0.0119167376</v>
      </c>
      <c r="Y37" s="154"/>
      <c r="Z37" s="255">
        <v>46097.0</v>
      </c>
      <c r="AA37" s="174">
        <v>1300.0</v>
      </c>
      <c r="AB37" s="256">
        <f t="shared" si="7"/>
        <v>-0.01118125808</v>
      </c>
      <c r="AC37" s="154"/>
      <c r="AD37" s="255">
        <v>46097.0</v>
      </c>
      <c r="AE37" s="174">
        <v>3.61</v>
      </c>
      <c r="AF37" s="256">
        <f t="shared" si="8"/>
        <v>0.04034582133</v>
      </c>
      <c r="AG37" s="257"/>
      <c r="AH37" s="255">
        <v>46097.0</v>
      </c>
      <c r="AI37" s="174">
        <v>377.05</v>
      </c>
      <c r="AJ37" s="256">
        <f t="shared" si="9"/>
        <v>-0.01694694303</v>
      </c>
      <c r="AK37" s="257"/>
      <c r="AL37" s="255">
        <v>46097.0</v>
      </c>
      <c r="AM37" s="174">
        <v>6699.38</v>
      </c>
      <c r="AN37" s="256">
        <f t="shared" si="10"/>
        <v>0.01013089191</v>
      </c>
      <c r="AO37" s="154"/>
      <c r="AP37" s="154"/>
    </row>
    <row r="38">
      <c r="A38" s="154"/>
      <c r="B38" s="255">
        <v>46094.0</v>
      </c>
      <c r="C38" s="174">
        <v>6.35</v>
      </c>
      <c r="D38" s="256">
        <f t="shared" si="1"/>
        <v>0.003159557662</v>
      </c>
      <c r="E38" s="154"/>
      <c r="F38" s="255">
        <v>46094.0</v>
      </c>
      <c r="G38" s="174">
        <v>13.51</v>
      </c>
      <c r="H38" s="256">
        <f t="shared" si="2"/>
        <v>-0.02101449275</v>
      </c>
      <c r="I38" s="154"/>
      <c r="J38" s="255">
        <v>46094.0</v>
      </c>
      <c r="K38" s="174">
        <v>28.57</v>
      </c>
      <c r="L38" s="256">
        <f t="shared" si="3"/>
        <v>-0.02491467577</v>
      </c>
      <c r="M38" s="154"/>
      <c r="N38" s="255">
        <v>46094.0</v>
      </c>
      <c r="O38" s="174">
        <v>1240.0</v>
      </c>
      <c r="P38" s="256">
        <f t="shared" si="4"/>
        <v>0.02564102564</v>
      </c>
      <c r="Q38" s="154"/>
      <c r="R38" s="255">
        <v>46094.0</v>
      </c>
      <c r="S38" s="174">
        <v>9.3</v>
      </c>
      <c r="T38" s="256">
        <f t="shared" si="5"/>
        <v>-0.0127388535</v>
      </c>
      <c r="U38" s="154"/>
      <c r="V38" s="255">
        <v>46094.0</v>
      </c>
      <c r="W38" s="174">
        <v>1292.3</v>
      </c>
      <c r="X38" s="256">
        <f t="shared" si="6"/>
        <v>-0.02024260804</v>
      </c>
      <c r="Y38" s="154"/>
      <c r="Z38" s="255">
        <v>46094.0</v>
      </c>
      <c r="AA38" s="174">
        <v>1314.7</v>
      </c>
      <c r="AB38" s="256">
        <f t="shared" si="7"/>
        <v>-0.007249112739</v>
      </c>
      <c r="AC38" s="154"/>
      <c r="AD38" s="255">
        <v>46094.0</v>
      </c>
      <c r="AE38" s="174">
        <v>3.47</v>
      </c>
      <c r="AF38" s="256">
        <f t="shared" si="8"/>
        <v>-0.0197740113</v>
      </c>
      <c r="AG38" s="257"/>
      <c r="AH38" s="255">
        <v>46094.0</v>
      </c>
      <c r="AI38" s="174">
        <v>383.55</v>
      </c>
      <c r="AJ38" s="256">
        <f t="shared" si="9"/>
        <v>-0.02205507394</v>
      </c>
      <c r="AK38" s="257"/>
      <c r="AL38" s="255">
        <v>46094.0</v>
      </c>
      <c r="AM38" s="174">
        <v>6632.19</v>
      </c>
      <c r="AN38" s="256">
        <f t="shared" si="10"/>
        <v>-0.006059089233</v>
      </c>
      <c r="AO38" s="154"/>
      <c r="AP38" s="154"/>
    </row>
    <row r="39">
      <c r="A39" s="154"/>
      <c r="B39" s="255">
        <v>46093.0</v>
      </c>
      <c r="C39" s="174">
        <v>6.33</v>
      </c>
      <c r="D39" s="256">
        <f t="shared" si="1"/>
        <v>-0.0109375</v>
      </c>
      <c r="E39" s="154"/>
      <c r="F39" s="255">
        <v>46093.0</v>
      </c>
      <c r="G39" s="174">
        <v>13.8</v>
      </c>
      <c r="H39" s="256">
        <f t="shared" si="2"/>
        <v>-0.01216893343</v>
      </c>
      <c r="I39" s="154"/>
      <c r="J39" s="255">
        <v>46093.0</v>
      </c>
      <c r="K39" s="174">
        <v>29.3</v>
      </c>
      <c r="L39" s="256">
        <f t="shared" si="3"/>
        <v>-0.03839842468</v>
      </c>
      <c r="M39" s="154"/>
      <c r="N39" s="255">
        <v>46093.0</v>
      </c>
      <c r="O39" s="174">
        <v>1209.0</v>
      </c>
      <c r="P39" s="256">
        <f t="shared" si="4"/>
        <v>-0.004938271605</v>
      </c>
      <c r="Q39" s="154"/>
      <c r="R39" s="255">
        <v>46093.0</v>
      </c>
      <c r="S39" s="174">
        <v>9.42</v>
      </c>
      <c r="T39" s="256">
        <f t="shared" si="5"/>
        <v>-0.03975535168</v>
      </c>
      <c r="U39" s="154"/>
      <c r="V39" s="255">
        <v>46093.0</v>
      </c>
      <c r="W39" s="174">
        <v>1319.0</v>
      </c>
      <c r="X39" s="256">
        <f t="shared" si="6"/>
        <v>-0.004903809883</v>
      </c>
      <c r="Y39" s="154"/>
      <c r="Z39" s="255">
        <v>46093.0</v>
      </c>
      <c r="AA39" s="174">
        <v>1324.3</v>
      </c>
      <c r="AB39" s="256">
        <f t="shared" si="7"/>
        <v>-0.003911244829</v>
      </c>
      <c r="AC39" s="154"/>
      <c r="AD39" s="255">
        <v>46093.0</v>
      </c>
      <c r="AE39" s="174">
        <v>3.54</v>
      </c>
      <c r="AF39" s="256">
        <f t="shared" si="8"/>
        <v>-0.0509383378</v>
      </c>
      <c r="AG39" s="257"/>
      <c r="AH39" s="255">
        <v>46093.0</v>
      </c>
      <c r="AI39" s="174">
        <v>392.2</v>
      </c>
      <c r="AJ39" s="256">
        <f t="shared" si="9"/>
        <v>-0.007967623625</v>
      </c>
      <c r="AK39" s="257"/>
      <c r="AL39" s="255">
        <v>46093.0</v>
      </c>
      <c r="AM39" s="174">
        <v>6672.62</v>
      </c>
      <c r="AN39" s="256">
        <f t="shared" si="10"/>
        <v>-0.01522772219</v>
      </c>
      <c r="AO39" s="154"/>
      <c r="AP39" s="154"/>
    </row>
    <row r="40">
      <c r="A40" s="154"/>
      <c r="B40" s="255">
        <v>46092.0</v>
      </c>
      <c r="C40" s="174">
        <v>6.4</v>
      </c>
      <c r="D40" s="256">
        <f t="shared" si="1"/>
        <v>-0.01234567901</v>
      </c>
      <c r="E40" s="154"/>
      <c r="F40" s="255">
        <v>46092.0</v>
      </c>
      <c r="G40" s="174">
        <v>13.97</v>
      </c>
      <c r="H40" s="256">
        <f t="shared" si="2"/>
        <v>-0.0078125</v>
      </c>
      <c r="I40" s="154"/>
      <c r="J40" s="255">
        <v>46092.0</v>
      </c>
      <c r="K40" s="174">
        <v>30.47</v>
      </c>
      <c r="L40" s="256">
        <f t="shared" si="3"/>
        <v>-0.03331218274</v>
      </c>
      <c r="M40" s="154"/>
      <c r="N40" s="255">
        <v>46092.0</v>
      </c>
      <c r="O40" s="174">
        <v>1215.0</v>
      </c>
      <c r="P40" s="256">
        <f t="shared" si="4"/>
        <v>0.01503759398</v>
      </c>
      <c r="Q40" s="154"/>
      <c r="R40" s="255">
        <v>46092.0</v>
      </c>
      <c r="S40" s="174">
        <v>9.81</v>
      </c>
      <c r="T40" s="256">
        <f t="shared" si="5"/>
        <v>-0.02871287129</v>
      </c>
      <c r="U40" s="154"/>
      <c r="V40" s="255">
        <v>46092.0</v>
      </c>
      <c r="W40" s="174">
        <v>1325.5</v>
      </c>
      <c r="X40" s="256">
        <f t="shared" si="6"/>
        <v>0.008291495512</v>
      </c>
      <c r="Y40" s="154"/>
      <c r="Z40" s="255">
        <v>46092.0</v>
      </c>
      <c r="AA40" s="174">
        <v>1329.5</v>
      </c>
      <c r="AB40" s="256">
        <f t="shared" si="7"/>
        <v>-0.002999625047</v>
      </c>
      <c r="AC40" s="154"/>
      <c r="AD40" s="255">
        <v>46092.0</v>
      </c>
      <c r="AE40" s="174">
        <v>3.73</v>
      </c>
      <c r="AF40" s="256">
        <f t="shared" si="8"/>
        <v>-0.03865979381</v>
      </c>
      <c r="AG40" s="257"/>
      <c r="AH40" s="255">
        <v>46092.0</v>
      </c>
      <c r="AI40" s="174">
        <v>395.35</v>
      </c>
      <c r="AJ40" s="256">
        <f t="shared" si="9"/>
        <v>-0.001136937847</v>
      </c>
      <c r="AK40" s="257"/>
      <c r="AL40" s="255">
        <v>46092.0</v>
      </c>
      <c r="AM40" s="174">
        <v>6775.8</v>
      </c>
      <c r="AN40" s="256">
        <f t="shared" si="10"/>
        <v>-0.0008375752786</v>
      </c>
      <c r="AO40" s="154"/>
      <c r="AP40" s="154"/>
    </row>
    <row r="41">
      <c r="A41" s="154"/>
      <c r="B41" s="255">
        <v>46091.0</v>
      </c>
      <c r="C41" s="174">
        <v>6.48</v>
      </c>
      <c r="D41" s="256">
        <f t="shared" si="1"/>
        <v>-0.007656967841</v>
      </c>
      <c r="E41" s="154"/>
      <c r="F41" s="255">
        <v>46091.0</v>
      </c>
      <c r="G41" s="174">
        <v>14.08</v>
      </c>
      <c r="H41" s="256">
        <f t="shared" si="2"/>
        <v>-0.009845288326</v>
      </c>
      <c r="I41" s="154"/>
      <c r="J41" s="255">
        <v>46091.0</v>
      </c>
      <c r="K41" s="174">
        <v>31.52</v>
      </c>
      <c r="L41" s="256">
        <f t="shared" si="3"/>
        <v>0.0006349206349</v>
      </c>
      <c r="M41" s="154"/>
      <c r="N41" s="255">
        <v>46091.0</v>
      </c>
      <c r="O41" s="174">
        <v>1197.0</v>
      </c>
      <c r="P41" s="256">
        <f t="shared" si="4"/>
        <v>0.005037783375</v>
      </c>
      <c r="Q41" s="154"/>
      <c r="R41" s="255">
        <v>46091.0</v>
      </c>
      <c r="S41" s="174">
        <v>10.1</v>
      </c>
      <c r="T41" s="256">
        <f t="shared" si="5"/>
        <v>-0.01846452867</v>
      </c>
      <c r="U41" s="154"/>
      <c r="V41" s="255">
        <v>46091.0</v>
      </c>
      <c r="W41" s="174">
        <v>1314.6</v>
      </c>
      <c r="X41" s="256">
        <f t="shared" si="6"/>
        <v>0.02144522145</v>
      </c>
      <c r="Y41" s="154"/>
      <c r="Z41" s="255">
        <v>46091.0</v>
      </c>
      <c r="AA41" s="174">
        <v>1333.5</v>
      </c>
      <c r="AB41" s="256">
        <f t="shared" si="7"/>
        <v>0.00641509434</v>
      </c>
      <c r="AC41" s="154"/>
      <c r="AD41" s="255">
        <v>46091.0</v>
      </c>
      <c r="AE41" s="174">
        <v>3.88</v>
      </c>
      <c r="AF41" s="256">
        <f t="shared" si="8"/>
        <v>-0.03482587065</v>
      </c>
      <c r="AG41" s="257"/>
      <c r="AH41" s="255">
        <v>46091.0</v>
      </c>
      <c r="AI41" s="174">
        <v>395.8</v>
      </c>
      <c r="AJ41" s="256">
        <f t="shared" si="9"/>
        <v>0.01565306646</v>
      </c>
      <c r="AK41" s="257"/>
      <c r="AL41" s="255">
        <v>46091.0</v>
      </c>
      <c r="AM41" s="174">
        <v>6781.48</v>
      </c>
      <c r="AN41" s="256">
        <f t="shared" si="10"/>
        <v>-0.0021350826</v>
      </c>
      <c r="AO41" s="154"/>
      <c r="AP41" s="154"/>
    </row>
    <row r="42">
      <c r="A42" s="154"/>
      <c r="B42" s="255">
        <v>46090.0</v>
      </c>
      <c r="C42" s="174">
        <v>6.53</v>
      </c>
      <c r="D42" s="256">
        <f t="shared" si="1"/>
        <v>-0.004573170732</v>
      </c>
      <c r="E42" s="154"/>
      <c r="F42" s="255">
        <v>46090.0</v>
      </c>
      <c r="G42" s="174">
        <v>14.22</v>
      </c>
      <c r="H42" s="256">
        <f t="shared" si="2"/>
        <v>0.004237288136</v>
      </c>
      <c r="I42" s="154"/>
      <c r="J42" s="255">
        <v>46090.0</v>
      </c>
      <c r="K42" s="174">
        <v>31.5</v>
      </c>
      <c r="L42" s="256">
        <f t="shared" si="3"/>
        <v>0.01449275362</v>
      </c>
      <c r="M42" s="154"/>
      <c r="N42" s="255">
        <v>46090.0</v>
      </c>
      <c r="O42" s="174">
        <v>1191.0</v>
      </c>
      <c r="P42" s="256">
        <f t="shared" si="4"/>
        <v>-0.01488833747</v>
      </c>
      <c r="Q42" s="154"/>
      <c r="R42" s="255">
        <v>46090.0</v>
      </c>
      <c r="S42" s="174">
        <v>10.29</v>
      </c>
      <c r="T42" s="256">
        <f t="shared" si="5"/>
        <v>-0.0401119403</v>
      </c>
      <c r="U42" s="154"/>
      <c r="V42" s="255">
        <v>46090.0</v>
      </c>
      <c r="W42" s="174">
        <v>1287.0</v>
      </c>
      <c r="X42" s="256">
        <f t="shared" si="6"/>
        <v>-0.01288541187</v>
      </c>
      <c r="Y42" s="154"/>
      <c r="Z42" s="255">
        <v>46090.0</v>
      </c>
      <c r="AA42" s="174">
        <v>1325.0</v>
      </c>
      <c r="AB42" s="256">
        <f t="shared" si="7"/>
        <v>0.002876173176</v>
      </c>
      <c r="AC42" s="154"/>
      <c r="AD42" s="255">
        <v>46090.0</v>
      </c>
      <c r="AE42" s="174">
        <v>4.02</v>
      </c>
      <c r="AF42" s="256">
        <f t="shared" si="8"/>
        <v>0.002493765586</v>
      </c>
      <c r="AG42" s="257"/>
      <c r="AH42" s="255">
        <v>46090.0</v>
      </c>
      <c r="AI42" s="174">
        <v>389.7</v>
      </c>
      <c r="AJ42" s="256">
        <f t="shared" si="9"/>
        <v>-0.002559508574</v>
      </c>
      <c r="AK42" s="257"/>
      <c r="AL42" s="255">
        <v>46090.0</v>
      </c>
      <c r="AM42" s="174">
        <v>6795.99</v>
      </c>
      <c r="AN42" s="256">
        <f t="shared" si="10"/>
        <v>0.008304129661</v>
      </c>
      <c r="AO42" s="154"/>
      <c r="AP42" s="154"/>
    </row>
    <row r="43">
      <c r="A43" s="154"/>
      <c r="B43" s="255">
        <v>46087.0</v>
      </c>
      <c r="C43" s="174">
        <v>6.56</v>
      </c>
      <c r="D43" s="256">
        <f t="shared" si="1"/>
        <v>-0.02235469449</v>
      </c>
      <c r="E43" s="154"/>
      <c r="F43" s="255">
        <v>46087.0</v>
      </c>
      <c r="G43" s="174">
        <v>14.16</v>
      </c>
      <c r="H43" s="256">
        <f t="shared" si="2"/>
        <v>-0.02546455609</v>
      </c>
      <c r="I43" s="154"/>
      <c r="J43" s="255">
        <v>46087.0</v>
      </c>
      <c r="K43" s="174">
        <v>31.05</v>
      </c>
      <c r="L43" s="256">
        <f t="shared" si="3"/>
        <v>-0.02204724409</v>
      </c>
      <c r="M43" s="154"/>
      <c r="N43" s="255">
        <v>46087.0</v>
      </c>
      <c r="O43" s="174">
        <v>1209.0</v>
      </c>
      <c r="P43" s="256">
        <f t="shared" si="4"/>
        <v>-0.000826446281</v>
      </c>
      <c r="Q43" s="154"/>
      <c r="R43" s="255">
        <v>46087.0</v>
      </c>
      <c r="S43" s="174">
        <v>10.72</v>
      </c>
      <c r="T43" s="256">
        <f t="shared" si="5"/>
        <v>-0.04285714286</v>
      </c>
      <c r="U43" s="154"/>
      <c r="V43" s="255">
        <v>46087.0</v>
      </c>
      <c r="W43" s="174">
        <v>1303.8</v>
      </c>
      <c r="X43" s="256">
        <f t="shared" si="6"/>
        <v>-0.007384849638</v>
      </c>
      <c r="Y43" s="154"/>
      <c r="Z43" s="255">
        <v>46087.0</v>
      </c>
      <c r="AA43" s="174">
        <v>1321.2</v>
      </c>
      <c r="AB43" s="256">
        <f t="shared" si="7"/>
        <v>-0.003920386007</v>
      </c>
      <c r="AC43" s="154"/>
      <c r="AD43" s="255">
        <v>46087.0</v>
      </c>
      <c r="AE43" s="174">
        <v>4.01</v>
      </c>
      <c r="AF43" s="256">
        <f t="shared" si="8"/>
        <v>-0.03605769231</v>
      </c>
      <c r="AG43" s="257"/>
      <c r="AH43" s="255">
        <v>46087.0</v>
      </c>
      <c r="AI43" s="174">
        <v>390.7</v>
      </c>
      <c r="AJ43" s="256">
        <f t="shared" si="9"/>
        <v>0.01008273009</v>
      </c>
      <c r="AK43" s="257"/>
      <c r="AL43" s="255">
        <v>46087.0</v>
      </c>
      <c r="AM43" s="174">
        <v>6740.02</v>
      </c>
      <c r="AN43" s="256">
        <f t="shared" si="10"/>
        <v>-0.01327680431</v>
      </c>
      <c r="AO43" s="154"/>
      <c r="AP43" s="154"/>
    </row>
    <row r="44">
      <c r="A44" s="154"/>
      <c r="B44" s="255">
        <v>46086.0</v>
      </c>
      <c r="C44" s="174">
        <v>6.71</v>
      </c>
      <c r="D44" s="256">
        <f t="shared" si="1"/>
        <v>-0.02328966521</v>
      </c>
      <c r="E44" s="154"/>
      <c r="F44" s="255">
        <v>46086.0</v>
      </c>
      <c r="G44" s="174">
        <v>14.53</v>
      </c>
      <c r="H44" s="256">
        <f t="shared" si="2"/>
        <v>-0.01223657376</v>
      </c>
      <c r="I44" s="154"/>
      <c r="J44" s="255">
        <v>46086.0</v>
      </c>
      <c r="K44" s="174">
        <v>31.75</v>
      </c>
      <c r="L44" s="256">
        <f t="shared" si="3"/>
        <v>-0.03524764509</v>
      </c>
      <c r="M44" s="154"/>
      <c r="N44" s="255">
        <v>46086.0</v>
      </c>
      <c r="O44" s="174">
        <v>1210.0</v>
      </c>
      <c r="P44" s="256">
        <f t="shared" si="4"/>
        <v>-0.03122497998</v>
      </c>
      <c r="Q44" s="154"/>
      <c r="R44" s="255">
        <v>46086.0</v>
      </c>
      <c r="S44" s="174">
        <v>11.2</v>
      </c>
      <c r="T44" s="256">
        <f t="shared" si="5"/>
        <v>-0.04191616766</v>
      </c>
      <c r="U44" s="154"/>
      <c r="V44" s="255">
        <v>46086.0</v>
      </c>
      <c r="W44" s="174">
        <v>1313.5</v>
      </c>
      <c r="X44" s="256">
        <f t="shared" si="6"/>
        <v>0.01727075589</v>
      </c>
      <c r="Y44" s="154"/>
      <c r="Z44" s="255">
        <v>46086.0</v>
      </c>
      <c r="AA44" s="174">
        <v>1326.4</v>
      </c>
      <c r="AB44" s="256">
        <f t="shared" si="7"/>
        <v>0.01005178191</v>
      </c>
      <c r="AC44" s="154"/>
      <c r="AD44" s="255">
        <v>46086.0</v>
      </c>
      <c r="AE44" s="174">
        <v>4.16</v>
      </c>
      <c r="AF44" s="256">
        <f t="shared" si="8"/>
        <v>0.06940874036</v>
      </c>
      <c r="AG44" s="257"/>
      <c r="AH44" s="255">
        <v>46086.0</v>
      </c>
      <c r="AI44" s="174">
        <v>386.8</v>
      </c>
      <c r="AJ44" s="256">
        <f t="shared" si="9"/>
        <v>0.02233381789</v>
      </c>
      <c r="AK44" s="257"/>
      <c r="AL44" s="255">
        <v>46086.0</v>
      </c>
      <c r="AM44" s="174">
        <v>6830.71</v>
      </c>
      <c r="AN44" s="256">
        <f t="shared" si="10"/>
        <v>-0.005646699178</v>
      </c>
      <c r="AO44" s="154"/>
      <c r="AP44" s="154"/>
    </row>
    <row r="45">
      <c r="A45" s="154"/>
      <c r="B45" s="255">
        <v>46085.0</v>
      </c>
      <c r="C45" s="174">
        <v>6.87</v>
      </c>
      <c r="D45" s="256">
        <f t="shared" si="1"/>
        <v>-0.004347826087</v>
      </c>
      <c r="E45" s="154"/>
      <c r="F45" s="255">
        <v>46085.0</v>
      </c>
      <c r="G45" s="174">
        <v>14.71</v>
      </c>
      <c r="H45" s="256">
        <f t="shared" si="2"/>
        <v>-0.0120886501</v>
      </c>
      <c r="I45" s="154"/>
      <c r="J45" s="255">
        <v>46085.0</v>
      </c>
      <c r="K45" s="174">
        <v>32.91</v>
      </c>
      <c r="L45" s="256">
        <f t="shared" si="3"/>
        <v>0.01951672862</v>
      </c>
      <c r="M45" s="154"/>
      <c r="N45" s="255">
        <v>46085.0</v>
      </c>
      <c r="O45" s="174">
        <v>1249.0</v>
      </c>
      <c r="P45" s="256">
        <f t="shared" si="4"/>
        <v>0.001603849238</v>
      </c>
      <c r="Q45" s="154"/>
      <c r="R45" s="255">
        <v>46085.0</v>
      </c>
      <c r="S45" s="174">
        <v>11.69</v>
      </c>
      <c r="T45" s="256">
        <f t="shared" si="5"/>
        <v>0.02633889377</v>
      </c>
      <c r="U45" s="154"/>
      <c r="V45" s="255">
        <v>46085.0</v>
      </c>
      <c r="W45" s="174">
        <v>1291.2</v>
      </c>
      <c r="X45" s="256">
        <f t="shared" si="6"/>
        <v>-0.0006191950464</v>
      </c>
      <c r="Y45" s="154"/>
      <c r="Z45" s="255">
        <v>46085.0</v>
      </c>
      <c r="AA45" s="174">
        <v>1313.2</v>
      </c>
      <c r="AB45" s="256">
        <f t="shared" si="7"/>
        <v>-0.01263157895</v>
      </c>
      <c r="AC45" s="154"/>
      <c r="AD45" s="255">
        <v>46085.0</v>
      </c>
      <c r="AE45" s="174">
        <v>3.89</v>
      </c>
      <c r="AF45" s="256">
        <f t="shared" si="8"/>
        <v>0.02368421053</v>
      </c>
      <c r="AG45" s="257"/>
      <c r="AH45" s="255">
        <v>46085.0</v>
      </c>
      <c r="AI45" s="174">
        <v>378.35</v>
      </c>
      <c r="AJ45" s="256">
        <f t="shared" si="9"/>
        <v>-0.01291416645</v>
      </c>
      <c r="AK45" s="257"/>
      <c r="AL45" s="255">
        <v>46085.0</v>
      </c>
      <c r="AM45" s="174">
        <v>6869.5</v>
      </c>
      <c r="AN45" s="256">
        <f t="shared" si="10"/>
        <v>0.00775603194</v>
      </c>
      <c r="AO45" s="154"/>
      <c r="AP45" s="154"/>
    </row>
    <row r="46">
      <c r="A46" s="154"/>
      <c r="B46" s="255">
        <v>46084.0</v>
      </c>
      <c r="C46" s="174">
        <v>6.9</v>
      </c>
      <c r="D46" s="256">
        <f t="shared" si="1"/>
        <v>-0.04033379694</v>
      </c>
      <c r="E46" s="154"/>
      <c r="F46" s="255">
        <v>46084.0</v>
      </c>
      <c r="G46" s="174">
        <v>14.89</v>
      </c>
      <c r="H46" s="256">
        <f t="shared" si="2"/>
        <v>-0.05159235669</v>
      </c>
      <c r="I46" s="154"/>
      <c r="J46" s="255">
        <v>46084.0</v>
      </c>
      <c r="K46" s="174">
        <v>32.28</v>
      </c>
      <c r="L46" s="256">
        <f t="shared" si="3"/>
        <v>-0.04412200178</v>
      </c>
      <c r="M46" s="154"/>
      <c r="N46" s="255">
        <v>46084.0</v>
      </c>
      <c r="O46" s="174">
        <v>1247.0</v>
      </c>
      <c r="P46" s="256">
        <f t="shared" si="4"/>
        <v>-0.001601281025</v>
      </c>
      <c r="Q46" s="154"/>
      <c r="R46" s="255">
        <v>46084.0</v>
      </c>
      <c r="S46" s="174">
        <v>11.39</v>
      </c>
      <c r="T46" s="256">
        <f t="shared" si="5"/>
        <v>-0.07698541329</v>
      </c>
      <c r="U46" s="154"/>
      <c r="V46" s="255">
        <v>46084.0</v>
      </c>
      <c r="W46" s="258">
        <v>1292.0</v>
      </c>
      <c r="X46" s="256">
        <f t="shared" si="6"/>
        <v>-0.001854140915</v>
      </c>
      <c r="Y46" s="154"/>
      <c r="Z46" s="255">
        <v>46084.0</v>
      </c>
      <c r="AA46" s="258">
        <v>1330.0</v>
      </c>
      <c r="AB46" s="256">
        <f t="shared" si="7"/>
        <v>-0.01598105949</v>
      </c>
      <c r="AC46" s="154"/>
      <c r="AD46" s="255">
        <v>46084.0</v>
      </c>
      <c r="AE46" s="174">
        <v>3.8</v>
      </c>
      <c r="AF46" s="256">
        <f t="shared" si="8"/>
        <v>-0.0404040404</v>
      </c>
      <c r="AG46" s="257"/>
      <c r="AH46" s="255">
        <v>46084.0</v>
      </c>
      <c r="AI46" s="258">
        <v>383.3</v>
      </c>
      <c r="AJ46" s="256">
        <f t="shared" si="9"/>
        <v>-0.01198608068</v>
      </c>
      <c r="AK46" s="257"/>
      <c r="AL46" s="255">
        <v>46084.0</v>
      </c>
      <c r="AM46" s="174">
        <v>6816.63</v>
      </c>
      <c r="AN46" s="256">
        <f t="shared" si="10"/>
        <v>-0.009443997198</v>
      </c>
      <c r="AO46" s="154"/>
      <c r="AP46" s="154"/>
    </row>
    <row r="47">
      <c r="A47" s="154"/>
      <c r="B47" s="255">
        <v>46083.0</v>
      </c>
      <c r="C47" s="174">
        <v>7.19</v>
      </c>
      <c r="D47" s="256">
        <f t="shared" si="1"/>
        <v>-0.01371742112</v>
      </c>
      <c r="E47" s="154"/>
      <c r="F47" s="255">
        <v>46083.0</v>
      </c>
      <c r="G47" s="174">
        <v>15.7</v>
      </c>
      <c r="H47" s="256">
        <f t="shared" si="2"/>
        <v>0.05157401206</v>
      </c>
      <c r="I47" s="154"/>
      <c r="J47" s="255">
        <v>46083.0</v>
      </c>
      <c r="K47" s="174">
        <v>33.77</v>
      </c>
      <c r="L47" s="256">
        <f t="shared" si="3"/>
        <v>-0.002658003544</v>
      </c>
      <c r="M47" s="154"/>
      <c r="N47" s="255">
        <v>46083.0</v>
      </c>
      <c r="O47" s="174">
        <v>1249.0</v>
      </c>
      <c r="P47" s="256">
        <f t="shared" si="4"/>
        <v>-0.04946727549</v>
      </c>
      <c r="Q47" s="154"/>
      <c r="R47" s="255">
        <v>46083.0</v>
      </c>
      <c r="S47" s="174">
        <v>12.34</v>
      </c>
      <c r="T47" s="256">
        <f t="shared" si="5"/>
        <v>-0.06656580938</v>
      </c>
      <c r="U47" s="154"/>
      <c r="V47" s="255">
        <v>46083.0</v>
      </c>
      <c r="W47" s="174">
        <v>1294.4</v>
      </c>
      <c r="X47" s="256">
        <f t="shared" si="6"/>
        <v>0.006297131307</v>
      </c>
      <c r="Y47" s="154"/>
      <c r="Z47" s="255">
        <v>46083.0</v>
      </c>
      <c r="AA47" s="174">
        <v>1351.6</v>
      </c>
      <c r="AB47" s="256">
        <f t="shared" si="7"/>
        <v>0.002521881027</v>
      </c>
      <c r="AC47" s="154"/>
      <c r="AD47" s="255">
        <v>46083.0</v>
      </c>
      <c r="AE47" s="174">
        <v>3.96</v>
      </c>
      <c r="AF47" s="256">
        <f t="shared" si="8"/>
        <v>-0.007518796992</v>
      </c>
      <c r="AG47" s="257"/>
      <c r="AH47" s="255">
        <v>46083.0</v>
      </c>
      <c r="AI47" s="174">
        <v>387.95</v>
      </c>
      <c r="AJ47" s="256">
        <f t="shared" si="9"/>
        <v>-0.004746023602</v>
      </c>
      <c r="AK47" s="257"/>
      <c r="AL47" s="255">
        <v>46083.0</v>
      </c>
      <c r="AM47" s="174">
        <v>6881.62</v>
      </c>
      <c r="AN47" s="256">
        <f t="shared" si="10"/>
        <v>0.0003983206569</v>
      </c>
      <c r="AO47" s="154"/>
      <c r="AP47" s="154"/>
    </row>
    <row r="48">
      <c r="A48" s="154"/>
      <c r="B48" s="255">
        <v>46080.0</v>
      </c>
      <c r="C48" s="174">
        <v>7.29</v>
      </c>
      <c r="D48" s="256">
        <f t="shared" si="1"/>
        <v>0.008298755187</v>
      </c>
      <c r="E48" s="154"/>
      <c r="F48" s="255">
        <v>46080.0</v>
      </c>
      <c r="G48" s="174">
        <v>14.93</v>
      </c>
      <c r="H48" s="256">
        <f t="shared" si="2"/>
        <v>-0.02098360656</v>
      </c>
      <c r="I48" s="154"/>
      <c r="J48" s="255">
        <v>46080.0</v>
      </c>
      <c r="K48" s="174">
        <v>33.86</v>
      </c>
      <c r="L48" s="256">
        <f t="shared" si="3"/>
        <v>0.002665087356</v>
      </c>
      <c r="M48" s="154"/>
      <c r="N48" s="255">
        <v>46080.0</v>
      </c>
      <c r="O48" s="174">
        <v>1314.0</v>
      </c>
      <c r="P48" s="256">
        <f t="shared" si="4"/>
        <v>-0.04297159505</v>
      </c>
      <c r="Q48" s="154"/>
      <c r="R48" s="255">
        <v>46080.0</v>
      </c>
      <c r="S48" s="174">
        <v>13.22</v>
      </c>
      <c r="T48" s="256">
        <f t="shared" si="5"/>
        <v>-0.06835799859</v>
      </c>
      <c r="U48" s="154"/>
      <c r="V48" s="255">
        <v>46080.0</v>
      </c>
      <c r="W48" s="174">
        <v>1286.3</v>
      </c>
      <c r="X48" s="256">
        <f t="shared" si="6"/>
        <v>-0.02501326461</v>
      </c>
      <c r="Y48" s="154"/>
      <c r="Z48" s="255">
        <v>46080.0</v>
      </c>
      <c r="AA48" s="174">
        <v>1348.2</v>
      </c>
      <c r="AB48" s="256">
        <f t="shared" si="7"/>
        <v>-0.007289595759</v>
      </c>
      <c r="AC48" s="154"/>
      <c r="AD48" s="255">
        <v>46080.0</v>
      </c>
      <c r="AE48" s="174">
        <v>3.99</v>
      </c>
      <c r="AF48" s="256">
        <f t="shared" si="8"/>
        <v>-0.04086538462</v>
      </c>
      <c r="AG48" s="257"/>
      <c r="AH48" s="255">
        <v>46080.0</v>
      </c>
      <c r="AI48" s="174">
        <v>389.8</v>
      </c>
      <c r="AJ48" s="256">
        <f t="shared" si="9"/>
        <v>-0.01278966696</v>
      </c>
      <c r="AK48" s="257"/>
      <c r="AL48" s="255">
        <v>46080.0</v>
      </c>
      <c r="AM48" s="174">
        <v>6878.88</v>
      </c>
      <c r="AN48" s="256">
        <f t="shared" si="10"/>
        <v>-0.004339355552</v>
      </c>
      <c r="AO48" s="154"/>
      <c r="AP48" s="154"/>
    </row>
    <row r="49">
      <c r="A49" s="154"/>
      <c r="B49" s="255">
        <v>46079.0</v>
      </c>
      <c r="C49" s="174">
        <v>7.23</v>
      </c>
      <c r="D49" s="256">
        <f t="shared" si="1"/>
        <v>-0.03728362184</v>
      </c>
      <c r="E49" s="154"/>
      <c r="F49" s="255">
        <v>46079.0</v>
      </c>
      <c r="G49" s="174">
        <v>15.25</v>
      </c>
      <c r="H49" s="256">
        <f t="shared" si="2"/>
        <v>-0.05161691542</v>
      </c>
      <c r="I49" s="154"/>
      <c r="J49" s="255">
        <v>46079.0</v>
      </c>
      <c r="K49" s="174">
        <v>33.77</v>
      </c>
      <c r="L49" s="256">
        <f t="shared" si="3"/>
        <v>0.004461629982</v>
      </c>
      <c r="M49" s="154"/>
      <c r="N49" s="255">
        <v>46079.0</v>
      </c>
      <c r="O49" s="174">
        <v>1373.0</v>
      </c>
      <c r="P49" s="256">
        <f t="shared" si="4"/>
        <v>-0.1688861985</v>
      </c>
      <c r="Q49" s="154"/>
      <c r="R49" s="255">
        <v>46079.0</v>
      </c>
      <c r="S49" s="174">
        <v>14.19</v>
      </c>
      <c r="T49" s="256">
        <f t="shared" si="5"/>
        <v>-0.01526717557</v>
      </c>
      <c r="U49" s="154"/>
      <c r="V49" s="255">
        <v>46079.0</v>
      </c>
      <c r="W49" s="174">
        <v>1319.3</v>
      </c>
      <c r="X49" s="256">
        <f t="shared" si="6"/>
        <v>0.009797168006</v>
      </c>
      <c r="Y49" s="154"/>
      <c r="Z49" s="255">
        <v>46079.0</v>
      </c>
      <c r="AA49" s="174">
        <v>1358.1</v>
      </c>
      <c r="AB49" s="256">
        <f t="shared" si="7"/>
        <v>0.0089146423</v>
      </c>
      <c r="AC49" s="154"/>
      <c r="AD49" s="255">
        <v>46079.0</v>
      </c>
      <c r="AE49" s="174">
        <v>4.16</v>
      </c>
      <c r="AF49" s="256">
        <f t="shared" si="8"/>
        <v>0.01711491443</v>
      </c>
      <c r="AG49" s="257"/>
      <c r="AH49" s="255">
        <v>46079.0</v>
      </c>
      <c r="AI49" s="174">
        <v>394.85</v>
      </c>
      <c r="AJ49" s="256">
        <f t="shared" si="9"/>
        <v>-0.002526209423</v>
      </c>
      <c r="AK49" s="257"/>
      <c r="AL49" s="255">
        <v>46079.0</v>
      </c>
      <c r="AM49" s="174">
        <v>6908.86</v>
      </c>
      <c r="AN49" s="256">
        <f t="shared" si="10"/>
        <v>-0.005365577667</v>
      </c>
      <c r="AO49" s="154"/>
      <c r="AP49" s="154"/>
    </row>
    <row r="50">
      <c r="A50" s="154"/>
      <c r="B50" s="255">
        <v>46078.0</v>
      </c>
      <c r="C50" s="174">
        <v>7.51</v>
      </c>
      <c r="D50" s="256">
        <f t="shared" si="1"/>
        <v>-0.0773955774</v>
      </c>
      <c r="E50" s="154"/>
      <c r="F50" s="255">
        <v>46078.0</v>
      </c>
      <c r="G50" s="174">
        <v>16.08</v>
      </c>
      <c r="H50" s="256">
        <f t="shared" si="2"/>
        <v>0.0006222775358</v>
      </c>
      <c r="I50" s="154"/>
      <c r="J50" s="255">
        <v>46078.0</v>
      </c>
      <c r="K50" s="174">
        <v>33.62</v>
      </c>
      <c r="L50" s="256">
        <f t="shared" si="3"/>
        <v>-0.008844339623</v>
      </c>
      <c r="M50" s="154"/>
      <c r="N50" s="255">
        <v>46078.0</v>
      </c>
      <c r="O50" s="174">
        <v>1652.0</v>
      </c>
      <c r="P50" s="256">
        <f t="shared" si="4"/>
        <v>-0.0006049606776</v>
      </c>
      <c r="Q50" s="154"/>
      <c r="R50" s="255">
        <v>46078.0</v>
      </c>
      <c r="S50" s="174">
        <v>14.41</v>
      </c>
      <c r="T50" s="256">
        <f t="shared" si="5"/>
        <v>-0.01368925394</v>
      </c>
      <c r="U50" s="154"/>
      <c r="V50" s="255">
        <v>46078.0</v>
      </c>
      <c r="W50" s="174">
        <v>1306.5</v>
      </c>
      <c r="X50" s="256">
        <f t="shared" si="6"/>
        <v>0.004845408399</v>
      </c>
      <c r="Y50" s="154"/>
      <c r="Z50" s="255">
        <v>46078.0</v>
      </c>
      <c r="AA50" s="174">
        <v>1346.1</v>
      </c>
      <c r="AB50" s="256">
        <f t="shared" si="7"/>
        <v>0.01462274817</v>
      </c>
      <c r="AC50" s="154"/>
      <c r="AD50" s="255">
        <v>46078.0</v>
      </c>
      <c r="AE50" s="174">
        <v>4.09</v>
      </c>
      <c r="AF50" s="256">
        <f t="shared" si="8"/>
        <v>-0.004866180049</v>
      </c>
      <c r="AG50" s="257"/>
      <c r="AH50" s="255">
        <v>46078.0</v>
      </c>
      <c r="AI50" s="174">
        <v>395.85</v>
      </c>
      <c r="AJ50" s="256">
        <f t="shared" si="9"/>
        <v>0.01305182342</v>
      </c>
      <c r="AK50" s="257"/>
      <c r="AL50" s="255">
        <v>46078.0</v>
      </c>
      <c r="AM50" s="174">
        <v>6946.13</v>
      </c>
      <c r="AN50" s="256">
        <f t="shared" si="10"/>
        <v>0.008136346946</v>
      </c>
      <c r="AO50" s="154"/>
      <c r="AP50" s="154"/>
    </row>
    <row r="51">
      <c r="A51" s="154"/>
      <c r="B51" s="255">
        <v>46077.0</v>
      </c>
      <c r="C51" s="174">
        <v>8.14</v>
      </c>
      <c r="D51" s="256">
        <f t="shared" si="1"/>
        <v>0.02777777778</v>
      </c>
      <c r="E51" s="154"/>
      <c r="F51" s="255">
        <v>46077.0</v>
      </c>
      <c r="G51" s="174">
        <v>16.07</v>
      </c>
      <c r="H51" s="256">
        <f t="shared" si="2"/>
        <v>0.007523510972</v>
      </c>
      <c r="I51" s="154"/>
      <c r="J51" s="255">
        <v>46077.0</v>
      </c>
      <c r="K51" s="174">
        <v>33.92</v>
      </c>
      <c r="L51" s="256">
        <f t="shared" si="3"/>
        <v>0.0002948982601</v>
      </c>
      <c r="M51" s="154"/>
      <c r="N51" s="255">
        <v>46077.0</v>
      </c>
      <c r="O51" s="174">
        <v>1653.0</v>
      </c>
      <c r="P51" s="256">
        <f t="shared" si="4"/>
        <v>0.02100061767</v>
      </c>
      <c r="Q51" s="154"/>
      <c r="R51" s="255">
        <v>46077.0</v>
      </c>
      <c r="S51" s="174">
        <v>14.61</v>
      </c>
      <c r="T51" s="256">
        <f t="shared" si="5"/>
        <v>0.00412371134</v>
      </c>
      <c r="U51" s="154"/>
      <c r="V51" s="255">
        <v>46077.0</v>
      </c>
      <c r="W51" s="174">
        <v>1300.2</v>
      </c>
      <c r="X51" s="256">
        <f t="shared" si="6"/>
        <v>-0.005507113355</v>
      </c>
      <c r="Y51" s="154"/>
      <c r="Z51" s="255">
        <v>46077.0</v>
      </c>
      <c r="AA51" s="174">
        <v>1326.7</v>
      </c>
      <c r="AB51" s="256">
        <f t="shared" si="7"/>
        <v>0.0001507727101</v>
      </c>
      <c r="AC51" s="154"/>
      <c r="AD51" s="255">
        <v>46077.0</v>
      </c>
      <c r="AE51" s="174">
        <v>4.11</v>
      </c>
      <c r="AF51" s="256">
        <f t="shared" si="8"/>
        <v>-0.02606635071</v>
      </c>
      <c r="AG51" s="257"/>
      <c r="AH51" s="255">
        <v>46077.0</v>
      </c>
      <c r="AI51" s="174">
        <v>390.75</v>
      </c>
      <c r="AJ51" s="256">
        <f t="shared" si="9"/>
        <v>0.007866907403</v>
      </c>
      <c r="AK51" s="257"/>
      <c r="AL51" s="255">
        <v>46077.0</v>
      </c>
      <c r="AM51" s="174">
        <v>6890.07</v>
      </c>
      <c r="AN51" s="256">
        <f t="shared" si="10"/>
        <v>0.007651639794</v>
      </c>
      <c r="AO51" s="154"/>
      <c r="AP51" s="154"/>
    </row>
    <row r="52">
      <c r="A52" s="154"/>
      <c r="B52" s="255">
        <v>46076.0</v>
      </c>
      <c r="C52" s="174">
        <v>7.92</v>
      </c>
      <c r="D52" s="256">
        <f t="shared" si="1"/>
        <v>-0.02222222222</v>
      </c>
      <c r="E52" s="154"/>
      <c r="F52" s="255">
        <v>46076.0</v>
      </c>
      <c r="G52" s="174">
        <v>15.95</v>
      </c>
      <c r="H52" s="256">
        <f t="shared" si="2"/>
        <v>0.001884422111</v>
      </c>
      <c r="I52" s="154"/>
      <c r="J52" s="255">
        <v>46076.0</v>
      </c>
      <c r="K52" s="174">
        <v>33.91</v>
      </c>
      <c r="L52" s="256">
        <f t="shared" si="3"/>
        <v>-0.009059029807</v>
      </c>
      <c r="M52" s="154"/>
      <c r="N52" s="255">
        <v>46076.0</v>
      </c>
      <c r="O52" s="174">
        <v>1619.0</v>
      </c>
      <c r="P52" s="256">
        <f t="shared" si="4"/>
        <v>-0.0085731782</v>
      </c>
      <c r="Q52" s="154"/>
      <c r="R52" s="255">
        <v>46076.0</v>
      </c>
      <c r="S52" s="174">
        <v>14.55</v>
      </c>
      <c r="T52" s="256">
        <f t="shared" si="5"/>
        <v>-0.02805611222</v>
      </c>
      <c r="U52" s="154"/>
      <c r="V52" s="255">
        <v>46076.0</v>
      </c>
      <c r="W52" s="174">
        <v>1307.4</v>
      </c>
      <c r="X52" s="256">
        <f t="shared" si="6"/>
        <v>0.02108716026</v>
      </c>
      <c r="Y52" s="154"/>
      <c r="Z52" s="255">
        <v>46076.0</v>
      </c>
      <c r="AA52" s="174">
        <v>1326.5</v>
      </c>
      <c r="AB52" s="256">
        <f t="shared" si="7"/>
        <v>-0.01088658564</v>
      </c>
      <c r="AC52" s="154"/>
      <c r="AD52" s="255">
        <v>46076.0</v>
      </c>
      <c r="AE52" s="174">
        <v>4.22</v>
      </c>
      <c r="AF52" s="256">
        <f t="shared" si="8"/>
        <v>0.0193236715</v>
      </c>
      <c r="AG52" s="257"/>
      <c r="AH52" s="255">
        <v>46076.0</v>
      </c>
      <c r="AI52" s="174">
        <v>387.7</v>
      </c>
      <c r="AJ52" s="256">
        <f t="shared" si="9"/>
        <v>0.009766896731</v>
      </c>
      <c r="AK52" s="257"/>
      <c r="AL52" s="255">
        <v>46076.0</v>
      </c>
      <c r="AM52" s="174">
        <v>6837.75</v>
      </c>
      <c r="AN52" s="256">
        <f t="shared" si="10"/>
        <v>-0.01038568582</v>
      </c>
      <c r="AO52" s="154"/>
      <c r="AP52" s="154"/>
    </row>
    <row r="53">
      <c r="A53" s="154"/>
      <c r="B53" s="255">
        <v>46073.0</v>
      </c>
      <c r="C53" s="174">
        <v>8.1</v>
      </c>
      <c r="D53" s="256">
        <f t="shared" si="1"/>
        <v>0.07712765957</v>
      </c>
      <c r="E53" s="154"/>
      <c r="F53" s="255">
        <v>46073.0</v>
      </c>
      <c r="G53" s="174">
        <v>15.92</v>
      </c>
      <c r="H53" s="256">
        <f t="shared" si="2"/>
        <v>-0.003754693367</v>
      </c>
      <c r="I53" s="154"/>
      <c r="J53" s="255">
        <v>46073.0</v>
      </c>
      <c r="K53" s="174">
        <v>34.22</v>
      </c>
      <c r="L53" s="256">
        <f t="shared" si="3"/>
        <v>-0.003204194582</v>
      </c>
      <c r="M53" s="154"/>
      <c r="N53" s="255">
        <v>46073.0</v>
      </c>
      <c r="O53" s="174">
        <v>1633.0</v>
      </c>
      <c r="P53" s="256">
        <f t="shared" si="4"/>
        <v>-0.004268292683</v>
      </c>
      <c r="Q53" s="154"/>
      <c r="R53" s="255">
        <v>46073.0</v>
      </c>
      <c r="S53" s="174">
        <v>14.97</v>
      </c>
      <c r="T53" s="256">
        <f t="shared" si="5"/>
        <v>0.005372733378</v>
      </c>
      <c r="U53" s="154"/>
      <c r="V53" s="255">
        <v>46073.0</v>
      </c>
      <c r="W53" s="174">
        <v>1280.4</v>
      </c>
      <c r="X53" s="256">
        <f t="shared" si="6"/>
        <v>-0.001481712548</v>
      </c>
      <c r="Y53" s="154"/>
      <c r="Z53" s="255">
        <v>46073.0</v>
      </c>
      <c r="AA53" s="174">
        <v>1341.1</v>
      </c>
      <c r="AB53" s="256">
        <f t="shared" si="7"/>
        <v>0.009180525246</v>
      </c>
      <c r="AC53" s="154"/>
      <c r="AD53" s="255">
        <v>46073.0</v>
      </c>
      <c r="AE53" s="174">
        <v>4.14</v>
      </c>
      <c r="AF53" s="256">
        <f t="shared" si="8"/>
        <v>-0.04166666667</v>
      </c>
      <c r="AG53" s="257"/>
      <c r="AH53" s="255">
        <v>46073.0</v>
      </c>
      <c r="AI53" s="174">
        <v>383.95</v>
      </c>
      <c r="AJ53" s="256">
        <f t="shared" si="9"/>
        <v>0.003397360512</v>
      </c>
      <c r="AK53" s="257"/>
      <c r="AL53" s="255">
        <v>46073.0</v>
      </c>
      <c r="AM53" s="174">
        <v>6909.51</v>
      </c>
      <c r="AN53" s="256">
        <f t="shared" si="10"/>
        <v>0.006939778982</v>
      </c>
      <c r="AO53" s="154"/>
      <c r="AP53" s="154"/>
    </row>
    <row r="54">
      <c r="A54" s="154"/>
      <c r="B54" s="255">
        <v>46072.0</v>
      </c>
      <c r="C54" s="174">
        <v>7.52</v>
      </c>
      <c r="D54" s="256">
        <f t="shared" si="1"/>
        <v>0.008042895442</v>
      </c>
      <c r="E54" s="154"/>
      <c r="F54" s="255">
        <v>46072.0</v>
      </c>
      <c r="G54" s="174">
        <v>15.98</v>
      </c>
      <c r="H54" s="256">
        <f t="shared" si="2"/>
        <v>-0.004361370717</v>
      </c>
      <c r="I54" s="154"/>
      <c r="J54" s="255">
        <v>46072.0</v>
      </c>
      <c r="K54" s="174">
        <v>34.33</v>
      </c>
      <c r="L54" s="256">
        <f t="shared" si="3"/>
        <v>0.006449721489</v>
      </c>
      <c r="M54" s="154"/>
      <c r="N54" s="255">
        <v>46072.0</v>
      </c>
      <c r="O54" s="174">
        <v>1640.0</v>
      </c>
      <c r="P54" s="256">
        <f t="shared" si="4"/>
        <v>0.006134969325</v>
      </c>
      <c r="Q54" s="154"/>
      <c r="R54" s="255">
        <v>46072.0</v>
      </c>
      <c r="S54" s="174">
        <v>14.89</v>
      </c>
      <c r="T54" s="256">
        <f t="shared" si="5"/>
        <v>0.02126200274</v>
      </c>
      <c r="U54" s="154"/>
      <c r="V54" s="255">
        <v>46072.0</v>
      </c>
      <c r="W54" s="174">
        <v>1282.3</v>
      </c>
      <c r="X54" s="256">
        <f t="shared" si="6"/>
        <v>0.001562133875</v>
      </c>
      <c r="Y54" s="154"/>
      <c r="Z54" s="255">
        <v>46072.0</v>
      </c>
      <c r="AA54" s="174">
        <v>1328.9</v>
      </c>
      <c r="AB54" s="256">
        <f t="shared" si="7"/>
        <v>-0.01548377537</v>
      </c>
      <c r="AC54" s="154"/>
      <c r="AD54" s="255">
        <v>46072.0</v>
      </c>
      <c r="AE54" s="174">
        <v>4.32</v>
      </c>
      <c r="AF54" s="256">
        <f t="shared" si="8"/>
        <v>-0.0114416476</v>
      </c>
      <c r="AG54" s="257"/>
      <c r="AH54" s="255">
        <v>46072.0</v>
      </c>
      <c r="AI54" s="174">
        <v>382.65</v>
      </c>
      <c r="AJ54" s="256">
        <f t="shared" si="9"/>
        <v>0.009763821085</v>
      </c>
      <c r="AK54" s="257"/>
      <c r="AL54" s="255">
        <v>46072.0</v>
      </c>
      <c r="AM54" s="174">
        <v>6861.89</v>
      </c>
      <c r="AN54" s="256">
        <f t="shared" si="10"/>
        <v>-0.002822137064</v>
      </c>
      <c r="AO54" s="154"/>
      <c r="AP54" s="154"/>
    </row>
    <row r="55">
      <c r="A55" s="154"/>
      <c r="B55" s="255">
        <v>46071.0</v>
      </c>
      <c r="C55" s="174">
        <v>7.46</v>
      </c>
      <c r="D55" s="256">
        <f t="shared" si="1"/>
        <v>0.02472527473</v>
      </c>
      <c r="E55" s="154"/>
      <c r="F55" s="255">
        <v>46071.0</v>
      </c>
      <c r="G55" s="174">
        <v>16.05</v>
      </c>
      <c r="H55" s="256">
        <f t="shared" si="2"/>
        <v>0.01969504447</v>
      </c>
      <c r="I55" s="154"/>
      <c r="J55" s="255">
        <v>46071.0</v>
      </c>
      <c r="K55" s="174">
        <v>34.11</v>
      </c>
      <c r="L55" s="256">
        <f t="shared" si="3"/>
        <v>-0.008718395815</v>
      </c>
      <c r="M55" s="154"/>
      <c r="N55" s="255">
        <v>46071.0</v>
      </c>
      <c r="O55" s="174">
        <v>1630.0</v>
      </c>
      <c r="P55" s="256">
        <f t="shared" si="4"/>
        <v>0.01875</v>
      </c>
      <c r="Q55" s="154"/>
      <c r="R55" s="255">
        <v>46071.0</v>
      </c>
      <c r="S55" s="174">
        <v>14.58</v>
      </c>
      <c r="T55" s="256">
        <f t="shared" si="5"/>
        <v>0.009695290859</v>
      </c>
      <c r="U55" s="154"/>
      <c r="V55" s="255">
        <v>46071.0</v>
      </c>
      <c r="W55" s="174">
        <v>1280.3</v>
      </c>
      <c r="X55" s="256">
        <f t="shared" si="6"/>
        <v>-0.00350249066</v>
      </c>
      <c r="Y55" s="154"/>
      <c r="Z55" s="255">
        <v>46071.0</v>
      </c>
      <c r="AA55" s="174">
        <v>1349.8</v>
      </c>
      <c r="AB55" s="256">
        <f t="shared" si="7"/>
        <v>0.004390207605</v>
      </c>
      <c r="AC55" s="154"/>
      <c r="AD55" s="255">
        <v>46071.0</v>
      </c>
      <c r="AE55" s="174">
        <v>4.37</v>
      </c>
      <c r="AF55" s="256">
        <f t="shared" si="8"/>
        <v>-0.05818965517</v>
      </c>
      <c r="AG55" s="257"/>
      <c r="AH55" s="255">
        <v>46071.0</v>
      </c>
      <c r="AI55" s="174">
        <v>378.95</v>
      </c>
      <c r="AJ55" s="256">
        <f t="shared" si="9"/>
        <v>-0.001054435218</v>
      </c>
      <c r="AK55" s="257"/>
      <c r="AL55" s="255">
        <v>46071.0</v>
      </c>
      <c r="AM55" s="174">
        <v>6881.31</v>
      </c>
      <c r="AN55" s="256">
        <f t="shared" si="10"/>
        <v>0.005566093155</v>
      </c>
      <c r="AO55" s="154"/>
      <c r="AP55" s="154"/>
    </row>
    <row r="56">
      <c r="A56" s="154"/>
      <c r="B56" s="255">
        <v>46070.0</v>
      </c>
      <c r="C56" s="174">
        <v>7.28</v>
      </c>
      <c r="D56" s="256">
        <f t="shared" si="1"/>
        <v>-0.0148849797</v>
      </c>
      <c r="E56" s="154"/>
      <c r="F56" s="255">
        <v>46070.0</v>
      </c>
      <c r="G56" s="174">
        <v>15.74</v>
      </c>
      <c r="H56" s="256">
        <f t="shared" si="2"/>
        <v>-0.001902346227</v>
      </c>
      <c r="I56" s="154"/>
      <c r="J56" s="255">
        <v>46070.0</v>
      </c>
      <c r="K56" s="174">
        <v>34.41</v>
      </c>
      <c r="L56" s="256">
        <f t="shared" si="3"/>
        <v>0.01265450265</v>
      </c>
      <c r="M56" s="154"/>
      <c r="N56" s="255">
        <v>46070.0</v>
      </c>
      <c r="O56" s="174">
        <v>1600.0</v>
      </c>
      <c r="P56" s="256">
        <f t="shared" si="4"/>
        <v>0.01458465441</v>
      </c>
      <c r="Q56" s="154"/>
      <c r="R56" s="255">
        <v>46070.0</v>
      </c>
      <c r="S56" s="174">
        <v>14.44</v>
      </c>
      <c r="T56" s="256">
        <f t="shared" si="5"/>
        <v>-0.006877579092</v>
      </c>
      <c r="U56" s="154"/>
      <c r="V56" s="255">
        <v>46070.0</v>
      </c>
      <c r="W56" s="174">
        <v>1284.8</v>
      </c>
      <c r="X56" s="256">
        <f t="shared" si="6"/>
        <v>0.01316930841</v>
      </c>
      <c r="Y56" s="154"/>
      <c r="Z56" s="255">
        <v>46070.0</v>
      </c>
      <c r="AA56" s="174">
        <v>1343.9</v>
      </c>
      <c r="AB56" s="256">
        <f t="shared" si="7"/>
        <v>0.009312805107</v>
      </c>
      <c r="AC56" s="154"/>
      <c r="AD56" s="255">
        <v>46070.0</v>
      </c>
      <c r="AE56" s="174">
        <v>4.64</v>
      </c>
      <c r="AF56" s="256">
        <f t="shared" si="8"/>
        <v>0</v>
      </c>
      <c r="AG56" s="257"/>
      <c r="AH56" s="255">
        <v>46070.0</v>
      </c>
      <c r="AI56" s="174">
        <v>379.35</v>
      </c>
      <c r="AJ56" s="256">
        <f t="shared" si="9"/>
        <v>0.003704193676</v>
      </c>
      <c r="AK56" s="257"/>
      <c r="AL56" s="255">
        <v>46070.0</v>
      </c>
      <c r="AM56" s="174">
        <v>6843.22</v>
      </c>
      <c r="AN56" s="256">
        <f t="shared" si="10"/>
        <v>0.00103127921</v>
      </c>
      <c r="AO56" s="154"/>
      <c r="AP56" s="154"/>
    </row>
    <row r="57">
      <c r="A57" s="154"/>
      <c r="B57" s="255">
        <v>46066.0</v>
      </c>
      <c r="C57" s="174">
        <v>7.39</v>
      </c>
      <c r="D57" s="256">
        <f t="shared" si="1"/>
        <v>0.04674220963</v>
      </c>
      <c r="E57" s="154"/>
      <c r="F57" s="255">
        <v>46066.0</v>
      </c>
      <c r="G57" s="174">
        <v>15.77</v>
      </c>
      <c r="H57" s="256">
        <f t="shared" si="2"/>
        <v>-0.001266624446</v>
      </c>
      <c r="I57" s="154"/>
      <c r="J57" s="255">
        <v>46066.0</v>
      </c>
      <c r="K57" s="174">
        <v>33.98</v>
      </c>
      <c r="L57" s="256">
        <f t="shared" si="3"/>
        <v>0.001768867925</v>
      </c>
      <c r="M57" s="154"/>
      <c r="N57" s="255">
        <v>46066.0</v>
      </c>
      <c r="O57" s="174">
        <v>1577.0</v>
      </c>
      <c r="P57" s="256">
        <f t="shared" si="4"/>
        <v>0.003819223425</v>
      </c>
      <c r="Q57" s="154"/>
      <c r="R57" s="255">
        <v>46066.0</v>
      </c>
      <c r="S57" s="174">
        <v>14.54</v>
      </c>
      <c r="T57" s="256">
        <f t="shared" si="5"/>
        <v>0.01112656467</v>
      </c>
      <c r="U57" s="154"/>
      <c r="V57" s="255">
        <v>46066.0</v>
      </c>
      <c r="W57" s="174">
        <v>1268.1</v>
      </c>
      <c r="X57" s="256">
        <f t="shared" si="6"/>
        <v>-0.005333751667</v>
      </c>
      <c r="Y57" s="154"/>
      <c r="Z57" s="255">
        <v>46066.0</v>
      </c>
      <c r="AA57" s="174">
        <v>1331.5</v>
      </c>
      <c r="AB57" s="256">
        <f t="shared" si="7"/>
        <v>0.001127819549</v>
      </c>
      <c r="AC57" s="154"/>
      <c r="AD57" s="255">
        <v>46066.0</v>
      </c>
      <c r="AE57" s="174">
        <v>4.64</v>
      </c>
      <c r="AF57" s="256">
        <f t="shared" si="8"/>
        <v>-0.01486199575</v>
      </c>
      <c r="AG57" s="257"/>
      <c r="AH57" s="255">
        <v>46066.0</v>
      </c>
      <c r="AI57" s="174">
        <v>377.95</v>
      </c>
      <c r="AJ57" s="256">
        <f t="shared" si="9"/>
        <v>0.00773230236</v>
      </c>
      <c r="AK57" s="257"/>
      <c r="AL57" s="255">
        <v>46066.0</v>
      </c>
      <c r="AM57" s="174">
        <v>6836.17</v>
      </c>
      <c r="AN57" s="256">
        <f t="shared" si="10"/>
        <v>0.0004990662631</v>
      </c>
      <c r="AO57" s="154"/>
      <c r="AP57" s="154"/>
    </row>
    <row r="58">
      <c r="A58" s="154"/>
      <c r="B58" s="255">
        <v>46065.0</v>
      </c>
      <c r="C58" s="174">
        <v>7.06</v>
      </c>
      <c r="D58" s="256">
        <f t="shared" si="1"/>
        <v>-0.08192457737</v>
      </c>
      <c r="E58" s="154"/>
      <c r="F58" s="255">
        <v>46065.0</v>
      </c>
      <c r="G58" s="174">
        <v>15.79</v>
      </c>
      <c r="H58" s="256">
        <f t="shared" si="2"/>
        <v>-0.02107873528</v>
      </c>
      <c r="I58" s="154"/>
      <c r="J58" s="255">
        <v>46065.0</v>
      </c>
      <c r="K58" s="174">
        <v>33.92</v>
      </c>
      <c r="L58" s="256">
        <f t="shared" si="3"/>
        <v>-0.01136694841</v>
      </c>
      <c r="M58" s="154"/>
      <c r="N58" s="255">
        <v>46065.0</v>
      </c>
      <c r="O58" s="174">
        <v>1571.0</v>
      </c>
      <c r="P58" s="256">
        <f t="shared" si="4"/>
        <v>0.01159047006</v>
      </c>
      <c r="Q58" s="154"/>
      <c r="R58" s="255">
        <v>46065.0</v>
      </c>
      <c r="S58" s="174">
        <v>14.38</v>
      </c>
      <c r="T58" s="256">
        <f t="shared" si="5"/>
        <v>-0.01506849315</v>
      </c>
      <c r="U58" s="154"/>
      <c r="V58" s="255">
        <v>46065.0</v>
      </c>
      <c r="W58" s="174">
        <v>1274.9</v>
      </c>
      <c r="X58" s="256">
        <f t="shared" si="6"/>
        <v>0.003621191844</v>
      </c>
      <c r="Y58" s="154"/>
      <c r="Z58" s="255">
        <v>46065.0</v>
      </c>
      <c r="AA58" s="174">
        <v>1330.0</v>
      </c>
      <c r="AB58" s="256">
        <f t="shared" si="7"/>
        <v>-0.01474183273</v>
      </c>
      <c r="AC58" s="154"/>
      <c r="AD58" s="255">
        <v>46065.0</v>
      </c>
      <c r="AE58" s="174">
        <v>4.71</v>
      </c>
      <c r="AF58" s="256">
        <f t="shared" si="8"/>
        <v>-0.02886597938</v>
      </c>
      <c r="AG58" s="257"/>
      <c r="AH58" s="255">
        <v>46065.0</v>
      </c>
      <c r="AI58" s="174">
        <v>375.05</v>
      </c>
      <c r="AJ58" s="256">
        <f t="shared" si="9"/>
        <v>-0.0003997867804</v>
      </c>
      <c r="AK58" s="257"/>
      <c r="AL58" s="255">
        <v>46065.0</v>
      </c>
      <c r="AM58" s="174">
        <v>6832.76</v>
      </c>
      <c r="AN58" s="256">
        <f t="shared" si="10"/>
        <v>-0.0156609479</v>
      </c>
      <c r="AO58" s="154"/>
      <c r="AP58" s="154"/>
    </row>
    <row r="59">
      <c r="A59" s="154"/>
      <c r="B59" s="255">
        <v>46064.0</v>
      </c>
      <c r="C59" s="174">
        <v>7.69</v>
      </c>
      <c r="D59" s="256">
        <f t="shared" si="1"/>
        <v>-0.01536491677</v>
      </c>
      <c r="E59" s="154"/>
      <c r="F59" s="255">
        <v>46064.0</v>
      </c>
      <c r="G59" s="174">
        <v>16.13</v>
      </c>
      <c r="H59" s="256">
        <f t="shared" si="2"/>
        <v>0.01128526646</v>
      </c>
      <c r="I59" s="154"/>
      <c r="J59" s="255">
        <v>46064.0</v>
      </c>
      <c r="K59" s="174">
        <v>34.31</v>
      </c>
      <c r="L59" s="256">
        <f t="shared" si="3"/>
        <v>-0.001745708467</v>
      </c>
      <c r="M59" s="154"/>
      <c r="N59" s="255">
        <v>46064.0</v>
      </c>
      <c r="O59" s="174">
        <v>1553.0</v>
      </c>
      <c r="P59" s="256">
        <f t="shared" si="4"/>
        <v>0.001935483871</v>
      </c>
      <c r="Q59" s="154"/>
      <c r="R59" s="255">
        <v>46064.0</v>
      </c>
      <c r="S59" s="174">
        <v>14.6</v>
      </c>
      <c r="T59" s="256">
        <f t="shared" si="5"/>
        <v>0.01459346769</v>
      </c>
      <c r="U59" s="154"/>
      <c r="V59" s="255">
        <v>46064.0</v>
      </c>
      <c r="W59" s="174">
        <v>1270.3</v>
      </c>
      <c r="X59" s="256">
        <f t="shared" si="6"/>
        <v>0.01138535032</v>
      </c>
      <c r="Y59" s="154"/>
      <c r="Z59" s="255">
        <v>46064.0</v>
      </c>
      <c r="AA59" s="174">
        <v>1349.9</v>
      </c>
      <c r="AB59" s="256">
        <f t="shared" si="7"/>
        <v>0.005811787497</v>
      </c>
      <c r="AC59" s="154"/>
      <c r="AD59" s="255">
        <v>46064.0</v>
      </c>
      <c r="AE59" s="174">
        <v>4.85</v>
      </c>
      <c r="AF59" s="256">
        <f t="shared" si="8"/>
        <v>-0.06730769231</v>
      </c>
      <c r="AG59" s="257"/>
      <c r="AH59" s="255">
        <v>46064.0</v>
      </c>
      <c r="AI59" s="174">
        <v>375.2</v>
      </c>
      <c r="AJ59" s="256">
        <f t="shared" si="9"/>
        <v>0.01118447649</v>
      </c>
      <c r="AK59" s="257"/>
      <c r="AL59" s="255">
        <v>46064.0</v>
      </c>
      <c r="AM59" s="174">
        <v>6941.47</v>
      </c>
      <c r="AN59" s="256">
        <f t="shared" si="10"/>
        <v>-0.00004897858051</v>
      </c>
      <c r="AO59" s="154"/>
      <c r="AP59" s="154"/>
    </row>
    <row r="60">
      <c r="A60" s="154"/>
      <c r="B60" s="255">
        <v>46063.0</v>
      </c>
      <c r="C60" s="174">
        <v>7.81</v>
      </c>
      <c r="D60" s="256">
        <f t="shared" si="1"/>
        <v>-0.01264222503</v>
      </c>
      <c r="E60" s="154"/>
      <c r="F60" s="255">
        <v>46063.0</v>
      </c>
      <c r="G60" s="174">
        <v>15.95</v>
      </c>
      <c r="H60" s="256">
        <f t="shared" si="2"/>
        <v>0.02506426735</v>
      </c>
      <c r="I60" s="154"/>
      <c r="J60" s="255">
        <v>46063.0</v>
      </c>
      <c r="K60" s="174">
        <v>34.37</v>
      </c>
      <c r="L60" s="256">
        <f t="shared" si="3"/>
        <v>-0.002901073397</v>
      </c>
      <c r="M60" s="154"/>
      <c r="N60" s="255">
        <v>46063.0</v>
      </c>
      <c r="O60" s="174">
        <v>1550.0</v>
      </c>
      <c r="P60" s="256">
        <f t="shared" si="4"/>
        <v>0.01108936725</v>
      </c>
      <c r="Q60" s="154"/>
      <c r="R60" s="255">
        <v>46063.0</v>
      </c>
      <c r="S60" s="174">
        <v>14.39</v>
      </c>
      <c r="T60" s="256">
        <f t="shared" si="5"/>
        <v>0.004888268156</v>
      </c>
      <c r="U60" s="154"/>
      <c r="V60" s="255">
        <v>46063.0</v>
      </c>
      <c r="W60" s="174">
        <v>1256.0</v>
      </c>
      <c r="X60" s="256">
        <f t="shared" si="6"/>
        <v>-0.0152881223</v>
      </c>
      <c r="Y60" s="154"/>
      <c r="Z60" s="255">
        <v>46063.0</v>
      </c>
      <c r="AA60" s="174">
        <v>1342.1</v>
      </c>
      <c r="AB60" s="256">
        <f t="shared" si="7"/>
        <v>-0.0002979515829</v>
      </c>
      <c r="AC60" s="154"/>
      <c r="AD60" s="255">
        <v>46063.0</v>
      </c>
      <c r="AE60" s="174">
        <v>5.2</v>
      </c>
      <c r="AF60" s="256">
        <f t="shared" si="8"/>
        <v>0.01167315175</v>
      </c>
      <c r="AG60" s="257"/>
      <c r="AH60" s="255">
        <v>46063.0</v>
      </c>
      <c r="AI60" s="174">
        <v>371.05</v>
      </c>
      <c r="AJ60" s="256">
        <f t="shared" si="9"/>
        <v>-0.007755047466</v>
      </c>
      <c r="AK60" s="257"/>
      <c r="AL60" s="255">
        <v>46063.0</v>
      </c>
      <c r="AM60" s="174">
        <v>6941.81</v>
      </c>
      <c r="AN60" s="256">
        <f t="shared" si="10"/>
        <v>-0.003303746543</v>
      </c>
      <c r="AO60" s="154"/>
      <c r="AP60" s="154"/>
    </row>
    <row r="61">
      <c r="A61" s="154"/>
      <c r="B61" s="255">
        <v>46062.0</v>
      </c>
      <c r="C61" s="174">
        <v>7.91</v>
      </c>
      <c r="D61" s="256">
        <f t="shared" si="1"/>
        <v>-0.0365408039</v>
      </c>
      <c r="E61" s="154"/>
      <c r="F61" s="255">
        <v>46062.0</v>
      </c>
      <c r="G61" s="174">
        <v>15.56</v>
      </c>
      <c r="H61" s="256">
        <f t="shared" si="2"/>
        <v>0.06721536351</v>
      </c>
      <c r="I61" s="154"/>
      <c r="J61" s="255">
        <v>46062.0</v>
      </c>
      <c r="K61" s="174">
        <v>34.47</v>
      </c>
      <c r="L61" s="256">
        <f t="shared" si="3"/>
        <v>-0.00634188527</v>
      </c>
      <c r="M61" s="154"/>
      <c r="N61" s="255">
        <v>46062.0</v>
      </c>
      <c r="O61" s="174">
        <v>1533.0</v>
      </c>
      <c r="P61" s="256">
        <f t="shared" si="4"/>
        <v>-0.004545454545</v>
      </c>
      <c r="Q61" s="154"/>
      <c r="R61" s="255">
        <v>46062.0</v>
      </c>
      <c r="S61" s="174">
        <v>14.32</v>
      </c>
      <c r="T61" s="256">
        <f t="shared" si="5"/>
        <v>-0.0218579235</v>
      </c>
      <c r="U61" s="154"/>
      <c r="V61" s="255">
        <v>46062.0</v>
      </c>
      <c r="W61" s="174">
        <v>1275.5</v>
      </c>
      <c r="X61" s="256">
        <f t="shared" si="6"/>
        <v>0.02763454721</v>
      </c>
      <c r="Y61" s="154"/>
      <c r="Z61" s="255">
        <v>46062.0</v>
      </c>
      <c r="AA61" s="174">
        <v>1342.5</v>
      </c>
      <c r="AB61" s="256">
        <f t="shared" si="7"/>
        <v>0.009398496241</v>
      </c>
      <c r="AC61" s="154"/>
      <c r="AD61" s="255">
        <v>46062.0</v>
      </c>
      <c r="AE61" s="174">
        <v>5.14</v>
      </c>
      <c r="AF61" s="256">
        <f t="shared" si="8"/>
        <v>0.00390625</v>
      </c>
      <c r="AG61" s="257"/>
      <c r="AH61" s="255">
        <v>46062.0</v>
      </c>
      <c r="AI61" s="174">
        <v>373.95</v>
      </c>
      <c r="AJ61" s="256">
        <f t="shared" si="9"/>
        <v>0.02339901478</v>
      </c>
      <c r="AK61" s="257"/>
      <c r="AL61" s="255">
        <v>46062.0</v>
      </c>
      <c r="AM61" s="174">
        <v>6964.82</v>
      </c>
      <c r="AN61" s="256">
        <f t="shared" si="10"/>
        <v>0.004691083767</v>
      </c>
      <c r="AO61" s="154"/>
      <c r="AP61" s="154"/>
    </row>
    <row r="62">
      <c r="A62" s="154"/>
      <c r="B62" s="255">
        <v>46059.0</v>
      </c>
      <c r="C62" s="174">
        <v>8.21</v>
      </c>
      <c r="D62" s="256">
        <f t="shared" si="1"/>
        <v>0.01358024691</v>
      </c>
      <c r="E62" s="154"/>
      <c r="F62" s="255">
        <v>46059.0</v>
      </c>
      <c r="G62" s="174">
        <v>14.58</v>
      </c>
      <c r="H62" s="256">
        <f t="shared" si="2"/>
        <v>0.01673640167</v>
      </c>
      <c r="I62" s="154"/>
      <c r="J62" s="255">
        <v>46059.0</v>
      </c>
      <c r="K62" s="174">
        <v>34.69</v>
      </c>
      <c r="L62" s="256">
        <f t="shared" si="3"/>
        <v>-0.00316091954</v>
      </c>
      <c r="M62" s="154"/>
      <c r="N62" s="255">
        <v>46059.0</v>
      </c>
      <c r="O62" s="174">
        <v>1540.0</v>
      </c>
      <c r="P62" s="256">
        <f t="shared" si="4"/>
        <v>-0.007731958763</v>
      </c>
      <c r="Q62" s="154"/>
      <c r="R62" s="255">
        <v>46059.0</v>
      </c>
      <c r="S62" s="174">
        <v>14.64</v>
      </c>
      <c r="T62" s="256">
        <f t="shared" si="5"/>
        <v>0.02592852137</v>
      </c>
      <c r="U62" s="154"/>
      <c r="V62" s="255">
        <v>46059.0</v>
      </c>
      <c r="W62" s="174">
        <v>1241.2</v>
      </c>
      <c r="X62" s="256">
        <f t="shared" si="6"/>
        <v>-0.002972126275</v>
      </c>
      <c r="Y62" s="154"/>
      <c r="Z62" s="255">
        <v>46059.0</v>
      </c>
      <c r="AA62" s="174">
        <v>1330.0</v>
      </c>
      <c r="AB62" s="256">
        <f t="shared" si="7"/>
        <v>-0.002475061877</v>
      </c>
      <c r="AC62" s="154"/>
      <c r="AD62" s="255">
        <v>46059.0</v>
      </c>
      <c r="AE62" s="174">
        <v>5.12</v>
      </c>
      <c r="AF62" s="256">
        <f t="shared" si="8"/>
        <v>0.02605210421</v>
      </c>
      <c r="AG62" s="257"/>
      <c r="AH62" s="255">
        <v>46059.0</v>
      </c>
      <c r="AI62" s="174">
        <v>365.4</v>
      </c>
      <c r="AJ62" s="256">
        <f t="shared" si="9"/>
        <v>-0.006525285481</v>
      </c>
      <c r="AK62" s="257"/>
      <c r="AL62" s="255">
        <v>46059.0</v>
      </c>
      <c r="AM62" s="174">
        <v>6932.3</v>
      </c>
      <c r="AN62" s="256">
        <f t="shared" si="10"/>
        <v>0.01969581078</v>
      </c>
      <c r="AO62" s="154"/>
      <c r="AP62" s="154"/>
    </row>
    <row r="63">
      <c r="A63" s="154"/>
      <c r="B63" s="255">
        <v>46058.0</v>
      </c>
      <c r="C63" s="174">
        <v>8.1</v>
      </c>
      <c r="D63" s="256">
        <f t="shared" si="1"/>
        <v>-0.02291917973</v>
      </c>
      <c r="E63" s="154"/>
      <c r="F63" s="255">
        <v>46058.0</v>
      </c>
      <c r="G63" s="174">
        <v>14.34</v>
      </c>
      <c r="H63" s="256">
        <f t="shared" si="2"/>
        <v>-0.00139275766</v>
      </c>
      <c r="I63" s="154"/>
      <c r="J63" s="255">
        <v>46058.0</v>
      </c>
      <c r="K63" s="174">
        <v>34.8</v>
      </c>
      <c r="L63" s="256">
        <f t="shared" si="3"/>
        <v>-0.004576659039</v>
      </c>
      <c r="M63" s="154"/>
      <c r="N63" s="255">
        <v>46058.0</v>
      </c>
      <c r="O63" s="174">
        <v>1552.0</v>
      </c>
      <c r="P63" s="256">
        <f t="shared" si="4"/>
        <v>-0.04901960784</v>
      </c>
      <c r="Q63" s="154"/>
      <c r="R63" s="255">
        <v>46058.0</v>
      </c>
      <c r="S63" s="174">
        <v>14.27</v>
      </c>
      <c r="T63" s="256">
        <f t="shared" si="5"/>
        <v>-0.02991162475</v>
      </c>
      <c r="U63" s="154"/>
      <c r="V63" s="255">
        <v>46058.0</v>
      </c>
      <c r="W63" s="174">
        <v>1244.9</v>
      </c>
      <c r="X63" s="256">
        <f t="shared" si="6"/>
        <v>0.003789711337</v>
      </c>
      <c r="Y63" s="154"/>
      <c r="Z63" s="255">
        <v>46058.0</v>
      </c>
      <c r="AA63" s="174">
        <v>1333.3</v>
      </c>
      <c r="AB63" s="256">
        <f t="shared" si="7"/>
        <v>0.004974749378</v>
      </c>
      <c r="AC63" s="154"/>
      <c r="AD63" s="255">
        <v>46058.0</v>
      </c>
      <c r="AE63" s="174">
        <v>4.99</v>
      </c>
      <c r="AF63" s="256">
        <f t="shared" si="8"/>
        <v>-0.01964636542</v>
      </c>
      <c r="AG63" s="257"/>
      <c r="AH63" s="255">
        <v>46058.0</v>
      </c>
      <c r="AI63" s="174">
        <v>367.8</v>
      </c>
      <c r="AJ63" s="256">
        <f t="shared" si="9"/>
        <v>-0.002035002035</v>
      </c>
      <c r="AK63" s="257"/>
      <c r="AL63" s="255">
        <v>46058.0</v>
      </c>
      <c r="AM63" s="174">
        <v>6798.4</v>
      </c>
      <c r="AN63" s="256">
        <f t="shared" si="10"/>
        <v>-0.01225097055</v>
      </c>
      <c r="AO63" s="154"/>
      <c r="AP63" s="154"/>
    </row>
    <row r="64">
      <c r="A64" s="154"/>
      <c r="B64" s="255">
        <v>46057.0</v>
      </c>
      <c r="C64" s="174">
        <v>8.29</v>
      </c>
      <c r="D64" s="256">
        <f t="shared" si="1"/>
        <v>0.03625</v>
      </c>
      <c r="E64" s="154"/>
      <c r="F64" s="255">
        <v>46057.0</v>
      </c>
      <c r="G64" s="174">
        <v>14.36</v>
      </c>
      <c r="H64" s="256">
        <f t="shared" si="2"/>
        <v>0.04970760234</v>
      </c>
      <c r="I64" s="154"/>
      <c r="J64" s="255">
        <v>46057.0</v>
      </c>
      <c r="K64" s="174">
        <v>34.96</v>
      </c>
      <c r="L64" s="256">
        <f t="shared" si="3"/>
        <v>-0.0355862069</v>
      </c>
      <c r="M64" s="154"/>
      <c r="N64" s="255">
        <v>46057.0</v>
      </c>
      <c r="O64" s="174">
        <v>1632.0</v>
      </c>
      <c r="P64" s="256">
        <f t="shared" si="4"/>
        <v>0.05019305019</v>
      </c>
      <c r="Q64" s="154"/>
      <c r="R64" s="255">
        <v>46057.0</v>
      </c>
      <c r="S64" s="174">
        <v>14.71</v>
      </c>
      <c r="T64" s="256">
        <f t="shared" si="5"/>
        <v>0.04031117397</v>
      </c>
      <c r="U64" s="154"/>
      <c r="V64" s="255">
        <v>46057.0</v>
      </c>
      <c r="W64" s="174">
        <v>1240.2</v>
      </c>
      <c r="X64" s="256">
        <f t="shared" si="6"/>
        <v>0.003885381253</v>
      </c>
      <c r="Y64" s="154"/>
      <c r="Z64" s="255">
        <v>46057.0</v>
      </c>
      <c r="AA64" s="174">
        <v>1326.7</v>
      </c>
      <c r="AB64" s="256">
        <f t="shared" si="7"/>
        <v>0.002948291503</v>
      </c>
      <c r="AC64" s="154"/>
      <c r="AD64" s="255">
        <v>46057.0</v>
      </c>
      <c r="AE64" s="174">
        <v>5.09</v>
      </c>
      <c r="AF64" s="256">
        <f t="shared" si="8"/>
        <v>-0.02303262956</v>
      </c>
      <c r="AG64" s="257"/>
      <c r="AH64" s="255">
        <v>46057.0</v>
      </c>
      <c r="AI64" s="174">
        <v>368.55</v>
      </c>
      <c r="AJ64" s="256">
        <f t="shared" si="9"/>
        <v>-0.01007252216</v>
      </c>
      <c r="AK64" s="257"/>
      <c r="AL64" s="255">
        <v>46057.0</v>
      </c>
      <c r="AM64" s="174">
        <v>6882.72</v>
      </c>
      <c r="AN64" s="256">
        <f t="shared" si="10"/>
        <v>-0.005072414536</v>
      </c>
      <c r="AO64" s="154"/>
      <c r="AP64" s="154"/>
    </row>
    <row r="65">
      <c r="A65" s="154"/>
      <c r="B65" s="255">
        <v>46056.0</v>
      </c>
      <c r="C65" s="174">
        <v>8.0</v>
      </c>
      <c r="D65" s="256">
        <f t="shared" si="1"/>
        <v>-0.0243902439</v>
      </c>
      <c r="E65" s="154"/>
      <c r="F65" s="255">
        <v>46056.0</v>
      </c>
      <c r="G65" s="174">
        <v>13.68</v>
      </c>
      <c r="H65" s="256">
        <f t="shared" si="2"/>
        <v>0</v>
      </c>
      <c r="I65" s="154"/>
      <c r="J65" s="255">
        <v>46056.0</v>
      </c>
      <c r="K65" s="174">
        <v>36.25</v>
      </c>
      <c r="L65" s="256">
        <f t="shared" si="3"/>
        <v>0.0205518018</v>
      </c>
      <c r="M65" s="154"/>
      <c r="N65" s="255">
        <v>46056.0</v>
      </c>
      <c r="O65" s="174">
        <v>1554.0</v>
      </c>
      <c r="P65" s="256">
        <f t="shared" si="4"/>
        <v>0.001934235977</v>
      </c>
      <c r="Q65" s="154"/>
      <c r="R65" s="255">
        <v>46056.0</v>
      </c>
      <c r="S65" s="174">
        <v>14.14</v>
      </c>
      <c r="T65" s="256">
        <f t="shared" si="5"/>
        <v>-0.0125698324</v>
      </c>
      <c r="U65" s="154"/>
      <c r="V65" s="255">
        <v>46056.0</v>
      </c>
      <c r="W65" s="174">
        <v>1235.4</v>
      </c>
      <c r="X65" s="256">
        <f t="shared" si="6"/>
        <v>0.04473572939</v>
      </c>
      <c r="Y65" s="154"/>
      <c r="Z65" s="255">
        <v>46056.0</v>
      </c>
      <c r="AA65" s="174">
        <v>1322.8</v>
      </c>
      <c r="AB65" s="256">
        <f t="shared" si="7"/>
        <v>0.008539188777</v>
      </c>
      <c r="AC65" s="154"/>
      <c r="AD65" s="255">
        <v>46056.0</v>
      </c>
      <c r="AE65" s="174">
        <v>5.21</v>
      </c>
      <c r="AF65" s="256">
        <f t="shared" si="8"/>
        <v>-0.02067669173</v>
      </c>
      <c r="AG65" s="257"/>
      <c r="AH65" s="255">
        <v>46056.0</v>
      </c>
      <c r="AI65" s="174">
        <v>372.3</v>
      </c>
      <c r="AJ65" s="256">
        <f t="shared" si="9"/>
        <v>0.005808456031</v>
      </c>
      <c r="AK65" s="257"/>
      <c r="AL65" s="255">
        <v>46056.0</v>
      </c>
      <c r="AM65" s="174">
        <v>6917.81</v>
      </c>
      <c r="AN65" s="256">
        <f t="shared" si="10"/>
        <v>-0.008403999748</v>
      </c>
      <c r="AO65" s="154"/>
      <c r="AP65" s="154"/>
    </row>
    <row r="66">
      <c r="A66" s="154"/>
      <c r="B66" s="255">
        <v>46055.0</v>
      </c>
      <c r="C66" s="174">
        <v>8.2</v>
      </c>
      <c r="D66" s="256">
        <f t="shared" si="1"/>
        <v>-0.03981264637</v>
      </c>
      <c r="E66" s="154"/>
      <c r="F66" s="255">
        <v>46055.0</v>
      </c>
      <c r="G66" s="174">
        <v>13.68</v>
      </c>
      <c r="H66" s="256">
        <f t="shared" si="2"/>
        <v>0.04507257448</v>
      </c>
      <c r="I66" s="154"/>
      <c r="J66" s="255">
        <v>46055.0</v>
      </c>
      <c r="K66" s="174">
        <v>35.52</v>
      </c>
      <c r="L66" s="256">
        <f t="shared" si="3"/>
        <v>0.04225352113</v>
      </c>
      <c r="M66" s="154"/>
      <c r="N66" s="255">
        <v>46055.0</v>
      </c>
      <c r="O66" s="174">
        <v>1551.0</v>
      </c>
      <c r="P66" s="256">
        <f t="shared" si="4"/>
        <v>0.01438848921</v>
      </c>
      <c r="Q66" s="154"/>
      <c r="R66" s="255">
        <v>46055.0</v>
      </c>
      <c r="S66" s="174">
        <v>14.32</v>
      </c>
      <c r="T66" s="256">
        <f t="shared" si="5"/>
        <v>0.007741027445</v>
      </c>
      <c r="U66" s="154"/>
      <c r="V66" s="255">
        <v>46055.0</v>
      </c>
      <c r="W66" s="174">
        <v>1182.5</v>
      </c>
      <c r="X66" s="256">
        <f t="shared" si="6"/>
        <v>-0.02922584353</v>
      </c>
      <c r="Y66" s="154"/>
      <c r="Z66" s="255">
        <v>46055.0</v>
      </c>
      <c r="AA66" s="174">
        <v>1311.6</v>
      </c>
      <c r="AB66" s="256">
        <f t="shared" si="7"/>
        <v>-0.009365558912</v>
      </c>
      <c r="AC66" s="154"/>
      <c r="AD66" s="255">
        <v>46055.0</v>
      </c>
      <c r="AE66" s="174">
        <v>5.32</v>
      </c>
      <c r="AF66" s="256">
        <f t="shared" si="8"/>
        <v>-0.009310986965</v>
      </c>
      <c r="AG66" s="257"/>
      <c r="AH66" s="255">
        <v>46055.0</v>
      </c>
      <c r="AI66" s="174">
        <v>370.15</v>
      </c>
      <c r="AJ66" s="256">
        <f t="shared" si="9"/>
        <v>0.00913304253</v>
      </c>
      <c r="AK66" s="257"/>
      <c r="AL66" s="255">
        <v>46055.0</v>
      </c>
      <c r="AM66" s="174">
        <v>6976.44</v>
      </c>
      <c r="AN66" s="256">
        <f t="shared" si="10"/>
        <v>0.005391243445</v>
      </c>
      <c r="AO66" s="154"/>
      <c r="AP66" s="154"/>
    </row>
    <row r="67">
      <c r="A67" s="154"/>
      <c r="B67" s="255">
        <v>46052.0</v>
      </c>
      <c r="C67" s="174">
        <v>8.54</v>
      </c>
      <c r="D67" s="256">
        <f t="shared" si="1"/>
        <v>-0.006976744186</v>
      </c>
      <c r="E67" s="154"/>
      <c r="F67" s="255">
        <v>46052.0</v>
      </c>
      <c r="G67" s="174">
        <v>13.09</v>
      </c>
      <c r="H67" s="256">
        <f t="shared" si="2"/>
        <v>0.001530221882</v>
      </c>
      <c r="I67" s="154"/>
      <c r="J67" s="255">
        <v>46052.0</v>
      </c>
      <c r="K67" s="174">
        <v>34.08</v>
      </c>
      <c r="L67" s="256">
        <f t="shared" si="3"/>
        <v>0.03054127608</v>
      </c>
      <c r="M67" s="154"/>
      <c r="N67" s="255">
        <v>46052.0</v>
      </c>
      <c r="O67" s="174">
        <v>1529.0</v>
      </c>
      <c r="P67" s="256">
        <f t="shared" si="4"/>
        <v>0.007910349374</v>
      </c>
      <c r="Q67" s="154"/>
      <c r="R67" s="255">
        <v>46052.0</v>
      </c>
      <c r="S67" s="174">
        <v>14.21</v>
      </c>
      <c r="T67" s="256">
        <f t="shared" si="5"/>
        <v>0.03420669578</v>
      </c>
      <c r="U67" s="154"/>
      <c r="V67" s="255">
        <v>46052.0</v>
      </c>
      <c r="W67" s="174">
        <v>1218.1</v>
      </c>
      <c r="X67" s="256">
        <f t="shared" si="6"/>
        <v>0.007610224171</v>
      </c>
      <c r="Y67" s="154"/>
      <c r="Z67" s="255">
        <v>46052.0</v>
      </c>
      <c r="AA67" s="174">
        <v>1324.0</v>
      </c>
      <c r="AB67" s="256">
        <f t="shared" si="7"/>
        <v>0.0023468847</v>
      </c>
      <c r="AC67" s="154"/>
      <c r="AD67" s="255">
        <v>46052.0</v>
      </c>
      <c r="AE67" s="174">
        <v>5.37</v>
      </c>
      <c r="AF67" s="256">
        <f t="shared" si="8"/>
        <v>-0.009225092251</v>
      </c>
      <c r="AG67" s="257"/>
      <c r="AH67" s="255">
        <v>46052.0</v>
      </c>
      <c r="AI67" s="174">
        <v>366.8</v>
      </c>
      <c r="AJ67" s="256">
        <f t="shared" si="9"/>
        <v>0.004106214071</v>
      </c>
      <c r="AK67" s="257"/>
      <c r="AL67" s="255">
        <v>46052.0</v>
      </c>
      <c r="AM67" s="174">
        <v>6939.03</v>
      </c>
      <c r="AN67" s="256">
        <f t="shared" si="10"/>
        <v>-0.004301902279</v>
      </c>
      <c r="AO67" s="154"/>
      <c r="AP67" s="154"/>
    </row>
    <row r="68">
      <c r="A68" s="154"/>
      <c r="B68" s="255">
        <v>46051.0</v>
      </c>
      <c r="C68" s="174">
        <v>8.6</v>
      </c>
      <c r="D68" s="256">
        <f t="shared" si="1"/>
        <v>-0.03262092238</v>
      </c>
      <c r="E68" s="154"/>
      <c r="F68" s="255">
        <v>46051.0</v>
      </c>
      <c r="G68" s="174">
        <v>13.07</v>
      </c>
      <c r="H68" s="256">
        <f t="shared" si="2"/>
        <v>0.007710100231</v>
      </c>
      <c r="I68" s="154"/>
      <c r="J68" s="255">
        <v>46051.0</v>
      </c>
      <c r="K68" s="174">
        <v>33.07</v>
      </c>
      <c r="L68" s="256">
        <f t="shared" si="3"/>
        <v>-0.004215597712</v>
      </c>
      <c r="M68" s="154"/>
      <c r="N68" s="255">
        <v>46051.0</v>
      </c>
      <c r="O68" s="174">
        <v>1517.0</v>
      </c>
      <c r="P68" s="256">
        <f t="shared" si="4"/>
        <v>-0.01043705153</v>
      </c>
      <c r="Q68" s="154"/>
      <c r="R68" s="255">
        <v>46051.0</v>
      </c>
      <c r="S68" s="174">
        <v>13.74</v>
      </c>
      <c r="T68" s="256">
        <f t="shared" si="5"/>
        <v>-0.01505376344</v>
      </c>
      <c r="U68" s="154"/>
      <c r="V68" s="255">
        <v>46051.0</v>
      </c>
      <c r="W68" s="174">
        <v>1208.9</v>
      </c>
      <c r="X68" s="256">
        <f t="shared" si="6"/>
        <v>-0.01112474438</v>
      </c>
      <c r="Y68" s="154"/>
      <c r="Z68" s="255">
        <v>46051.0</v>
      </c>
      <c r="AA68" s="174">
        <v>1320.9</v>
      </c>
      <c r="AB68" s="256">
        <f t="shared" si="7"/>
        <v>-0.005645889792</v>
      </c>
      <c r="AC68" s="154"/>
      <c r="AD68" s="255">
        <v>46051.0</v>
      </c>
      <c r="AE68" s="174">
        <v>5.42</v>
      </c>
      <c r="AF68" s="256">
        <f t="shared" si="8"/>
        <v>0.02457466919</v>
      </c>
      <c r="AG68" s="257"/>
      <c r="AH68" s="255">
        <v>46051.0</v>
      </c>
      <c r="AI68" s="174">
        <v>365.3</v>
      </c>
      <c r="AJ68" s="256">
        <f t="shared" si="9"/>
        <v>-0.01403508772</v>
      </c>
      <c r="AK68" s="257"/>
      <c r="AL68" s="255">
        <v>46051.0</v>
      </c>
      <c r="AM68" s="174">
        <v>6969.01</v>
      </c>
      <c r="AN68" s="256">
        <f t="shared" si="10"/>
        <v>-0.001292628435</v>
      </c>
      <c r="AO68" s="154"/>
      <c r="AP68" s="154"/>
    </row>
    <row r="69">
      <c r="A69" s="154"/>
      <c r="B69" s="255">
        <v>46050.0</v>
      </c>
      <c r="C69" s="174">
        <v>8.89</v>
      </c>
      <c r="D69" s="256">
        <f t="shared" si="1"/>
        <v>-0.01222222222</v>
      </c>
      <c r="E69" s="154"/>
      <c r="F69" s="255">
        <v>46050.0</v>
      </c>
      <c r="G69" s="174">
        <v>12.97</v>
      </c>
      <c r="H69" s="256">
        <f t="shared" si="2"/>
        <v>-0.01143292683</v>
      </c>
      <c r="I69" s="154"/>
      <c r="J69" s="255">
        <v>46050.0</v>
      </c>
      <c r="K69" s="174">
        <v>33.21</v>
      </c>
      <c r="L69" s="256">
        <f t="shared" si="3"/>
        <v>0.02090378113</v>
      </c>
      <c r="M69" s="154"/>
      <c r="N69" s="255">
        <v>46050.0</v>
      </c>
      <c r="O69" s="174">
        <v>1533.0</v>
      </c>
      <c r="P69" s="256">
        <f t="shared" si="4"/>
        <v>-0.007766990291</v>
      </c>
      <c r="Q69" s="154"/>
      <c r="R69" s="255">
        <v>46050.0</v>
      </c>
      <c r="S69" s="174">
        <v>13.95</v>
      </c>
      <c r="T69" s="256">
        <f t="shared" si="5"/>
        <v>-0.003571428571</v>
      </c>
      <c r="U69" s="154"/>
      <c r="V69" s="255">
        <v>46050.0</v>
      </c>
      <c r="W69" s="174">
        <v>1222.5</v>
      </c>
      <c r="X69" s="256">
        <f t="shared" si="6"/>
        <v>-0.01395386353</v>
      </c>
      <c r="Y69" s="154"/>
      <c r="Z69" s="255">
        <v>46050.0</v>
      </c>
      <c r="AA69" s="174">
        <v>1328.4</v>
      </c>
      <c r="AB69" s="256">
        <f t="shared" si="7"/>
        <v>0.01172886519</v>
      </c>
      <c r="AC69" s="154"/>
      <c r="AD69" s="255">
        <v>46050.0</v>
      </c>
      <c r="AE69" s="174">
        <v>5.29</v>
      </c>
      <c r="AF69" s="256">
        <f t="shared" si="8"/>
        <v>-0.003766478343</v>
      </c>
      <c r="AG69" s="257"/>
      <c r="AH69" s="255">
        <v>46050.0</v>
      </c>
      <c r="AI69" s="174">
        <v>370.5</v>
      </c>
      <c r="AJ69" s="256">
        <f t="shared" si="9"/>
        <v>0.01437371663</v>
      </c>
      <c r="AK69" s="257"/>
      <c r="AL69" s="255">
        <v>46050.0</v>
      </c>
      <c r="AM69" s="174">
        <v>6978.03</v>
      </c>
      <c r="AN69" s="256">
        <f t="shared" si="10"/>
        <v>-0.00008167827358</v>
      </c>
      <c r="AO69" s="154"/>
      <c r="AP69" s="154"/>
    </row>
    <row r="70">
      <c r="A70" s="154"/>
      <c r="B70" s="255">
        <v>46049.0</v>
      </c>
      <c r="C70" s="174">
        <v>9.0</v>
      </c>
      <c r="D70" s="256">
        <f t="shared" si="1"/>
        <v>-0.01098901099</v>
      </c>
      <c r="E70" s="154"/>
      <c r="F70" s="255">
        <v>46049.0</v>
      </c>
      <c r="G70" s="174">
        <v>13.12</v>
      </c>
      <c r="H70" s="256">
        <f t="shared" si="2"/>
        <v>-0.003796507213</v>
      </c>
      <c r="I70" s="154"/>
      <c r="J70" s="255">
        <v>46049.0</v>
      </c>
      <c r="K70" s="174">
        <v>32.53</v>
      </c>
      <c r="L70" s="256">
        <f t="shared" si="3"/>
        <v>0.01213441195</v>
      </c>
      <c r="M70" s="154"/>
      <c r="N70" s="255">
        <v>46049.0</v>
      </c>
      <c r="O70" s="174">
        <v>1545.0</v>
      </c>
      <c r="P70" s="256">
        <f t="shared" si="4"/>
        <v>-0.01466836735</v>
      </c>
      <c r="Q70" s="154"/>
      <c r="R70" s="255">
        <v>46049.0</v>
      </c>
      <c r="S70" s="174">
        <v>14.0</v>
      </c>
      <c r="T70" s="256">
        <f t="shared" si="5"/>
        <v>-0.02777777778</v>
      </c>
      <c r="U70" s="154"/>
      <c r="V70" s="255">
        <v>46049.0</v>
      </c>
      <c r="W70" s="174">
        <v>1239.8</v>
      </c>
      <c r="X70" s="256">
        <f t="shared" si="6"/>
        <v>0.001777634131</v>
      </c>
      <c r="Y70" s="154"/>
      <c r="Z70" s="255">
        <v>46049.0</v>
      </c>
      <c r="AA70" s="174">
        <v>1313.0</v>
      </c>
      <c r="AB70" s="256">
        <f t="shared" si="7"/>
        <v>-0.0009131030285</v>
      </c>
      <c r="AC70" s="154"/>
      <c r="AD70" s="255">
        <v>46049.0</v>
      </c>
      <c r="AE70" s="174">
        <v>5.31</v>
      </c>
      <c r="AF70" s="256">
        <f t="shared" si="8"/>
        <v>-0.003752345216</v>
      </c>
      <c r="AG70" s="257"/>
      <c r="AH70" s="255">
        <v>46049.0</v>
      </c>
      <c r="AI70" s="174">
        <v>365.25</v>
      </c>
      <c r="AJ70" s="256">
        <f t="shared" si="9"/>
        <v>-0.001503553855</v>
      </c>
      <c r="AK70" s="257"/>
      <c r="AL70" s="255">
        <v>46049.0</v>
      </c>
      <c r="AM70" s="174">
        <v>6978.6</v>
      </c>
      <c r="AN70" s="256">
        <f t="shared" si="10"/>
        <v>0.004081879305</v>
      </c>
      <c r="AO70" s="154"/>
      <c r="AP70" s="154"/>
    </row>
    <row r="71">
      <c r="A71" s="154"/>
      <c r="B71" s="255">
        <v>46048.0</v>
      </c>
      <c r="C71" s="174">
        <v>9.1</v>
      </c>
      <c r="D71" s="256">
        <f t="shared" si="1"/>
        <v>-0.06762295082</v>
      </c>
      <c r="E71" s="154"/>
      <c r="F71" s="255">
        <v>46048.0</v>
      </c>
      <c r="G71" s="174">
        <v>13.17</v>
      </c>
      <c r="H71" s="256">
        <f t="shared" si="2"/>
        <v>-0.003028009084</v>
      </c>
      <c r="I71" s="154"/>
      <c r="J71" s="255">
        <v>46048.0</v>
      </c>
      <c r="K71" s="174">
        <v>32.14</v>
      </c>
      <c r="L71" s="256">
        <f t="shared" si="3"/>
        <v>0.0103740962</v>
      </c>
      <c r="M71" s="154"/>
      <c r="N71" s="255">
        <v>46048.0</v>
      </c>
      <c r="O71" s="174">
        <v>1568.0</v>
      </c>
      <c r="P71" s="256">
        <f t="shared" si="4"/>
        <v>0.009009009009</v>
      </c>
      <c r="Q71" s="154"/>
      <c r="R71" s="255">
        <v>46048.0</v>
      </c>
      <c r="S71" s="174">
        <v>14.4</v>
      </c>
      <c r="T71" s="256">
        <f t="shared" si="5"/>
        <v>-0.02173913043</v>
      </c>
      <c r="U71" s="154"/>
      <c r="V71" s="255">
        <v>46048.0</v>
      </c>
      <c r="W71" s="258">
        <v>1237.6</v>
      </c>
      <c r="X71" s="256">
        <f t="shared" si="6"/>
        <v>0.001618646811</v>
      </c>
      <c r="Y71" s="255"/>
      <c r="Z71" s="255">
        <v>46048.0</v>
      </c>
      <c r="AA71" s="258">
        <v>1314.2</v>
      </c>
      <c r="AB71" s="256">
        <f t="shared" si="7"/>
        <v>-0.000608365019</v>
      </c>
      <c r="AC71" s="154"/>
      <c r="AD71" s="255">
        <v>46048.0</v>
      </c>
      <c r="AE71" s="174">
        <v>5.33</v>
      </c>
      <c r="AF71" s="256">
        <f t="shared" si="8"/>
        <v>0.01330798479</v>
      </c>
      <c r="AG71" s="257"/>
      <c r="AH71" s="255">
        <v>46048.0</v>
      </c>
      <c r="AI71" s="258">
        <v>365.8</v>
      </c>
      <c r="AJ71" s="256">
        <f t="shared" si="9"/>
        <v>-0.00109229929</v>
      </c>
      <c r="AK71" s="257"/>
      <c r="AL71" s="255">
        <v>46048.0</v>
      </c>
      <c r="AM71" s="174">
        <v>6950.23</v>
      </c>
      <c r="AN71" s="256">
        <f t="shared" si="10"/>
        <v>0.005006065987</v>
      </c>
      <c r="AO71" s="154"/>
      <c r="AP71" s="154"/>
    </row>
    <row r="72">
      <c r="A72" s="154"/>
      <c r="B72" s="255">
        <v>46045.0</v>
      </c>
      <c r="C72" s="174">
        <v>9.76</v>
      </c>
      <c r="D72" s="256">
        <f t="shared" si="1"/>
        <v>0.00205338809</v>
      </c>
      <c r="E72" s="154"/>
      <c r="F72" s="255">
        <v>46045.0</v>
      </c>
      <c r="G72" s="174">
        <v>13.21</v>
      </c>
      <c r="H72" s="256">
        <f t="shared" si="2"/>
        <v>-0.002265861027</v>
      </c>
      <c r="I72" s="154"/>
      <c r="J72" s="255">
        <v>46045.0</v>
      </c>
      <c r="K72" s="174">
        <v>31.81</v>
      </c>
      <c r="L72" s="256">
        <f t="shared" si="3"/>
        <v>0.004737839545</v>
      </c>
      <c r="M72" s="154"/>
      <c r="N72" s="255">
        <v>46045.0</v>
      </c>
      <c r="O72" s="174">
        <v>1554.0</v>
      </c>
      <c r="P72" s="256">
        <f t="shared" si="4"/>
        <v>-0.008928571429</v>
      </c>
      <c r="Q72" s="154"/>
      <c r="R72" s="255">
        <v>46045.0</v>
      </c>
      <c r="S72" s="174">
        <v>14.72</v>
      </c>
      <c r="T72" s="256">
        <f t="shared" si="5"/>
        <v>-0.02387267905</v>
      </c>
      <c r="U72" s="154"/>
      <c r="V72" s="255">
        <v>46045.0</v>
      </c>
      <c r="W72" s="174">
        <v>1235.6</v>
      </c>
      <c r="X72" s="256">
        <f t="shared" si="6"/>
        <v>0.01486652977</v>
      </c>
      <c r="Y72" s="154"/>
      <c r="Z72" s="255">
        <v>46045.0</v>
      </c>
      <c r="AA72" s="174">
        <v>1315.0</v>
      </c>
      <c r="AB72" s="256">
        <f t="shared" si="7"/>
        <v>-0.04042615295</v>
      </c>
      <c r="AC72" s="154"/>
      <c r="AD72" s="255">
        <v>46045.0</v>
      </c>
      <c r="AE72" s="174">
        <v>5.26</v>
      </c>
      <c r="AF72" s="256">
        <f t="shared" si="8"/>
        <v>0.01740812379</v>
      </c>
      <c r="AG72" s="257"/>
      <c r="AH72" s="255">
        <v>46045.0</v>
      </c>
      <c r="AI72" s="174">
        <v>366.2</v>
      </c>
      <c r="AJ72" s="256">
        <f t="shared" si="9"/>
        <v>-0.018230563</v>
      </c>
      <c r="AK72" s="257"/>
      <c r="AL72" s="255">
        <v>46045.0</v>
      </c>
      <c r="AM72" s="174">
        <v>6915.61</v>
      </c>
      <c r="AN72" s="256">
        <f t="shared" si="10"/>
        <v>0.0003269037442</v>
      </c>
      <c r="AO72" s="154"/>
      <c r="AP72" s="154"/>
    </row>
    <row r="73">
      <c r="A73" s="154"/>
      <c r="B73" s="255">
        <v>46044.0</v>
      </c>
      <c r="C73" s="174">
        <v>9.74</v>
      </c>
      <c r="D73" s="256">
        <f t="shared" si="1"/>
        <v>0.01564129301</v>
      </c>
      <c r="E73" s="154"/>
      <c r="F73" s="255">
        <v>46044.0</v>
      </c>
      <c r="G73" s="174">
        <v>13.24</v>
      </c>
      <c r="H73" s="256">
        <f t="shared" si="2"/>
        <v>0.01455938697</v>
      </c>
      <c r="I73" s="154"/>
      <c r="J73" s="255">
        <v>46044.0</v>
      </c>
      <c r="K73" s="174">
        <v>31.66</v>
      </c>
      <c r="L73" s="256">
        <f t="shared" si="3"/>
        <v>0.007959248647</v>
      </c>
      <c r="M73" s="154"/>
      <c r="N73" s="255">
        <v>46044.0</v>
      </c>
      <c r="O73" s="174">
        <v>1568.0</v>
      </c>
      <c r="P73" s="256">
        <f t="shared" si="4"/>
        <v>0.03157894737</v>
      </c>
      <c r="Q73" s="154"/>
      <c r="R73" s="255">
        <v>46044.0</v>
      </c>
      <c r="S73" s="174">
        <v>15.08</v>
      </c>
      <c r="T73" s="256">
        <f t="shared" si="5"/>
        <v>0.0114017438</v>
      </c>
      <c r="U73" s="154"/>
      <c r="V73" s="255">
        <v>46044.0</v>
      </c>
      <c r="W73" s="174">
        <v>1217.5</v>
      </c>
      <c r="X73" s="256">
        <f t="shared" si="6"/>
        <v>0.05210853785</v>
      </c>
      <c r="Y73" s="154"/>
      <c r="Z73" s="255">
        <v>46044.0</v>
      </c>
      <c r="AA73" s="174">
        <v>1370.4</v>
      </c>
      <c r="AB73" s="256">
        <f t="shared" si="7"/>
        <v>0.0005841121495</v>
      </c>
      <c r="AC73" s="154"/>
      <c r="AD73" s="255">
        <v>46044.0</v>
      </c>
      <c r="AE73" s="174">
        <v>5.17</v>
      </c>
      <c r="AF73" s="256">
        <f t="shared" si="8"/>
        <v>0.02579365079</v>
      </c>
      <c r="AG73" s="257"/>
      <c r="AH73" s="255">
        <v>46044.0</v>
      </c>
      <c r="AI73" s="174">
        <v>373.0</v>
      </c>
      <c r="AJ73" s="256">
        <f t="shared" si="9"/>
        <v>0.0223379471</v>
      </c>
      <c r="AK73" s="257"/>
      <c r="AL73" s="255">
        <v>46044.0</v>
      </c>
      <c r="AM73" s="174">
        <v>6913.35</v>
      </c>
      <c r="AN73" s="256">
        <f t="shared" si="10"/>
        <v>0.005487505127</v>
      </c>
      <c r="AO73" s="154"/>
      <c r="AP73" s="154"/>
    </row>
    <row r="74">
      <c r="A74" s="154"/>
      <c r="B74" s="255">
        <v>46043.0</v>
      </c>
      <c r="C74" s="174">
        <v>9.59</v>
      </c>
      <c r="D74" s="256">
        <f t="shared" si="1"/>
        <v>0.01374207188</v>
      </c>
      <c r="E74" s="154"/>
      <c r="F74" s="255">
        <v>46043.0</v>
      </c>
      <c r="G74" s="174">
        <v>13.05</v>
      </c>
      <c r="H74" s="256">
        <f t="shared" si="2"/>
        <v>0.0308056872</v>
      </c>
      <c r="I74" s="154"/>
      <c r="J74" s="255">
        <v>46043.0</v>
      </c>
      <c r="K74" s="174">
        <v>31.41</v>
      </c>
      <c r="L74" s="256">
        <f t="shared" si="3"/>
        <v>0.001594387755</v>
      </c>
      <c r="M74" s="154"/>
      <c r="N74" s="255">
        <v>46043.0</v>
      </c>
      <c r="O74" s="174">
        <v>1520.0</v>
      </c>
      <c r="P74" s="256">
        <f t="shared" si="4"/>
        <v>-0.004584151932</v>
      </c>
      <c r="Q74" s="154"/>
      <c r="R74" s="255">
        <v>46043.0</v>
      </c>
      <c r="S74" s="174">
        <v>14.91</v>
      </c>
      <c r="T74" s="256">
        <f t="shared" si="5"/>
        <v>-0.01192842942</v>
      </c>
      <c r="U74" s="154"/>
      <c r="V74" s="255">
        <v>46043.0</v>
      </c>
      <c r="W74" s="174">
        <v>1157.2</v>
      </c>
      <c r="X74" s="256">
        <f t="shared" si="6"/>
        <v>-0.008142624496</v>
      </c>
      <c r="Y74" s="154"/>
      <c r="Z74" s="255">
        <v>46043.0</v>
      </c>
      <c r="AA74" s="174">
        <v>1369.6</v>
      </c>
      <c r="AB74" s="256">
        <f t="shared" si="7"/>
        <v>-0.006384213581</v>
      </c>
      <c r="AC74" s="154"/>
      <c r="AD74" s="255">
        <v>46043.0</v>
      </c>
      <c r="AE74" s="174">
        <v>5.04</v>
      </c>
      <c r="AF74" s="256">
        <f t="shared" si="8"/>
        <v>0.01612903226</v>
      </c>
      <c r="AG74" s="257"/>
      <c r="AH74" s="255">
        <v>46043.0</v>
      </c>
      <c r="AI74" s="174">
        <v>364.85</v>
      </c>
      <c r="AJ74" s="256">
        <f t="shared" si="9"/>
        <v>-0.005451819545</v>
      </c>
      <c r="AK74" s="257"/>
      <c r="AL74" s="255">
        <v>46043.0</v>
      </c>
      <c r="AM74" s="174">
        <v>6875.62</v>
      </c>
      <c r="AN74" s="256">
        <f t="shared" si="10"/>
        <v>0.01158770373</v>
      </c>
      <c r="AO74" s="154"/>
      <c r="AP74" s="154"/>
    </row>
    <row r="75">
      <c r="A75" s="154"/>
      <c r="B75" s="255">
        <v>46042.0</v>
      </c>
      <c r="C75" s="174">
        <v>9.46</v>
      </c>
      <c r="D75" s="256">
        <f t="shared" si="1"/>
        <v>0.0799086758</v>
      </c>
      <c r="E75" s="154"/>
      <c r="F75" s="255">
        <v>46042.0</v>
      </c>
      <c r="G75" s="174">
        <v>12.66</v>
      </c>
      <c r="H75" s="256">
        <f t="shared" si="2"/>
        <v>-0.01555209953</v>
      </c>
      <c r="I75" s="154"/>
      <c r="J75" s="255">
        <v>46042.0</v>
      </c>
      <c r="K75" s="174">
        <v>31.36</v>
      </c>
      <c r="L75" s="256">
        <f t="shared" si="3"/>
        <v>-0.01259445844</v>
      </c>
      <c r="M75" s="154"/>
      <c r="N75" s="255">
        <v>46042.0</v>
      </c>
      <c r="O75" s="174">
        <v>1527.0</v>
      </c>
      <c r="P75" s="256">
        <f t="shared" si="4"/>
        <v>-0.01036941024</v>
      </c>
      <c r="Q75" s="154"/>
      <c r="R75" s="255">
        <v>46042.0</v>
      </c>
      <c r="S75" s="174">
        <v>15.09</v>
      </c>
      <c r="T75" s="256">
        <f t="shared" si="5"/>
        <v>0.003992015968</v>
      </c>
      <c r="U75" s="154"/>
      <c r="V75" s="255">
        <v>46042.0</v>
      </c>
      <c r="W75" s="174">
        <v>1166.7</v>
      </c>
      <c r="X75" s="256">
        <f t="shared" si="6"/>
        <v>-0.0004283755997</v>
      </c>
      <c r="Y75" s="154"/>
      <c r="Z75" s="255">
        <v>46042.0</v>
      </c>
      <c r="AA75" s="174">
        <v>1378.4</v>
      </c>
      <c r="AB75" s="256">
        <f t="shared" si="7"/>
        <v>-0.009983480572</v>
      </c>
      <c r="AC75" s="154"/>
      <c r="AD75" s="255">
        <v>46042.0</v>
      </c>
      <c r="AE75" s="174">
        <v>4.96</v>
      </c>
      <c r="AF75" s="256">
        <f t="shared" si="8"/>
        <v>0.008130081301</v>
      </c>
      <c r="AG75" s="257"/>
      <c r="AH75" s="255">
        <v>46042.0</v>
      </c>
      <c r="AI75" s="174">
        <v>366.85</v>
      </c>
      <c r="AJ75" s="256">
        <f t="shared" si="9"/>
        <v>-0.0244648318</v>
      </c>
      <c r="AK75" s="257"/>
      <c r="AL75" s="255">
        <v>46042.0</v>
      </c>
      <c r="AM75" s="174">
        <v>6796.86</v>
      </c>
      <c r="AN75" s="256">
        <f t="shared" si="10"/>
        <v>-0.02062677143</v>
      </c>
      <c r="AO75" s="154"/>
      <c r="AP75" s="154"/>
    </row>
    <row r="76">
      <c r="A76" s="154"/>
      <c r="B76" s="255">
        <v>46038.0</v>
      </c>
      <c r="C76" s="174">
        <v>8.76</v>
      </c>
      <c r="D76" s="256">
        <f t="shared" si="1"/>
        <v>0.006896551724</v>
      </c>
      <c r="E76" s="154"/>
      <c r="F76" s="255">
        <v>46038.0</v>
      </c>
      <c r="G76" s="174">
        <v>12.86</v>
      </c>
      <c r="H76" s="256">
        <f t="shared" si="2"/>
        <v>0.001557632399</v>
      </c>
      <c r="I76" s="154"/>
      <c r="J76" s="255">
        <v>46038.0</v>
      </c>
      <c r="K76" s="174">
        <v>31.76</v>
      </c>
      <c r="L76" s="256">
        <f t="shared" si="3"/>
        <v>-0.01823802164</v>
      </c>
      <c r="M76" s="154"/>
      <c r="N76" s="255">
        <v>46041.0</v>
      </c>
      <c r="O76" s="174">
        <v>1543.0</v>
      </c>
      <c r="P76" s="256">
        <f t="shared" si="4"/>
        <v>-0.01719745223</v>
      </c>
      <c r="Q76" s="154"/>
      <c r="R76" s="255">
        <v>46038.0</v>
      </c>
      <c r="S76" s="174">
        <v>15.03</v>
      </c>
      <c r="T76" s="256">
        <f t="shared" si="5"/>
        <v>-0.009228740936</v>
      </c>
      <c r="U76" s="154"/>
      <c r="V76" s="255">
        <v>46041.0</v>
      </c>
      <c r="W76" s="174">
        <v>1167.2</v>
      </c>
      <c r="X76" s="256">
        <f t="shared" si="6"/>
        <v>-0.007060825181</v>
      </c>
      <c r="Y76" s="154"/>
      <c r="Z76" s="255">
        <v>46041.0</v>
      </c>
      <c r="AA76" s="174">
        <v>1392.3</v>
      </c>
      <c r="AB76" s="256">
        <f t="shared" si="7"/>
        <v>-0.003720930233</v>
      </c>
      <c r="AC76" s="154"/>
      <c r="AD76" s="255">
        <v>46038.0</v>
      </c>
      <c r="AE76" s="174">
        <v>4.92</v>
      </c>
      <c r="AF76" s="256">
        <f t="shared" si="8"/>
        <v>-0.006060606061</v>
      </c>
      <c r="AG76" s="257"/>
      <c r="AH76" s="255">
        <v>46041.0</v>
      </c>
      <c r="AI76" s="174">
        <v>376.05</v>
      </c>
      <c r="AJ76" s="256">
        <f t="shared" si="9"/>
        <v>-0.004236727128</v>
      </c>
      <c r="AK76" s="257"/>
      <c r="AL76" s="255">
        <v>46038.0</v>
      </c>
      <c r="AM76" s="174">
        <v>6940.01</v>
      </c>
      <c r="AN76" s="256">
        <f t="shared" si="10"/>
        <v>-0.0006422376366</v>
      </c>
      <c r="AO76" s="154"/>
      <c r="AP76" s="154"/>
    </row>
    <row r="77">
      <c r="A77" s="154"/>
      <c r="B77" s="255">
        <v>46037.0</v>
      </c>
      <c r="C77" s="174">
        <v>8.7</v>
      </c>
      <c r="D77" s="256">
        <f t="shared" si="1"/>
        <v>0.01045296167</v>
      </c>
      <c r="E77" s="154"/>
      <c r="F77" s="255">
        <v>46037.0</v>
      </c>
      <c r="G77" s="174">
        <v>12.84</v>
      </c>
      <c r="H77" s="256">
        <f t="shared" si="2"/>
        <v>-0.02357414449</v>
      </c>
      <c r="I77" s="154"/>
      <c r="J77" s="255">
        <v>46037.0</v>
      </c>
      <c r="K77" s="174">
        <v>32.35</v>
      </c>
      <c r="L77" s="256">
        <f t="shared" si="3"/>
        <v>-0.008884803922</v>
      </c>
      <c r="M77" s="154"/>
      <c r="N77" s="255">
        <v>46038.0</v>
      </c>
      <c r="O77" s="174">
        <v>1570.0</v>
      </c>
      <c r="P77" s="256">
        <f t="shared" si="4"/>
        <v>0.005121638924</v>
      </c>
      <c r="Q77" s="154"/>
      <c r="R77" s="255">
        <v>46037.0</v>
      </c>
      <c r="S77" s="174">
        <v>15.17</v>
      </c>
      <c r="T77" s="256">
        <f t="shared" si="5"/>
        <v>0.02086137281</v>
      </c>
      <c r="U77" s="154"/>
      <c r="V77" s="255">
        <v>46038.0</v>
      </c>
      <c r="W77" s="174">
        <v>1175.5</v>
      </c>
      <c r="X77" s="256">
        <f t="shared" si="6"/>
        <v>-0.009270965023</v>
      </c>
      <c r="Y77" s="154"/>
      <c r="Z77" s="255">
        <v>46038.0</v>
      </c>
      <c r="AA77" s="174">
        <v>1397.5</v>
      </c>
      <c r="AB77" s="256">
        <f t="shared" si="7"/>
        <v>-0.02579295922</v>
      </c>
      <c r="AC77" s="154"/>
      <c r="AD77" s="255">
        <v>46037.0</v>
      </c>
      <c r="AE77" s="174">
        <v>4.95</v>
      </c>
      <c r="AF77" s="256">
        <f t="shared" si="8"/>
        <v>-0.01</v>
      </c>
      <c r="AG77" s="257"/>
      <c r="AH77" s="255">
        <v>46038.0</v>
      </c>
      <c r="AI77" s="174">
        <v>377.65</v>
      </c>
      <c r="AJ77" s="256">
        <f t="shared" si="9"/>
        <v>-0.003562005277</v>
      </c>
      <c r="AK77" s="257"/>
      <c r="AL77" s="255">
        <v>46037.0</v>
      </c>
      <c r="AM77" s="174">
        <v>6944.47</v>
      </c>
      <c r="AN77" s="256">
        <f t="shared" si="10"/>
        <v>0.002579909335</v>
      </c>
      <c r="AO77" s="154"/>
      <c r="AP77" s="154"/>
    </row>
    <row r="78">
      <c r="A78" s="154"/>
      <c r="B78" s="255">
        <v>46036.0</v>
      </c>
      <c r="C78" s="174">
        <v>8.61</v>
      </c>
      <c r="D78" s="256">
        <f t="shared" si="1"/>
        <v>0.02135231317</v>
      </c>
      <c r="E78" s="154"/>
      <c r="F78" s="255">
        <v>46036.0</v>
      </c>
      <c r="G78" s="174">
        <v>13.15</v>
      </c>
      <c r="H78" s="256">
        <f t="shared" si="2"/>
        <v>-0.01645474944</v>
      </c>
      <c r="I78" s="154"/>
      <c r="J78" s="255">
        <v>46036.0</v>
      </c>
      <c r="K78" s="174">
        <v>32.64</v>
      </c>
      <c r="L78" s="256">
        <f t="shared" si="3"/>
        <v>0.005235602094</v>
      </c>
      <c r="M78" s="154"/>
      <c r="N78" s="255">
        <v>46037.0</v>
      </c>
      <c r="O78" s="174">
        <v>1562.0</v>
      </c>
      <c r="P78" s="256">
        <f t="shared" si="4"/>
        <v>-0.003190810466</v>
      </c>
      <c r="Q78" s="154"/>
      <c r="R78" s="255">
        <v>46036.0</v>
      </c>
      <c r="S78" s="174">
        <v>14.86</v>
      </c>
      <c r="T78" s="256">
        <f t="shared" si="5"/>
        <v>-0.01328021248</v>
      </c>
      <c r="U78" s="154"/>
      <c r="V78" s="255">
        <v>46036.0</v>
      </c>
      <c r="W78" s="174">
        <v>1186.5</v>
      </c>
      <c r="X78" s="256">
        <f t="shared" si="6"/>
        <v>-0.004029211785</v>
      </c>
      <c r="Y78" s="154"/>
      <c r="Z78" s="255">
        <v>46036.0</v>
      </c>
      <c r="AA78" s="174">
        <v>1434.5</v>
      </c>
      <c r="AB78" s="256">
        <f t="shared" si="7"/>
        <v>-0.009528412622</v>
      </c>
      <c r="AC78" s="154"/>
      <c r="AD78" s="255">
        <v>46036.0</v>
      </c>
      <c r="AE78" s="174">
        <v>5.0</v>
      </c>
      <c r="AF78" s="256">
        <f t="shared" si="8"/>
        <v>0.03519668737</v>
      </c>
      <c r="AG78" s="257"/>
      <c r="AH78" s="255">
        <v>46036.0</v>
      </c>
      <c r="AI78" s="174">
        <v>379.0</v>
      </c>
      <c r="AJ78" s="256">
        <f t="shared" si="9"/>
        <v>0.004505698383</v>
      </c>
      <c r="AK78" s="257"/>
      <c r="AL78" s="255">
        <v>46036.0</v>
      </c>
      <c r="AM78" s="174">
        <v>6926.6</v>
      </c>
      <c r="AN78" s="256">
        <f t="shared" si="10"/>
        <v>-0.005333340992</v>
      </c>
      <c r="AO78" s="154"/>
      <c r="AP78" s="154"/>
    </row>
    <row r="79">
      <c r="A79" s="154"/>
      <c r="B79" s="255">
        <v>46035.0</v>
      </c>
      <c r="C79" s="174">
        <v>8.43</v>
      </c>
      <c r="D79" s="256">
        <f t="shared" si="1"/>
        <v>0.0381773399</v>
      </c>
      <c r="E79" s="154"/>
      <c r="F79" s="255">
        <v>46035.0</v>
      </c>
      <c r="G79" s="174">
        <v>13.37</v>
      </c>
      <c r="H79" s="256">
        <f t="shared" si="2"/>
        <v>0.05441640379</v>
      </c>
      <c r="I79" s="154"/>
      <c r="J79" s="255">
        <v>46035.0</v>
      </c>
      <c r="K79" s="174">
        <v>32.47</v>
      </c>
      <c r="L79" s="256">
        <f t="shared" si="3"/>
        <v>-0.009759072888</v>
      </c>
      <c r="M79" s="154"/>
      <c r="N79" s="255">
        <v>46036.0</v>
      </c>
      <c r="O79" s="174">
        <v>1567.0</v>
      </c>
      <c r="P79" s="256">
        <f t="shared" si="4"/>
        <v>0.0188556567</v>
      </c>
      <c r="Q79" s="154"/>
      <c r="R79" s="255">
        <v>46035.0</v>
      </c>
      <c r="S79" s="174">
        <v>15.06</v>
      </c>
      <c r="T79" s="256">
        <f t="shared" si="5"/>
        <v>0.008032128514</v>
      </c>
      <c r="U79" s="154"/>
      <c r="V79" s="255">
        <v>46035.0</v>
      </c>
      <c r="W79" s="174">
        <v>1191.3</v>
      </c>
      <c r="X79" s="256">
        <f t="shared" si="6"/>
        <v>-0.01990950226</v>
      </c>
      <c r="Y79" s="154"/>
      <c r="Z79" s="255">
        <v>46035.0</v>
      </c>
      <c r="AA79" s="174">
        <v>1448.3</v>
      </c>
      <c r="AB79" s="256">
        <f t="shared" si="7"/>
        <v>-0.01153426153</v>
      </c>
      <c r="AC79" s="154"/>
      <c r="AD79" s="255">
        <v>46035.0</v>
      </c>
      <c r="AE79" s="174">
        <v>4.83</v>
      </c>
      <c r="AF79" s="256">
        <f t="shared" si="8"/>
        <v>-0.02028397566</v>
      </c>
      <c r="AG79" s="257"/>
      <c r="AH79" s="255">
        <v>46035.0</v>
      </c>
      <c r="AI79" s="174">
        <v>377.3</v>
      </c>
      <c r="AJ79" s="256">
        <f t="shared" si="9"/>
        <v>0.01479289941</v>
      </c>
      <c r="AK79" s="257"/>
      <c r="AL79" s="255">
        <v>46035.0</v>
      </c>
      <c r="AM79" s="174">
        <v>6963.74</v>
      </c>
      <c r="AN79" s="256">
        <f t="shared" si="10"/>
        <v>-0.001939153852</v>
      </c>
      <c r="AO79" s="154"/>
      <c r="AP79" s="154"/>
    </row>
    <row r="80">
      <c r="A80" s="154"/>
      <c r="B80" s="255">
        <v>46034.0</v>
      </c>
      <c r="C80" s="174">
        <v>8.12</v>
      </c>
      <c r="D80" s="256">
        <f t="shared" si="1"/>
        <v>0.008695652174</v>
      </c>
      <c r="E80" s="154"/>
      <c r="F80" s="255">
        <v>46034.0</v>
      </c>
      <c r="G80" s="174">
        <v>12.68</v>
      </c>
      <c r="H80" s="256">
        <f t="shared" si="2"/>
        <v>-0.006269592476</v>
      </c>
      <c r="I80" s="154"/>
      <c r="J80" s="255">
        <v>46034.0</v>
      </c>
      <c r="K80" s="174">
        <v>32.79</v>
      </c>
      <c r="L80" s="256">
        <f t="shared" si="3"/>
        <v>0.02436738519</v>
      </c>
      <c r="M80" s="154"/>
      <c r="N80" s="255">
        <v>46035.0</v>
      </c>
      <c r="O80" s="174">
        <v>1538.0</v>
      </c>
      <c r="P80" s="256">
        <f t="shared" si="4"/>
        <v>-0.01725239617</v>
      </c>
      <c r="Q80" s="154"/>
      <c r="R80" s="255">
        <v>46034.0</v>
      </c>
      <c r="S80" s="174">
        <v>14.94</v>
      </c>
      <c r="T80" s="256">
        <f t="shared" si="5"/>
        <v>-0.009283819629</v>
      </c>
      <c r="U80" s="154"/>
      <c r="V80" s="255">
        <v>46034.0</v>
      </c>
      <c r="W80" s="174">
        <v>1215.5</v>
      </c>
      <c r="X80" s="256">
        <f t="shared" si="6"/>
        <v>0.004462441121</v>
      </c>
      <c r="Y80" s="154"/>
      <c r="Z80" s="255">
        <v>46034.0</v>
      </c>
      <c r="AA80" s="174">
        <v>1465.2</v>
      </c>
      <c r="AB80" s="256">
        <f t="shared" si="7"/>
        <v>-0.0003411339292</v>
      </c>
      <c r="AC80" s="154"/>
      <c r="AD80" s="255">
        <v>46034.0</v>
      </c>
      <c r="AE80" s="174">
        <v>4.93</v>
      </c>
      <c r="AF80" s="256">
        <f t="shared" si="8"/>
        <v>0.0625</v>
      </c>
      <c r="AG80" s="257"/>
      <c r="AH80" s="255">
        <v>46034.0</v>
      </c>
      <c r="AI80" s="174">
        <v>371.8</v>
      </c>
      <c r="AJ80" s="256">
        <f t="shared" si="9"/>
        <v>-0.02054794521</v>
      </c>
      <c r="AK80" s="257"/>
      <c r="AL80" s="255">
        <v>46034.0</v>
      </c>
      <c r="AM80" s="174">
        <v>6977.27</v>
      </c>
      <c r="AN80" s="256">
        <f t="shared" si="10"/>
        <v>0.001577599522</v>
      </c>
      <c r="AO80" s="154"/>
      <c r="AP80" s="154"/>
    </row>
    <row r="81">
      <c r="A81" s="154"/>
      <c r="B81" s="255">
        <v>46031.0</v>
      </c>
      <c r="C81" s="174">
        <v>8.05</v>
      </c>
      <c r="D81" s="256">
        <f t="shared" si="1"/>
        <v>-0.009840098401</v>
      </c>
      <c r="E81" s="154"/>
      <c r="F81" s="255">
        <v>46031.0</v>
      </c>
      <c r="G81" s="174">
        <v>12.76</v>
      </c>
      <c r="H81" s="256">
        <f t="shared" si="2"/>
        <v>0.0126984127</v>
      </c>
      <c r="I81" s="154"/>
      <c r="J81" s="255">
        <v>46031.0</v>
      </c>
      <c r="K81" s="174">
        <v>32.01</v>
      </c>
      <c r="L81" s="256">
        <f t="shared" si="3"/>
        <v>-0.01537988311</v>
      </c>
      <c r="M81" s="154"/>
      <c r="N81" s="255">
        <v>46034.0</v>
      </c>
      <c r="O81" s="174">
        <v>1565.0</v>
      </c>
      <c r="P81" s="256">
        <f t="shared" si="4"/>
        <v>-0.005717916137</v>
      </c>
      <c r="Q81" s="154"/>
      <c r="R81" s="255">
        <v>46031.0</v>
      </c>
      <c r="S81" s="174">
        <v>15.08</v>
      </c>
      <c r="T81" s="256">
        <f t="shared" si="5"/>
        <v>0.02585034014</v>
      </c>
      <c r="U81" s="154"/>
      <c r="V81" s="255">
        <v>46031.0</v>
      </c>
      <c r="W81" s="174">
        <v>1210.1</v>
      </c>
      <c r="X81" s="256">
        <f t="shared" si="6"/>
        <v>0.002651420996</v>
      </c>
      <c r="Y81" s="154"/>
      <c r="Z81" s="255">
        <v>46031.0</v>
      </c>
      <c r="AA81" s="174">
        <v>1465.7</v>
      </c>
      <c r="AB81" s="256">
        <f t="shared" si="7"/>
        <v>0.003491715733</v>
      </c>
      <c r="AC81" s="154"/>
      <c r="AD81" s="255">
        <v>46031.0</v>
      </c>
      <c r="AE81" s="174">
        <v>4.64</v>
      </c>
      <c r="AF81" s="256">
        <f t="shared" si="8"/>
        <v>-0.01902748414</v>
      </c>
      <c r="AG81" s="257"/>
      <c r="AH81" s="255">
        <v>46031.0</v>
      </c>
      <c r="AI81" s="174">
        <v>379.6</v>
      </c>
      <c r="AJ81" s="256">
        <f t="shared" si="9"/>
        <v>0.004365656833</v>
      </c>
      <c r="AK81" s="257"/>
      <c r="AL81" s="255">
        <v>46031.0</v>
      </c>
      <c r="AM81" s="174">
        <v>6966.28</v>
      </c>
      <c r="AN81" s="256">
        <f t="shared" si="10"/>
        <v>0.006475512392</v>
      </c>
      <c r="AO81" s="154"/>
      <c r="AP81" s="154"/>
    </row>
    <row r="82">
      <c r="A82" s="154"/>
      <c r="B82" s="255">
        <v>46030.0</v>
      </c>
      <c r="C82" s="174">
        <v>8.13</v>
      </c>
      <c r="D82" s="256">
        <f t="shared" si="1"/>
        <v>-0.007326007326</v>
      </c>
      <c r="E82" s="154"/>
      <c r="F82" s="255">
        <v>46030.0</v>
      </c>
      <c r="G82" s="174">
        <v>12.6</v>
      </c>
      <c r="H82" s="256">
        <f t="shared" si="2"/>
        <v>0.01123595506</v>
      </c>
      <c r="I82" s="154"/>
      <c r="J82" s="255">
        <v>46030.0</v>
      </c>
      <c r="K82" s="174">
        <v>32.51</v>
      </c>
      <c r="L82" s="256">
        <f t="shared" si="3"/>
        <v>0.003395061728</v>
      </c>
      <c r="M82" s="154"/>
      <c r="N82" s="255">
        <v>46031.0</v>
      </c>
      <c r="O82" s="174">
        <v>1574.0</v>
      </c>
      <c r="P82" s="256">
        <f t="shared" si="4"/>
        <v>0.01548387097</v>
      </c>
      <c r="Q82" s="154"/>
      <c r="R82" s="255">
        <v>46030.0</v>
      </c>
      <c r="S82" s="174">
        <v>14.7</v>
      </c>
      <c r="T82" s="256">
        <f t="shared" si="5"/>
        <v>0.007539410555</v>
      </c>
      <c r="U82" s="154"/>
      <c r="V82" s="255">
        <v>46030.0</v>
      </c>
      <c r="W82" s="174">
        <v>1206.9</v>
      </c>
      <c r="X82" s="256">
        <f t="shared" si="6"/>
        <v>-0.02888638558</v>
      </c>
      <c r="Y82" s="154"/>
      <c r="Z82" s="255">
        <v>46030.0</v>
      </c>
      <c r="AA82" s="174">
        <v>1460.6</v>
      </c>
      <c r="AB82" s="256">
        <f t="shared" si="7"/>
        <v>-0.00497309081</v>
      </c>
      <c r="AC82" s="154"/>
      <c r="AD82" s="255">
        <v>46030.0</v>
      </c>
      <c r="AE82" s="174">
        <v>4.73</v>
      </c>
      <c r="AF82" s="256">
        <f t="shared" si="8"/>
        <v>0.01502145923</v>
      </c>
      <c r="AG82" s="257"/>
      <c r="AH82" s="255">
        <v>46030.0</v>
      </c>
      <c r="AI82" s="174">
        <v>377.95</v>
      </c>
      <c r="AJ82" s="256">
        <f t="shared" si="9"/>
        <v>-0.02351117427</v>
      </c>
      <c r="AK82" s="257"/>
      <c r="AL82" s="255">
        <v>46030.0</v>
      </c>
      <c r="AM82" s="174">
        <v>6921.46</v>
      </c>
      <c r="AN82" s="256">
        <f t="shared" si="10"/>
        <v>0.00007657930365</v>
      </c>
      <c r="AO82" s="154"/>
      <c r="AP82" s="154"/>
    </row>
    <row r="83">
      <c r="A83" s="154"/>
      <c r="B83" s="255">
        <v>46029.0</v>
      </c>
      <c r="C83" s="174">
        <v>8.19</v>
      </c>
      <c r="D83" s="256">
        <f t="shared" si="1"/>
        <v>0.01486988848</v>
      </c>
      <c r="E83" s="154"/>
      <c r="F83" s="255">
        <v>46029.0</v>
      </c>
      <c r="G83" s="174">
        <v>12.46</v>
      </c>
      <c r="H83" s="256">
        <f t="shared" si="2"/>
        <v>0.004838709677</v>
      </c>
      <c r="I83" s="154"/>
      <c r="J83" s="255">
        <v>46029.0</v>
      </c>
      <c r="K83" s="174">
        <v>32.4</v>
      </c>
      <c r="L83" s="256">
        <f t="shared" si="3"/>
        <v>0.009031454376</v>
      </c>
      <c r="M83" s="154"/>
      <c r="N83" s="255">
        <v>46030.0</v>
      </c>
      <c r="O83" s="174">
        <v>1550.0</v>
      </c>
      <c r="P83" s="256">
        <f t="shared" si="4"/>
        <v>-0.01084875558</v>
      </c>
      <c r="Q83" s="154"/>
      <c r="R83" s="255">
        <v>46029.0</v>
      </c>
      <c r="S83" s="174">
        <v>14.59</v>
      </c>
      <c r="T83" s="256">
        <f t="shared" si="5"/>
        <v>-0.01084745763</v>
      </c>
      <c r="U83" s="154"/>
      <c r="V83" s="255">
        <v>46029.0</v>
      </c>
      <c r="W83" s="174">
        <v>1242.8</v>
      </c>
      <c r="X83" s="256">
        <f t="shared" si="6"/>
        <v>-0.01066709123</v>
      </c>
      <c r="Y83" s="154"/>
      <c r="Z83" s="255">
        <v>46029.0</v>
      </c>
      <c r="AA83" s="174">
        <v>1467.9</v>
      </c>
      <c r="AB83" s="256">
        <f t="shared" si="7"/>
        <v>-0.04108962634</v>
      </c>
      <c r="AC83" s="154"/>
      <c r="AD83" s="255">
        <v>46029.0</v>
      </c>
      <c r="AE83" s="174">
        <v>4.66</v>
      </c>
      <c r="AF83" s="256">
        <f t="shared" si="8"/>
        <v>0.01746724891</v>
      </c>
      <c r="AG83" s="257"/>
      <c r="AH83" s="255">
        <v>46029.0</v>
      </c>
      <c r="AI83" s="174">
        <v>387.05</v>
      </c>
      <c r="AJ83" s="256">
        <f t="shared" si="9"/>
        <v>0.004933142931</v>
      </c>
      <c r="AK83" s="257"/>
      <c r="AL83" s="255">
        <v>46029.0</v>
      </c>
      <c r="AM83" s="174">
        <v>6920.93</v>
      </c>
      <c r="AN83" s="256">
        <f t="shared" si="10"/>
        <v>-0.003439973966</v>
      </c>
      <c r="AO83" s="154"/>
      <c r="AP83" s="154"/>
    </row>
    <row r="84">
      <c r="A84" s="154"/>
      <c r="B84" s="255">
        <v>46028.0</v>
      </c>
      <c r="C84" s="174">
        <v>8.07</v>
      </c>
      <c r="D84" s="256">
        <f t="shared" si="1"/>
        <v>0.08467741935</v>
      </c>
      <c r="E84" s="154"/>
      <c r="F84" s="255">
        <v>46028.0</v>
      </c>
      <c r="G84" s="174">
        <v>12.4</v>
      </c>
      <c r="H84" s="256">
        <f t="shared" si="2"/>
        <v>0.002425222312</v>
      </c>
      <c r="I84" s="154"/>
      <c r="J84" s="255">
        <v>46028.0</v>
      </c>
      <c r="K84" s="174">
        <v>32.11</v>
      </c>
      <c r="L84" s="256">
        <f t="shared" si="3"/>
        <v>0.03580645161</v>
      </c>
      <c r="M84" s="154"/>
      <c r="N84" s="255">
        <v>46029.0</v>
      </c>
      <c r="O84" s="174">
        <v>1567.0</v>
      </c>
      <c r="P84" s="256">
        <f t="shared" si="4"/>
        <v>-0.01135646688</v>
      </c>
      <c r="Q84" s="154"/>
      <c r="R84" s="255">
        <v>46028.0</v>
      </c>
      <c r="S84" s="174">
        <v>14.75</v>
      </c>
      <c r="T84" s="256">
        <f t="shared" si="5"/>
        <v>0.04093154552</v>
      </c>
      <c r="U84" s="154"/>
      <c r="V84" s="255">
        <v>46028.0</v>
      </c>
      <c r="W84" s="174">
        <v>1256.2</v>
      </c>
      <c r="X84" s="256">
        <f t="shared" si="6"/>
        <v>0.00496</v>
      </c>
      <c r="Y84" s="154"/>
      <c r="Z84" s="255">
        <v>46028.0</v>
      </c>
      <c r="AA84" s="174">
        <v>1530.8</v>
      </c>
      <c r="AB84" s="256">
        <f t="shared" si="7"/>
        <v>0.007237794447</v>
      </c>
      <c r="AC84" s="154"/>
      <c r="AD84" s="255">
        <v>46028.0</v>
      </c>
      <c r="AE84" s="174">
        <v>4.58</v>
      </c>
      <c r="AF84" s="256">
        <f t="shared" si="8"/>
        <v>-0.06530612245</v>
      </c>
      <c r="AG84" s="257"/>
      <c r="AH84" s="255">
        <v>46028.0</v>
      </c>
      <c r="AI84" s="174">
        <v>385.15</v>
      </c>
      <c r="AJ84" s="256">
        <f t="shared" si="9"/>
        <v>-0.01584259614</v>
      </c>
      <c r="AK84" s="257"/>
      <c r="AL84" s="255">
        <v>46028.0</v>
      </c>
      <c r="AM84" s="174">
        <v>6944.82</v>
      </c>
      <c r="AN84" s="256">
        <f t="shared" si="10"/>
        <v>0.006196709673</v>
      </c>
      <c r="AO84" s="154"/>
      <c r="AP84" s="154"/>
    </row>
    <row r="85">
      <c r="A85" s="154"/>
      <c r="B85" s="255">
        <v>46027.0</v>
      </c>
      <c r="C85" s="174">
        <v>7.44</v>
      </c>
      <c r="D85" s="256">
        <f t="shared" si="1"/>
        <v>0.02762430939</v>
      </c>
      <c r="E85" s="154"/>
      <c r="F85" s="255">
        <v>46027.0</v>
      </c>
      <c r="G85" s="174">
        <v>12.37</v>
      </c>
      <c r="H85" s="256">
        <f t="shared" si="2"/>
        <v>-0.007223113965</v>
      </c>
      <c r="I85" s="154"/>
      <c r="J85" s="255">
        <v>46027.0</v>
      </c>
      <c r="K85" s="174">
        <v>31.0</v>
      </c>
      <c r="L85" s="256">
        <f t="shared" si="3"/>
        <v>0.001615508885</v>
      </c>
      <c r="M85" s="154"/>
      <c r="N85" s="255">
        <v>46028.0</v>
      </c>
      <c r="O85" s="174">
        <v>1585.0</v>
      </c>
      <c r="P85" s="256">
        <f t="shared" si="4"/>
        <v>0.03798297315</v>
      </c>
      <c r="Q85" s="154"/>
      <c r="R85" s="255">
        <v>46027.0</v>
      </c>
      <c r="S85" s="174">
        <v>14.17</v>
      </c>
      <c r="T85" s="256">
        <f t="shared" si="5"/>
        <v>0.02015838733</v>
      </c>
      <c r="U85" s="154"/>
      <c r="V85" s="255">
        <v>46027.0</v>
      </c>
      <c r="W85" s="174">
        <v>1250.0</v>
      </c>
      <c r="X85" s="256">
        <f t="shared" si="6"/>
        <v>-0.00485630125</v>
      </c>
      <c r="Y85" s="154"/>
      <c r="Z85" s="255">
        <v>46027.0</v>
      </c>
      <c r="AA85" s="174">
        <v>1519.8</v>
      </c>
      <c r="AB85" s="256">
        <f t="shared" si="7"/>
        <v>0.005424715533</v>
      </c>
      <c r="AC85" s="154"/>
      <c r="AD85" s="255">
        <v>46027.0</v>
      </c>
      <c r="AE85" s="174">
        <v>4.9</v>
      </c>
      <c r="AF85" s="256">
        <f t="shared" si="8"/>
        <v>-0.02</v>
      </c>
      <c r="AG85" s="257"/>
      <c r="AH85" s="255">
        <v>46027.0</v>
      </c>
      <c r="AI85" s="174">
        <v>391.35</v>
      </c>
      <c r="AJ85" s="256">
        <f t="shared" si="9"/>
        <v>-0.004071764856</v>
      </c>
      <c r="AK85" s="257"/>
      <c r="AL85" s="255">
        <v>46027.0</v>
      </c>
      <c r="AM85" s="174">
        <v>6902.05</v>
      </c>
      <c r="AN85" s="256">
        <f t="shared" si="10"/>
        <v>0.006354186867</v>
      </c>
      <c r="AO85" s="154"/>
      <c r="AP85" s="154"/>
    </row>
    <row r="86">
      <c r="A86" s="154"/>
      <c r="B86" s="255">
        <v>46024.0</v>
      </c>
      <c r="C86" s="174">
        <v>7.24</v>
      </c>
      <c r="D86" s="256">
        <f t="shared" si="1"/>
        <v>0.009762900976</v>
      </c>
      <c r="E86" s="154"/>
      <c r="F86" s="255">
        <v>46024.0</v>
      </c>
      <c r="G86" s="174">
        <v>12.46</v>
      </c>
      <c r="H86" s="256">
        <f t="shared" si="2"/>
        <v>0.0008032128514</v>
      </c>
      <c r="I86" s="154"/>
      <c r="J86" s="255">
        <v>46024.0</v>
      </c>
      <c r="K86" s="174">
        <v>30.95</v>
      </c>
      <c r="L86" s="256">
        <f t="shared" si="3"/>
        <v>-0.008330663249</v>
      </c>
      <c r="M86" s="154"/>
      <c r="N86" s="255">
        <v>46027.0</v>
      </c>
      <c r="O86" s="174">
        <v>1527.0</v>
      </c>
      <c r="P86" s="256">
        <f t="shared" si="4"/>
        <v>0.002626395272</v>
      </c>
      <c r="Q86" s="154"/>
      <c r="R86" s="255">
        <v>46024.0</v>
      </c>
      <c r="S86" s="174">
        <v>13.89</v>
      </c>
      <c r="T86" s="256">
        <f t="shared" si="5"/>
        <v>-0.002155172414</v>
      </c>
      <c r="U86" s="154"/>
      <c r="V86" s="255">
        <v>46024.0</v>
      </c>
      <c r="W86" s="174">
        <v>1256.1</v>
      </c>
      <c r="X86" s="256">
        <f t="shared" si="6"/>
        <v>-0.01203397829</v>
      </c>
      <c r="Y86" s="154"/>
      <c r="Z86" s="255">
        <v>46024.0</v>
      </c>
      <c r="AA86" s="174">
        <v>1511.6</v>
      </c>
      <c r="AB86" s="256">
        <f t="shared" si="7"/>
        <v>0.0001985045987</v>
      </c>
      <c r="AC86" s="154"/>
      <c r="AD86" s="255">
        <v>46024.0</v>
      </c>
      <c r="AE86" s="174">
        <v>5.0</v>
      </c>
      <c r="AF86" s="256">
        <f t="shared" si="8"/>
        <v>-0.0253411306</v>
      </c>
      <c r="AG86" s="257"/>
      <c r="AH86" s="255">
        <v>46024.0</v>
      </c>
      <c r="AI86" s="174">
        <v>392.95</v>
      </c>
      <c r="AJ86" s="256">
        <f t="shared" si="9"/>
        <v>-0.00241177964</v>
      </c>
      <c r="AK86" s="257"/>
      <c r="AL86" s="255">
        <v>46024.0</v>
      </c>
      <c r="AM86" s="174">
        <v>6858.47</v>
      </c>
      <c r="AN86" s="256">
        <f t="shared" si="10"/>
        <v>0.001894675334</v>
      </c>
      <c r="AO86" s="154"/>
      <c r="AP86" s="154"/>
    </row>
    <row r="87">
      <c r="A87" s="154"/>
      <c r="B87" s="263">
        <v>46022.0</v>
      </c>
      <c r="C87" s="174">
        <v>7.17</v>
      </c>
      <c r="D87" s="256">
        <f t="shared" si="1"/>
        <v>0.005610098177</v>
      </c>
      <c r="E87" s="154"/>
      <c r="F87" s="263">
        <v>46022.0</v>
      </c>
      <c r="G87" s="174">
        <v>12.45</v>
      </c>
      <c r="H87" s="256">
        <f t="shared" si="2"/>
        <v>-0.007177033493</v>
      </c>
      <c r="I87" s="154"/>
      <c r="J87" s="263">
        <v>46022.0</v>
      </c>
      <c r="K87" s="174">
        <v>31.21</v>
      </c>
      <c r="L87" s="256">
        <f t="shared" si="3"/>
        <v>-0.004148053606</v>
      </c>
      <c r="M87" s="154"/>
      <c r="N87" s="255">
        <v>46024.0</v>
      </c>
      <c r="O87" s="174">
        <v>1523.0</v>
      </c>
      <c r="P87" s="256">
        <f t="shared" si="4"/>
        <v>-0.01741935484</v>
      </c>
      <c r="Q87" s="154"/>
      <c r="R87" s="263">
        <v>46022.0</v>
      </c>
      <c r="S87" s="174">
        <v>13.92</v>
      </c>
      <c r="T87" s="256">
        <f t="shared" si="5"/>
        <v>-0.00143472023</v>
      </c>
      <c r="U87" s="154"/>
      <c r="V87" s="263">
        <v>46022.0</v>
      </c>
      <c r="W87" s="174">
        <v>1271.4</v>
      </c>
      <c r="X87" s="256">
        <f t="shared" si="6"/>
        <v>0.004424079633</v>
      </c>
      <c r="Y87" s="154"/>
      <c r="Z87" s="263">
        <v>46022.0</v>
      </c>
      <c r="AA87" s="174">
        <v>1511.3</v>
      </c>
      <c r="AB87" s="256">
        <f t="shared" si="7"/>
        <v>0.01259631491</v>
      </c>
      <c r="AC87" s="154"/>
      <c r="AD87" s="263">
        <v>46022.0</v>
      </c>
      <c r="AE87" s="174">
        <v>5.13</v>
      </c>
      <c r="AF87" s="256">
        <f t="shared" si="8"/>
        <v>0.01584158416</v>
      </c>
      <c r="AG87" s="264"/>
      <c r="AH87" s="263">
        <v>46022.0</v>
      </c>
      <c r="AI87" s="174">
        <v>393.9</v>
      </c>
      <c r="AJ87" s="256">
        <f t="shared" si="9"/>
        <v>0.008965163934</v>
      </c>
      <c r="AK87" s="264"/>
      <c r="AL87" s="263">
        <v>46022.0</v>
      </c>
      <c r="AM87" s="174">
        <v>6845.5</v>
      </c>
      <c r="AN87" s="256">
        <f t="shared" si="10"/>
        <v>-0.007357632565</v>
      </c>
      <c r="AO87" s="154"/>
      <c r="AP87" s="154"/>
    </row>
    <row r="88">
      <c r="A88" s="154"/>
      <c r="B88" s="263">
        <v>46021.0</v>
      </c>
      <c r="C88" s="174">
        <v>7.13</v>
      </c>
      <c r="D88" s="256">
        <f t="shared" si="1"/>
        <v>0.002812939522</v>
      </c>
      <c r="E88" s="154"/>
      <c r="F88" s="263">
        <v>46021.0</v>
      </c>
      <c r="G88" s="174">
        <v>12.54</v>
      </c>
      <c r="H88" s="256">
        <f t="shared" si="2"/>
        <v>0.01374292643</v>
      </c>
      <c r="I88" s="154"/>
      <c r="J88" s="263">
        <v>46021.0</v>
      </c>
      <c r="K88" s="174">
        <v>31.34</v>
      </c>
      <c r="L88" s="256">
        <f t="shared" si="3"/>
        <v>-0.006970849176</v>
      </c>
      <c r="M88" s="154"/>
      <c r="N88" s="263">
        <v>46022.0</v>
      </c>
      <c r="O88" s="174">
        <v>1550.0</v>
      </c>
      <c r="P88" s="256">
        <f t="shared" si="4"/>
        <v>0</v>
      </c>
      <c r="Q88" s="154"/>
      <c r="R88" s="263">
        <v>46021.0</v>
      </c>
      <c r="S88" s="174">
        <v>13.94</v>
      </c>
      <c r="T88" s="256">
        <f t="shared" si="5"/>
        <v>0.002156721783</v>
      </c>
      <c r="U88" s="154"/>
      <c r="V88" s="263">
        <v>46021.0</v>
      </c>
      <c r="W88" s="174">
        <v>1265.8</v>
      </c>
      <c r="X88" s="256">
        <f t="shared" si="6"/>
        <v>-0.002207157496</v>
      </c>
      <c r="Y88" s="154"/>
      <c r="Z88" s="263">
        <v>46021.0</v>
      </c>
      <c r="AA88" s="174">
        <v>1492.5</v>
      </c>
      <c r="AB88" s="256">
        <f t="shared" si="7"/>
        <v>-0.001004016064</v>
      </c>
      <c r="AC88" s="154"/>
      <c r="AD88" s="263">
        <v>46021.0</v>
      </c>
      <c r="AE88" s="174">
        <v>5.05</v>
      </c>
      <c r="AF88" s="256">
        <f t="shared" si="8"/>
        <v>0.01609657948</v>
      </c>
      <c r="AG88" s="264"/>
      <c r="AH88" s="263">
        <v>46021.0</v>
      </c>
      <c r="AI88" s="174">
        <v>390.4</v>
      </c>
      <c r="AJ88" s="256">
        <f t="shared" si="9"/>
        <v>0</v>
      </c>
      <c r="AK88" s="264"/>
      <c r="AL88" s="263">
        <v>46021.0</v>
      </c>
      <c r="AM88" s="174">
        <v>6896.24</v>
      </c>
      <c r="AN88" s="256">
        <f t="shared" si="10"/>
        <v>-0.001375667199</v>
      </c>
      <c r="AO88" s="154"/>
      <c r="AP88" s="154"/>
    </row>
    <row r="89">
      <c r="A89" s="154"/>
      <c r="B89" s="263">
        <v>46020.0</v>
      </c>
      <c r="C89" s="174">
        <v>7.11</v>
      </c>
      <c r="D89" s="256">
        <f t="shared" si="1"/>
        <v>-0.009749303621</v>
      </c>
      <c r="E89" s="154"/>
      <c r="F89" s="263">
        <v>46020.0</v>
      </c>
      <c r="G89" s="174">
        <v>12.37</v>
      </c>
      <c r="H89" s="256">
        <f t="shared" si="2"/>
        <v>0.004058441558</v>
      </c>
      <c r="I89" s="154"/>
      <c r="J89" s="263">
        <v>46020.0</v>
      </c>
      <c r="K89" s="174">
        <v>31.56</v>
      </c>
      <c r="L89" s="256">
        <f t="shared" si="3"/>
        <v>-0.0103480715</v>
      </c>
      <c r="M89" s="154"/>
      <c r="N89" s="263">
        <v>46021.0</v>
      </c>
      <c r="O89" s="174">
        <v>1550.0</v>
      </c>
      <c r="P89" s="256">
        <f t="shared" si="4"/>
        <v>0.009114583333</v>
      </c>
      <c r="Q89" s="154"/>
      <c r="R89" s="263">
        <v>46020.0</v>
      </c>
      <c r="S89" s="174">
        <v>13.91</v>
      </c>
      <c r="T89" s="256">
        <f t="shared" si="5"/>
        <v>0.006512301013</v>
      </c>
      <c r="U89" s="154"/>
      <c r="V89" s="263">
        <v>46020.0</v>
      </c>
      <c r="W89" s="174">
        <v>1268.6</v>
      </c>
      <c r="X89" s="256">
        <f t="shared" si="6"/>
        <v>-0.0005514850705</v>
      </c>
      <c r="Y89" s="154"/>
      <c r="Z89" s="263">
        <v>46020.0</v>
      </c>
      <c r="AA89" s="174">
        <v>1494.0</v>
      </c>
      <c r="AB89" s="256">
        <f t="shared" si="7"/>
        <v>-0.00796812749</v>
      </c>
      <c r="AC89" s="154"/>
      <c r="AD89" s="263">
        <v>46020.0</v>
      </c>
      <c r="AE89" s="174">
        <v>4.97</v>
      </c>
      <c r="AF89" s="256">
        <f t="shared" si="8"/>
        <v>-0.05513307985</v>
      </c>
      <c r="AG89" s="264"/>
      <c r="AH89" s="263">
        <v>46020.0</v>
      </c>
      <c r="AI89" s="174">
        <v>390.4</v>
      </c>
      <c r="AJ89" s="256">
        <f t="shared" si="9"/>
        <v>-0.01277026173</v>
      </c>
      <c r="AK89" s="264"/>
      <c r="AL89" s="263">
        <v>46020.0</v>
      </c>
      <c r="AM89" s="174">
        <v>6905.74</v>
      </c>
      <c r="AN89" s="256">
        <f t="shared" si="10"/>
        <v>-0.003492093727</v>
      </c>
      <c r="AO89" s="154"/>
      <c r="AP89" s="154"/>
    </row>
    <row r="90">
      <c r="A90" s="154"/>
      <c r="B90" s="263">
        <v>46017.0</v>
      </c>
      <c r="C90" s="174">
        <v>7.18</v>
      </c>
      <c r="D90" s="256">
        <f t="shared" si="1"/>
        <v>0.01269393512</v>
      </c>
      <c r="E90" s="154"/>
      <c r="F90" s="263">
        <v>46017.0</v>
      </c>
      <c r="G90" s="174">
        <v>12.32</v>
      </c>
      <c r="H90" s="256">
        <f t="shared" si="2"/>
        <v>0.006535947712</v>
      </c>
      <c r="I90" s="154"/>
      <c r="J90" s="263">
        <v>46017.0</v>
      </c>
      <c r="K90" s="174">
        <v>31.89</v>
      </c>
      <c r="L90" s="256">
        <f t="shared" si="3"/>
        <v>0.004725897921</v>
      </c>
      <c r="M90" s="154"/>
      <c r="N90" s="263">
        <v>46020.0</v>
      </c>
      <c r="O90" s="174">
        <v>1536.0</v>
      </c>
      <c r="P90" s="256">
        <f t="shared" si="4"/>
        <v>0.001956947162</v>
      </c>
      <c r="Q90" s="154"/>
      <c r="R90" s="263">
        <v>46017.0</v>
      </c>
      <c r="S90" s="174">
        <v>13.82</v>
      </c>
      <c r="T90" s="256">
        <f t="shared" si="5"/>
        <v>0.005090909091</v>
      </c>
      <c r="U90" s="154"/>
      <c r="V90" s="263">
        <v>46017.0</v>
      </c>
      <c r="W90" s="174">
        <v>1269.3</v>
      </c>
      <c r="X90" s="256">
        <f t="shared" si="6"/>
        <v>0.002765049771</v>
      </c>
      <c r="Y90" s="154"/>
      <c r="Z90" s="263">
        <v>46017.0</v>
      </c>
      <c r="AA90" s="174">
        <v>1506.0</v>
      </c>
      <c r="AB90" s="256">
        <f t="shared" si="7"/>
        <v>0.006482657221</v>
      </c>
      <c r="AC90" s="154"/>
      <c r="AD90" s="263">
        <v>46017.0</v>
      </c>
      <c r="AE90" s="174">
        <v>5.26</v>
      </c>
      <c r="AF90" s="256">
        <f t="shared" si="8"/>
        <v>-0.005671077505</v>
      </c>
      <c r="AG90" s="264"/>
      <c r="AH90" s="263">
        <v>46017.0</v>
      </c>
      <c r="AI90" s="174">
        <v>395.45</v>
      </c>
      <c r="AJ90" s="256">
        <f t="shared" si="9"/>
        <v>-0.007280030124</v>
      </c>
      <c r="AK90" s="264"/>
      <c r="AL90" s="263">
        <v>46017.0</v>
      </c>
      <c r="AM90" s="174">
        <v>6929.94</v>
      </c>
      <c r="AN90" s="256">
        <f t="shared" si="10"/>
        <v>-0.0003043832632</v>
      </c>
      <c r="AO90" s="154"/>
      <c r="AP90" s="154"/>
    </row>
    <row r="91">
      <c r="A91" s="154"/>
      <c r="B91" s="263">
        <v>46015.0</v>
      </c>
      <c r="C91" s="174">
        <v>7.09</v>
      </c>
      <c r="D91" s="256">
        <f t="shared" si="1"/>
        <v>0</v>
      </c>
      <c r="E91" s="154"/>
      <c r="F91" s="263">
        <v>46015.0</v>
      </c>
      <c r="G91" s="174">
        <v>12.24</v>
      </c>
      <c r="H91" s="256">
        <f t="shared" si="2"/>
        <v>0.01830282862</v>
      </c>
      <c r="I91" s="154"/>
      <c r="J91" s="263">
        <v>46015.0</v>
      </c>
      <c r="K91" s="174">
        <v>31.74</v>
      </c>
      <c r="L91" s="256">
        <f t="shared" si="3"/>
        <v>0.00634115409</v>
      </c>
      <c r="M91" s="154"/>
      <c r="N91" s="263">
        <v>46015.0</v>
      </c>
      <c r="O91" s="174">
        <v>1533.0</v>
      </c>
      <c r="P91" s="256">
        <f t="shared" si="4"/>
        <v>0.004587155963</v>
      </c>
      <c r="Q91" s="154"/>
      <c r="R91" s="263">
        <v>46015.0</v>
      </c>
      <c r="S91" s="174">
        <v>13.75</v>
      </c>
      <c r="T91" s="256">
        <f t="shared" si="5"/>
        <v>0.005116959064</v>
      </c>
      <c r="U91" s="154"/>
      <c r="V91" s="263">
        <v>46015.0</v>
      </c>
      <c r="W91" s="174">
        <v>1265.8</v>
      </c>
      <c r="X91" s="256">
        <f t="shared" si="6"/>
        <v>-0.01379041683</v>
      </c>
      <c r="Y91" s="154"/>
      <c r="Z91" s="263">
        <v>46015.0</v>
      </c>
      <c r="AA91" s="174">
        <v>1496.3</v>
      </c>
      <c r="AB91" s="256">
        <f t="shared" si="7"/>
        <v>-0.002931965083</v>
      </c>
      <c r="AC91" s="154"/>
      <c r="AD91" s="263">
        <v>46015.0</v>
      </c>
      <c r="AE91" s="174">
        <v>5.29</v>
      </c>
      <c r="AF91" s="256">
        <f t="shared" si="8"/>
        <v>0.09979209979</v>
      </c>
      <c r="AG91" s="264"/>
      <c r="AH91" s="263">
        <v>46015.0</v>
      </c>
      <c r="AI91" s="174">
        <v>398.35</v>
      </c>
      <c r="AJ91" s="256">
        <f t="shared" si="9"/>
        <v>-0.007969119661</v>
      </c>
      <c r="AK91" s="264"/>
      <c r="AL91" s="263">
        <v>46015.0</v>
      </c>
      <c r="AM91" s="174">
        <v>6932.05</v>
      </c>
      <c r="AN91" s="256">
        <f t="shared" si="10"/>
        <v>0.003221516139</v>
      </c>
      <c r="AO91" s="154"/>
      <c r="AP91" s="154"/>
    </row>
    <row r="92">
      <c r="A92" s="154"/>
      <c r="B92" s="263">
        <v>46014.0</v>
      </c>
      <c r="C92" s="174">
        <v>7.09</v>
      </c>
      <c r="D92" s="256">
        <f t="shared" si="1"/>
        <v>0.01575931232</v>
      </c>
      <c r="E92" s="154"/>
      <c r="F92" s="263">
        <v>46014.0</v>
      </c>
      <c r="G92" s="174">
        <v>12.02</v>
      </c>
      <c r="H92" s="256">
        <f t="shared" si="2"/>
        <v>0.0008326394671</v>
      </c>
      <c r="I92" s="154"/>
      <c r="J92" s="263">
        <v>46014.0</v>
      </c>
      <c r="K92" s="174">
        <v>31.54</v>
      </c>
      <c r="L92" s="256">
        <f t="shared" si="3"/>
        <v>0.01057353412</v>
      </c>
      <c r="M92" s="154"/>
      <c r="N92" s="263">
        <v>46014.0</v>
      </c>
      <c r="O92" s="174">
        <v>1526.0</v>
      </c>
      <c r="P92" s="256">
        <f t="shared" si="4"/>
        <v>0.001969796454</v>
      </c>
      <c r="Q92" s="154"/>
      <c r="R92" s="263">
        <v>46014.0</v>
      </c>
      <c r="S92" s="174">
        <v>13.68</v>
      </c>
      <c r="T92" s="256">
        <f t="shared" si="5"/>
        <v>0.01710037175</v>
      </c>
      <c r="U92" s="154"/>
      <c r="V92" s="263">
        <v>46014.0</v>
      </c>
      <c r="W92" s="174">
        <v>1283.5</v>
      </c>
      <c r="X92" s="256">
        <f t="shared" si="6"/>
        <v>0.00007791803023</v>
      </c>
      <c r="Y92" s="154"/>
      <c r="Z92" s="263">
        <v>46014.0</v>
      </c>
      <c r="AA92" s="174">
        <v>1500.7</v>
      </c>
      <c r="AB92" s="256">
        <f t="shared" si="7"/>
        <v>-0.008063983079</v>
      </c>
      <c r="AC92" s="154"/>
      <c r="AD92" s="263">
        <v>46014.0</v>
      </c>
      <c r="AE92" s="174">
        <v>4.81</v>
      </c>
      <c r="AF92" s="256">
        <f t="shared" si="8"/>
        <v>-0.02631578947</v>
      </c>
      <c r="AG92" s="264"/>
      <c r="AH92" s="263">
        <v>46014.0</v>
      </c>
      <c r="AI92" s="174">
        <v>401.55</v>
      </c>
      <c r="AJ92" s="256">
        <f t="shared" si="9"/>
        <v>0.005634861007</v>
      </c>
      <c r="AK92" s="264"/>
      <c r="AL92" s="263">
        <v>46014.0</v>
      </c>
      <c r="AM92" s="174">
        <v>6909.79</v>
      </c>
      <c r="AN92" s="256">
        <f t="shared" si="10"/>
        <v>0.004550417315</v>
      </c>
      <c r="AO92" s="154"/>
      <c r="AP92" s="154"/>
    </row>
    <row r="93">
      <c r="A93" s="154"/>
      <c r="B93" s="263">
        <v>46013.0</v>
      </c>
      <c r="C93" s="174">
        <v>6.98</v>
      </c>
      <c r="D93" s="256">
        <f t="shared" si="1"/>
        <v>0.02196193265</v>
      </c>
      <c r="E93" s="154"/>
      <c r="F93" s="263">
        <v>46013.0</v>
      </c>
      <c r="G93" s="174">
        <v>12.01</v>
      </c>
      <c r="H93" s="256">
        <f t="shared" si="2"/>
        <v>0.006705783738</v>
      </c>
      <c r="I93" s="154"/>
      <c r="J93" s="263">
        <v>46013.0</v>
      </c>
      <c r="K93" s="174">
        <v>31.21</v>
      </c>
      <c r="L93" s="256">
        <f t="shared" si="3"/>
        <v>0.02833607908</v>
      </c>
      <c r="M93" s="154"/>
      <c r="N93" s="263">
        <v>46013.0</v>
      </c>
      <c r="O93" s="174">
        <v>1523.0</v>
      </c>
      <c r="P93" s="256">
        <f t="shared" si="4"/>
        <v>0.007275132275</v>
      </c>
      <c r="Q93" s="154"/>
      <c r="R93" s="263">
        <v>46013.0</v>
      </c>
      <c r="S93" s="174">
        <v>13.45</v>
      </c>
      <c r="T93" s="256">
        <f t="shared" si="5"/>
        <v>0.01662887377</v>
      </c>
      <c r="U93" s="154"/>
      <c r="V93" s="263">
        <v>46013.0</v>
      </c>
      <c r="W93" s="174">
        <v>1283.4</v>
      </c>
      <c r="X93" s="256">
        <f t="shared" si="6"/>
        <v>0.004068220936</v>
      </c>
      <c r="Y93" s="154"/>
      <c r="Z93" s="263">
        <v>46013.0</v>
      </c>
      <c r="AA93" s="174">
        <v>1512.9</v>
      </c>
      <c r="AB93" s="256">
        <f t="shared" si="7"/>
        <v>-0.002768439786</v>
      </c>
      <c r="AC93" s="154"/>
      <c r="AD93" s="263">
        <v>46013.0</v>
      </c>
      <c r="AE93" s="174">
        <v>4.94</v>
      </c>
      <c r="AF93" s="256">
        <f t="shared" si="8"/>
        <v>0.008163265306</v>
      </c>
      <c r="AG93" s="264"/>
      <c r="AH93" s="263">
        <v>46013.0</v>
      </c>
      <c r="AI93" s="174">
        <v>399.3</v>
      </c>
      <c r="AJ93" s="256">
        <f t="shared" si="9"/>
        <v>0.001881821603</v>
      </c>
      <c r="AK93" s="264"/>
      <c r="AL93" s="263">
        <v>46013.0</v>
      </c>
      <c r="AM93" s="174">
        <v>6878.49</v>
      </c>
      <c r="AN93" s="256">
        <f t="shared" si="10"/>
        <v>0.006436462067</v>
      </c>
      <c r="AO93" s="154"/>
      <c r="AP93" s="154"/>
    </row>
    <row r="94">
      <c r="A94" s="154"/>
      <c r="B94" s="263">
        <v>46010.0</v>
      </c>
      <c r="C94" s="174">
        <v>6.83</v>
      </c>
      <c r="D94" s="256">
        <f t="shared" si="1"/>
        <v>-0.001461988304</v>
      </c>
      <c r="E94" s="154"/>
      <c r="F94" s="263">
        <v>46010.0</v>
      </c>
      <c r="G94" s="174">
        <v>11.93</v>
      </c>
      <c r="H94" s="256">
        <f t="shared" si="2"/>
        <v>-0.000837520938</v>
      </c>
      <c r="I94" s="154"/>
      <c r="J94" s="263">
        <v>46010.0</v>
      </c>
      <c r="K94" s="174">
        <v>30.35</v>
      </c>
      <c r="L94" s="256">
        <f t="shared" si="3"/>
        <v>0.0009894459103</v>
      </c>
      <c r="M94" s="154"/>
      <c r="N94" s="263">
        <v>46010.0</v>
      </c>
      <c r="O94" s="174">
        <v>1512.0</v>
      </c>
      <c r="P94" s="256">
        <f t="shared" si="4"/>
        <v>0.001324503311</v>
      </c>
      <c r="Q94" s="154"/>
      <c r="R94" s="263">
        <v>46010.0</v>
      </c>
      <c r="S94" s="174">
        <v>13.23</v>
      </c>
      <c r="T94" s="256">
        <f t="shared" si="5"/>
        <v>-0.006010518407</v>
      </c>
      <c r="U94" s="154"/>
      <c r="V94" s="263">
        <v>46010.0</v>
      </c>
      <c r="W94" s="174">
        <v>1278.2</v>
      </c>
      <c r="X94" s="256">
        <f t="shared" si="6"/>
        <v>-0.00140625</v>
      </c>
      <c r="Y94" s="154"/>
      <c r="Z94" s="263">
        <v>46010.0</v>
      </c>
      <c r="AA94" s="174">
        <v>1517.1</v>
      </c>
      <c r="AB94" s="256">
        <f t="shared" si="7"/>
        <v>0.01214223764</v>
      </c>
      <c r="AC94" s="154"/>
      <c r="AD94" s="263">
        <v>46010.0</v>
      </c>
      <c r="AE94" s="174">
        <v>4.9</v>
      </c>
      <c r="AF94" s="256">
        <f t="shared" si="8"/>
        <v>0.03594080338</v>
      </c>
      <c r="AG94" s="264"/>
      <c r="AH94" s="263">
        <v>46010.0</v>
      </c>
      <c r="AI94" s="174">
        <v>398.55</v>
      </c>
      <c r="AJ94" s="256">
        <f t="shared" si="9"/>
        <v>0.01606118547</v>
      </c>
      <c r="AK94" s="264"/>
      <c r="AL94" s="263">
        <v>46010.0</v>
      </c>
      <c r="AM94" s="174">
        <v>6834.5</v>
      </c>
      <c r="AN94" s="256">
        <f t="shared" si="10"/>
        <v>0.00881802455</v>
      </c>
      <c r="AO94" s="154"/>
      <c r="AP94" s="154"/>
    </row>
    <row r="95">
      <c r="A95" s="154"/>
      <c r="B95" s="263">
        <v>46009.0</v>
      </c>
      <c r="C95" s="174">
        <v>6.84</v>
      </c>
      <c r="D95" s="256">
        <f t="shared" si="1"/>
        <v>-0.02145922747</v>
      </c>
      <c r="E95" s="154"/>
      <c r="F95" s="263">
        <v>46009.0</v>
      </c>
      <c r="G95" s="174">
        <v>11.94</v>
      </c>
      <c r="H95" s="256">
        <f t="shared" si="2"/>
        <v>0.02051282051</v>
      </c>
      <c r="I95" s="154"/>
      <c r="J95" s="263">
        <v>46009.0</v>
      </c>
      <c r="K95" s="174">
        <v>30.32</v>
      </c>
      <c r="L95" s="256">
        <f t="shared" si="3"/>
        <v>0.008649367931</v>
      </c>
      <c r="M95" s="154"/>
      <c r="N95" s="263">
        <v>46009.0</v>
      </c>
      <c r="O95" s="174">
        <v>1510.0</v>
      </c>
      <c r="P95" s="256">
        <f t="shared" si="4"/>
        <v>-0.002642007926</v>
      </c>
      <c r="Q95" s="154"/>
      <c r="R95" s="263">
        <v>46009.0</v>
      </c>
      <c r="S95" s="174">
        <v>13.31</v>
      </c>
      <c r="T95" s="256">
        <f t="shared" si="5"/>
        <v>-0.00374251497</v>
      </c>
      <c r="U95" s="154"/>
      <c r="V95" s="263">
        <v>46009.0</v>
      </c>
      <c r="W95" s="174">
        <v>1280.0</v>
      </c>
      <c r="X95" s="256">
        <f t="shared" si="6"/>
        <v>0.006289308176</v>
      </c>
      <c r="Y95" s="154"/>
      <c r="Z95" s="263">
        <v>46009.0</v>
      </c>
      <c r="AA95" s="174">
        <v>1498.9</v>
      </c>
      <c r="AB95" s="256">
        <f t="shared" si="7"/>
        <v>0.001336094595</v>
      </c>
      <c r="AC95" s="154"/>
      <c r="AD95" s="263">
        <v>46009.0</v>
      </c>
      <c r="AE95" s="174">
        <v>4.73</v>
      </c>
      <c r="AF95" s="256">
        <f t="shared" si="8"/>
        <v>-0.054</v>
      </c>
      <c r="AG95" s="264"/>
      <c r="AH95" s="263">
        <v>46009.0</v>
      </c>
      <c r="AI95" s="174">
        <v>392.25</v>
      </c>
      <c r="AJ95" s="256">
        <f t="shared" si="9"/>
        <v>0.01592851593</v>
      </c>
      <c r="AK95" s="264"/>
      <c r="AL95" s="263">
        <v>46009.0</v>
      </c>
      <c r="AM95" s="174">
        <v>6774.76</v>
      </c>
      <c r="AN95" s="256">
        <f t="shared" si="10"/>
        <v>0.0079343235</v>
      </c>
      <c r="AO95" s="154"/>
      <c r="AP95" s="154"/>
    </row>
    <row r="96">
      <c r="A96" s="154"/>
      <c r="B96" s="263">
        <v>46008.0</v>
      </c>
      <c r="C96" s="174">
        <v>6.99</v>
      </c>
      <c r="D96" s="256">
        <f t="shared" si="1"/>
        <v>0.002869440459</v>
      </c>
      <c r="E96" s="154"/>
      <c r="F96" s="263">
        <v>46008.0</v>
      </c>
      <c r="G96" s="174">
        <v>11.7</v>
      </c>
      <c r="H96" s="256">
        <f t="shared" si="2"/>
        <v>0.02094240838</v>
      </c>
      <c r="I96" s="154"/>
      <c r="J96" s="263">
        <v>46008.0</v>
      </c>
      <c r="K96" s="174">
        <v>30.06</v>
      </c>
      <c r="L96" s="256">
        <f t="shared" si="3"/>
        <v>-0.001328903654</v>
      </c>
      <c r="M96" s="154"/>
      <c r="N96" s="263">
        <v>46008.0</v>
      </c>
      <c r="O96" s="174">
        <v>1514.0</v>
      </c>
      <c r="P96" s="256">
        <f t="shared" si="4"/>
        <v>0.004644990046</v>
      </c>
      <c r="Q96" s="154"/>
      <c r="R96" s="263">
        <v>46008.0</v>
      </c>
      <c r="S96" s="174">
        <v>13.36</v>
      </c>
      <c r="T96" s="256">
        <f t="shared" si="5"/>
        <v>0.02611367127</v>
      </c>
      <c r="U96" s="154"/>
      <c r="V96" s="263">
        <v>46008.0</v>
      </c>
      <c r="W96" s="174">
        <v>1272.0</v>
      </c>
      <c r="X96" s="256">
        <f t="shared" si="6"/>
        <v>-0.003837418749</v>
      </c>
      <c r="Y96" s="154"/>
      <c r="Z96" s="263">
        <v>46008.0</v>
      </c>
      <c r="AA96" s="174">
        <v>1496.9</v>
      </c>
      <c r="AB96" s="256">
        <f t="shared" si="7"/>
        <v>-0.001800480128</v>
      </c>
      <c r="AC96" s="154"/>
      <c r="AD96" s="263">
        <v>46008.0</v>
      </c>
      <c r="AE96" s="174">
        <v>5.0</v>
      </c>
      <c r="AF96" s="256">
        <f t="shared" si="8"/>
        <v>-0.007936507937</v>
      </c>
      <c r="AG96" s="264"/>
      <c r="AH96" s="263">
        <v>46008.0</v>
      </c>
      <c r="AI96" s="174">
        <v>386.1</v>
      </c>
      <c r="AJ96" s="256">
        <f t="shared" si="9"/>
        <v>0.003117692907</v>
      </c>
      <c r="AK96" s="264"/>
      <c r="AL96" s="263">
        <v>46008.0</v>
      </c>
      <c r="AM96" s="174">
        <v>6721.43</v>
      </c>
      <c r="AN96" s="256">
        <f t="shared" si="10"/>
        <v>-0.01159220383</v>
      </c>
      <c r="AO96" s="154"/>
      <c r="AP96" s="154"/>
    </row>
    <row r="97">
      <c r="A97" s="154"/>
      <c r="B97" s="263">
        <v>46007.0</v>
      </c>
      <c r="C97" s="174">
        <v>6.97</v>
      </c>
      <c r="D97" s="256">
        <f t="shared" si="1"/>
        <v>-0.007122507123</v>
      </c>
      <c r="E97" s="154"/>
      <c r="F97" s="263">
        <v>46007.0</v>
      </c>
      <c r="G97" s="174">
        <v>11.46</v>
      </c>
      <c r="H97" s="256">
        <f t="shared" si="2"/>
        <v>-0.01715265866</v>
      </c>
      <c r="I97" s="154"/>
      <c r="J97" s="263">
        <v>46007.0</v>
      </c>
      <c r="K97" s="174">
        <v>30.1</v>
      </c>
      <c r="L97" s="256">
        <f t="shared" si="3"/>
        <v>-0.0009956853634</v>
      </c>
      <c r="M97" s="154"/>
      <c r="N97" s="263">
        <v>46007.0</v>
      </c>
      <c r="O97" s="174">
        <v>1507.0</v>
      </c>
      <c r="P97" s="256">
        <f t="shared" si="4"/>
        <v>0.002661343979</v>
      </c>
      <c r="Q97" s="154"/>
      <c r="R97" s="263">
        <v>46007.0</v>
      </c>
      <c r="S97" s="174">
        <v>13.02</v>
      </c>
      <c r="T97" s="256">
        <f t="shared" si="5"/>
        <v>0.01401869159</v>
      </c>
      <c r="U97" s="154"/>
      <c r="V97" s="263">
        <v>46007.0</v>
      </c>
      <c r="W97" s="174">
        <v>1276.9</v>
      </c>
      <c r="X97" s="256">
        <f t="shared" si="6"/>
        <v>-0.002889270654</v>
      </c>
      <c r="Y97" s="154"/>
      <c r="Z97" s="263">
        <v>46007.0</v>
      </c>
      <c r="AA97" s="174">
        <v>1499.6</v>
      </c>
      <c r="AB97" s="256">
        <f t="shared" si="7"/>
        <v>-0.005570291777</v>
      </c>
      <c r="AC97" s="154"/>
      <c r="AD97" s="263">
        <v>46007.0</v>
      </c>
      <c r="AE97" s="174">
        <v>5.04</v>
      </c>
      <c r="AF97" s="256">
        <f t="shared" si="8"/>
        <v>-0.06666666667</v>
      </c>
      <c r="AG97" s="264"/>
      <c r="AH97" s="263">
        <v>46007.0</v>
      </c>
      <c r="AI97" s="174">
        <v>384.9</v>
      </c>
      <c r="AJ97" s="256">
        <f t="shared" si="9"/>
        <v>-0.01471905798</v>
      </c>
      <c r="AK97" s="264"/>
      <c r="AL97" s="263">
        <v>46007.0</v>
      </c>
      <c r="AM97" s="174">
        <v>6800.26</v>
      </c>
      <c r="AN97" s="256">
        <f t="shared" si="10"/>
        <v>-0.00238391787</v>
      </c>
      <c r="AO97" s="154"/>
      <c r="AP97" s="154"/>
    </row>
    <row r="98">
      <c r="A98" s="154"/>
      <c r="B98" s="263">
        <v>46006.0</v>
      </c>
      <c r="C98" s="174">
        <v>7.02</v>
      </c>
      <c r="D98" s="256">
        <f t="shared" si="1"/>
        <v>-0.02092050209</v>
      </c>
      <c r="E98" s="154"/>
      <c r="F98" s="263">
        <v>46006.0</v>
      </c>
      <c r="G98" s="174">
        <v>11.66</v>
      </c>
      <c r="H98" s="256">
        <f t="shared" si="2"/>
        <v>0.0008583690987</v>
      </c>
      <c r="I98" s="154"/>
      <c r="J98" s="263">
        <v>46006.0</v>
      </c>
      <c r="K98" s="174">
        <v>30.13</v>
      </c>
      <c r="L98" s="256">
        <f t="shared" si="3"/>
        <v>0.01141322591</v>
      </c>
      <c r="M98" s="154"/>
      <c r="N98" s="263">
        <v>46006.0</v>
      </c>
      <c r="O98" s="174">
        <v>1503.0</v>
      </c>
      <c r="P98" s="256">
        <f t="shared" si="4"/>
        <v>-0.008575197889</v>
      </c>
      <c r="Q98" s="154"/>
      <c r="R98" s="263">
        <v>46006.0</v>
      </c>
      <c r="S98" s="174">
        <v>12.84</v>
      </c>
      <c r="T98" s="256">
        <f t="shared" si="5"/>
        <v>-0.02283105023</v>
      </c>
      <c r="U98" s="154"/>
      <c r="V98" s="263">
        <v>46006.0</v>
      </c>
      <c r="W98" s="174">
        <v>1280.6</v>
      </c>
      <c r="X98" s="256">
        <f t="shared" si="6"/>
        <v>0.001016180724</v>
      </c>
      <c r="Y98" s="154"/>
      <c r="Z98" s="263">
        <v>46006.0</v>
      </c>
      <c r="AA98" s="174">
        <v>1508.0</v>
      </c>
      <c r="AB98" s="256">
        <f t="shared" si="7"/>
        <v>-0.006194806907</v>
      </c>
      <c r="AC98" s="154"/>
      <c r="AD98" s="263">
        <v>46006.0</v>
      </c>
      <c r="AE98" s="174">
        <v>5.4</v>
      </c>
      <c r="AF98" s="256">
        <f t="shared" si="8"/>
        <v>-0.03052064632</v>
      </c>
      <c r="AG98" s="264"/>
      <c r="AH98" s="263">
        <v>46006.0</v>
      </c>
      <c r="AI98" s="174">
        <v>390.65</v>
      </c>
      <c r="AJ98" s="256">
        <f t="shared" si="9"/>
        <v>0.01112980458</v>
      </c>
      <c r="AK98" s="264"/>
      <c r="AL98" s="263">
        <v>46006.0</v>
      </c>
      <c r="AM98" s="174">
        <v>6816.51</v>
      </c>
      <c r="AN98" s="256">
        <f t="shared" si="10"/>
        <v>-0.001596505849</v>
      </c>
      <c r="AO98" s="154"/>
      <c r="AP98" s="154"/>
    </row>
    <row r="99">
      <c r="A99" s="154"/>
      <c r="B99" s="263">
        <v>46003.0</v>
      </c>
      <c r="C99" s="174">
        <v>7.17</v>
      </c>
      <c r="D99" s="256">
        <f t="shared" si="1"/>
        <v>-0.02581521739</v>
      </c>
      <c r="E99" s="154"/>
      <c r="F99" s="263">
        <v>46003.0</v>
      </c>
      <c r="G99" s="174">
        <v>11.65</v>
      </c>
      <c r="H99" s="256">
        <f t="shared" si="2"/>
        <v>0.005176876618</v>
      </c>
      <c r="I99" s="154"/>
      <c r="J99" s="263">
        <v>46003.0</v>
      </c>
      <c r="K99" s="174">
        <v>29.79</v>
      </c>
      <c r="L99" s="256">
        <f t="shared" si="3"/>
        <v>-0.01292246521</v>
      </c>
      <c r="M99" s="154"/>
      <c r="N99" s="263">
        <v>46003.0</v>
      </c>
      <c r="O99" s="174">
        <v>1516.0</v>
      </c>
      <c r="P99" s="256">
        <f t="shared" si="4"/>
        <v>-0.007853403141</v>
      </c>
      <c r="Q99" s="154"/>
      <c r="R99" s="263">
        <v>46003.0</v>
      </c>
      <c r="S99" s="174">
        <v>13.14</v>
      </c>
      <c r="T99" s="256">
        <f t="shared" si="5"/>
        <v>-0.02159344751</v>
      </c>
      <c r="U99" s="154"/>
      <c r="V99" s="263">
        <v>46003.0</v>
      </c>
      <c r="W99" s="174">
        <v>1279.3</v>
      </c>
      <c r="X99" s="256">
        <f t="shared" si="6"/>
        <v>0.004554377699</v>
      </c>
      <c r="Y99" s="154"/>
      <c r="Z99" s="263">
        <v>46003.0</v>
      </c>
      <c r="AA99" s="174">
        <v>1517.4</v>
      </c>
      <c r="AB99" s="256">
        <f t="shared" si="7"/>
        <v>0.003372346757</v>
      </c>
      <c r="AC99" s="154"/>
      <c r="AD99" s="263">
        <v>46003.0</v>
      </c>
      <c r="AE99" s="174">
        <v>5.57</v>
      </c>
      <c r="AF99" s="256">
        <f t="shared" si="8"/>
        <v>-0.03130434783</v>
      </c>
      <c r="AG99" s="264"/>
      <c r="AH99" s="263">
        <v>46003.0</v>
      </c>
      <c r="AI99" s="174">
        <v>386.35</v>
      </c>
      <c r="AJ99" s="256">
        <f t="shared" si="9"/>
        <v>0.01204977079</v>
      </c>
      <c r="AK99" s="264"/>
      <c r="AL99" s="263">
        <v>46003.0</v>
      </c>
      <c r="AM99" s="174">
        <v>6827.41</v>
      </c>
      <c r="AN99" s="256">
        <f t="shared" si="10"/>
        <v>-0.01066367193</v>
      </c>
      <c r="AO99" s="154"/>
      <c r="AP99" s="154"/>
    </row>
    <row r="100">
      <c r="A100" s="154"/>
      <c r="B100" s="263">
        <v>46002.0</v>
      </c>
      <c r="C100" s="174">
        <v>7.36</v>
      </c>
      <c r="D100" s="256">
        <f t="shared" si="1"/>
        <v>0.02506963788</v>
      </c>
      <c r="E100" s="154"/>
      <c r="F100" s="263">
        <v>46002.0</v>
      </c>
      <c r="G100" s="174">
        <v>11.59</v>
      </c>
      <c r="H100" s="256">
        <f t="shared" si="2"/>
        <v>-0.0008620689655</v>
      </c>
      <c r="I100" s="154"/>
      <c r="J100" s="263">
        <v>46002.0</v>
      </c>
      <c r="K100" s="174">
        <v>30.18</v>
      </c>
      <c r="L100" s="256">
        <f t="shared" si="3"/>
        <v>0.01275167785</v>
      </c>
      <c r="M100" s="154"/>
      <c r="N100" s="263">
        <v>46002.0</v>
      </c>
      <c r="O100" s="174">
        <v>1528.0</v>
      </c>
      <c r="P100" s="256">
        <f t="shared" si="4"/>
        <v>-0.001307189542</v>
      </c>
      <c r="Q100" s="154"/>
      <c r="R100" s="263">
        <v>46002.0</v>
      </c>
      <c r="S100" s="174">
        <v>13.43</v>
      </c>
      <c r="T100" s="256">
        <f t="shared" si="5"/>
        <v>-0.006656804734</v>
      </c>
      <c r="U100" s="154"/>
      <c r="V100" s="263">
        <v>46002.0</v>
      </c>
      <c r="W100" s="174">
        <v>1273.5</v>
      </c>
      <c r="X100" s="256">
        <f t="shared" si="6"/>
        <v>0.01814838503</v>
      </c>
      <c r="Y100" s="154"/>
      <c r="Z100" s="263">
        <v>46002.0</v>
      </c>
      <c r="AA100" s="174">
        <v>1512.3</v>
      </c>
      <c r="AB100" s="256">
        <f t="shared" si="7"/>
        <v>0.01435374606</v>
      </c>
      <c r="AC100" s="154"/>
      <c r="AD100" s="263">
        <v>46002.0</v>
      </c>
      <c r="AE100" s="174">
        <v>5.75</v>
      </c>
      <c r="AF100" s="256">
        <f t="shared" si="8"/>
        <v>0.03978300181</v>
      </c>
      <c r="AG100" s="264"/>
      <c r="AH100" s="263">
        <v>46002.0</v>
      </c>
      <c r="AI100" s="174">
        <v>381.75</v>
      </c>
      <c r="AJ100" s="256">
        <f t="shared" si="9"/>
        <v>0.006857444283</v>
      </c>
      <c r="AK100" s="264"/>
      <c r="AL100" s="263">
        <v>46002.0</v>
      </c>
      <c r="AM100" s="174">
        <v>6901.0</v>
      </c>
      <c r="AN100" s="256">
        <f t="shared" si="10"/>
        <v>0.002079376419</v>
      </c>
      <c r="AO100" s="154"/>
      <c r="AP100" s="154"/>
    </row>
    <row r="101">
      <c r="A101" s="154"/>
      <c r="B101" s="263">
        <v>46001.0</v>
      </c>
      <c r="C101" s="174">
        <v>7.18</v>
      </c>
      <c r="D101" s="256">
        <f t="shared" si="1"/>
        <v>0.03309352518</v>
      </c>
      <c r="E101" s="154"/>
      <c r="F101" s="263">
        <v>46001.0</v>
      </c>
      <c r="G101" s="174">
        <v>11.6</v>
      </c>
      <c r="H101" s="256">
        <f t="shared" si="2"/>
        <v>0.03663985702</v>
      </c>
      <c r="I101" s="154"/>
      <c r="J101" s="263">
        <v>46001.0</v>
      </c>
      <c r="K101" s="174">
        <v>29.8</v>
      </c>
      <c r="L101" s="256">
        <f t="shared" si="3"/>
        <v>0.04341736695</v>
      </c>
      <c r="M101" s="154"/>
      <c r="N101" s="263">
        <v>46001.0</v>
      </c>
      <c r="O101" s="174">
        <v>1530.0</v>
      </c>
      <c r="P101" s="256">
        <f t="shared" si="4"/>
        <v>-0.01290322581</v>
      </c>
      <c r="Q101" s="154"/>
      <c r="R101" s="263">
        <v>46001.0</v>
      </c>
      <c r="S101" s="174">
        <v>13.52</v>
      </c>
      <c r="T101" s="256">
        <f t="shared" si="5"/>
        <v>0.01501501502</v>
      </c>
      <c r="U101" s="154"/>
      <c r="V101" s="263">
        <v>46001.0</v>
      </c>
      <c r="W101" s="174">
        <v>1250.8</v>
      </c>
      <c r="X101" s="256">
        <f t="shared" si="6"/>
        <v>0.003691221313</v>
      </c>
      <c r="Y101" s="154"/>
      <c r="Z101" s="263">
        <v>46001.0</v>
      </c>
      <c r="AA101" s="174">
        <v>1490.9</v>
      </c>
      <c r="AB101" s="256">
        <f t="shared" si="7"/>
        <v>0.0002012612371</v>
      </c>
      <c r="AC101" s="154"/>
      <c r="AD101" s="263">
        <v>46001.0</v>
      </c>
      <c r="AE101" s="174">
        <v>5.53</v>
      </c>
      <c r="AF101" s="256">
        <f t="shared" si="8"/>
        <v>-0.005395683453</v>
      </c>
      <c r="AG101" s="264"/>
      <c r="AH101" s="263">
        <v>46001.0</v>
      </c>
      <c r="AI101" s="174">
        <v>379.15</v>
      </c>
      <c r="AJ101" s="256">
        <f t="shared" si="9"/>
        <v>-0.0117294409</v>
      </c>
      <c r="AK101" s="264"/>
      <c r="AL101" s="263">
        <v>46001.0</v>
      </c>
      <c r="AM101" s="174">
        <v>6886.68</v>
      </c>
      <c r="AN101" s="256">
        <f t="shared" si="10"/>
        <v>0.006749496748</v>
      </c>
      <c r="AO101" s="154"/>
      <c r="AP101" s="154"/>
    </row>
    <row r="102">
      <c r="A102" s="154"/>
      <c r="B102" s="255">
        <v>46000.0</v>
      </c>
      <c r="C102" s="174">
        <v>6.95</v>
      </c>
      <c r="D102" s="256">
        <f t="shared" si="1"/>
        <v>-0.04663923182</v>
      </c>
      <c r="E102" s="154"/>
      <c r="F102" s="255">
        <v>46000.0</v>
      </c>
      <c r="G102" s="174">
        <v>11.19</v>
      </c>
      <c r="H102" s="256">
        <f t="shared" si="2"/>
        <v>0.009017132552</v>
      </c>
      <c r="I102" s="154"/>
      <c r="J102" s="255">
        <v>46000.0</v>
      </c>
      <c r="K102" s="174">
        <v>28.56</v>
      </c>
      <c r="L102" s="256">
        <f t="shared" si="3"/>
        <v>0.008118602188</v>
      </c>
      <c r="M102" s="154"/>
      <c r="N102" s="255">
        <v>46000.0</v>
      </c>
      <c r="O102" s="174">
        <v>1550.0</v>
      </c>
      <c r="P102" s="256">
        <f t="shared" si="4"/>
        <v>-0.007682458387</v>
      </c>
      <c r="Q102" s="154"/>
      <c r="R102" s="255">
        <v>46000.0</v>
      </c>
      <c r="S102" s="174">
        <v>13.32</v>
      </c>
      <c r="T102" s="256">
        <f t="shared" si="5"/>
        <v>0.01834862385</v>
      </c>
      <c r="U102" s="154"/>
      <c r="V102" s="255">
        <v>46000.0</v>
      </c>
      <c r="W102" s="174">
        <v>1246.2</v>
      </c>
      <c r="X102" s="256">
        <f t="shared" si="6"/>
        <v>-0.01602842479</v>
      </c>
      <c r="Y102" s="154"/>
      <c r="Z102" s="255">
        <v>46000.0</v>
      </c>
      <c r="AA102" s="174">
        <v>1490.6</v>
      </c>
      <c r="AB102" s="256">
        <f t="shared" si="7"/>
        <v>-0.004674145299</v>
      </c>
      <c r="AC102" s="154"/>
      <c r="AD102" s="255">
        <v>46000.0</v>
      </c>
      <c r="AE102" s="174">
        <v>5.56</v>
      </c>
      <c r="AF102" s="256">
        <f t="shared" si="8"/>
        <v>0.02018348624</v>
      </c>
      <c r="AG102" s="257"/>
      <c r="AH102" s="255">
        <v>46000.0</v>
      </c>
      <c r="AI102" s="174">
        <v>383.65</v>
      </c>
      <c r="AJ102" s="256">
        <f t="shared" si="9"/>
        <v>-0.0003908285565</v>
      </c>
      <c r="AK102" s="257"/>
      <c r="AL102" s="255">
        <v>46000.0</v>
      </c>
      <c r="AM102" s="174">
        <v>6840.51</v>
      </c>
      <c r="AN102" s="256">
        <f t="shared" si="10"/>
        <v>-0.000876358904</v>
      </c>
      <c r="AO102" s="154"/>
      <c r="AP102" s="154"/>
    </row>
    <row r="103">
      <c r="A103" s="154"/>
      <c r="B103" s="255">
        <v>45999.0</v>
      </c>
      <c r="C103" s="174">
        <v>7.29</v>
      </c>
      <c r="D103" s="256">
        <f t="shared" si="1"/>
        <v>0.02100840336</v>
      </c>
      <c r="E103" s="154"/>
      <c r="F103" s="255">
        <v>45999.0</v>
      </c>
      <c r="G103" s="174">
        <v>11.09</v>
      </c>
      <c r="H103" s="256">
        <f t="shared" si="2"/>
        <v>0.01463860933</v>
      </c>
      <c r="I103" s="154"/>
      <c r="J103" s="255">
        <v>45999.0</v>
      </c>
      <c r="K103" s="174">
        <v>28.33</v>
      </c>
      <c r="L103" s="256">
        <f t="shared" si="3"/>
        <v>-0.004567814476</v>
      </c>
      <c r="M103" s="154"/>
      <c r="N103" s="255">
        <v>45999.0</v>
      </c>
      <c r="O103" s="174">
        <v>1562.0</v>
      </c>
      <c r="P103" s="256">
        <f t="shared" si="4"/>
        <v>-0.02007528231</v>
      </c>
      <c r="Q103" s="154"/>
      <c r="R103" s="255">
        <v>45999.0</v>
      </c>
      <c r="S103" s="174">
        <v>13.08</v>
      </c>
      <c r="T103" s="256">
        <f t="shared" si="5"/>
        <v>-0.02678571429</v>
      </c>
      <c r="U103" s="154"/>
      <c r="V103" s="255">
        <v>45999.0</v>
      </c>
      <c r="W103" s="174">
        <v>1266.5</v>
      </c>
      <c r="X103" s="256">
        <f t="shared" si="6"/>
        <v>-0.006822459222</v>
      </c>
      <c r="Y103" s="154"/>
      <c r="Z103" s="255">
        <v>45999.0</v>
      </c>
      <c r="AA103" s="174">
        <v>1497.6</v>
      </c>
      <c r="AB103" s="256">
        <f t="shared" si="7"/>
        <v>-0.01525512888</v>
      </c>
      <c r="AC103" s="154"/>
      <c r="AD103" s="255">
        <v>45999.0</v>
      </c>
      <c r="AE103" s="174">
        <v>5.45</v>
      </c>
      <c r="AF103" s="256">
        <f t="shared" si="8"/>
        <v>-0.00365630713</v>
      </c>
      <c r="AG103" s="257"/>
      <c r="AH103" s="255">
        <v>45999.0</v>
      </c>
      <c r="AI103" s="174">
        <v>383.8</v>
      </c>
      <c r="AJ103" s="256">
        <f t="shared" si="9"/>
        <v>-0.02253915701</v>
      </c>
      <c r="AK103" s="257"/>
      <c r="AL103" s="255">
        <v>45999.0</v>
      </c>
      <c r="AM103" s="174">
        <v>6846.51</v>
      </c>
      <c r="AN103" s="256">
        <f t="shared" si="10"/>
        <v>-0.003477235678</v>
      </c>
      <c r="AO103" s="154"/>
      <c r="AP103" s="154"/>
    </row>
    <row r="104">
      <c r="A104" s="154"/>
      <c r="B104" s="255">
        <v>45996.0</v>
      </c>
      <c r="C104" s="174">
        <v>7.14</v>
      </c>
      <c r="D104" s="256">
        <f t="shared" si="1"/>
        <v>0</v>
      </c>
      <c r="E104" s="154"/>
      <c r="F104" s="255">
        <v>45996.0</v>
      </c>
      <c r="G104" s="174">
        <v>10.93</v>
      </c>
      <c r="H104" s="256">
        <f t="shared" si="2"/>
        <v>0.01579925651</v>
      </c>
      <c r="I104" s="154"/>
      <c r="J104" s="255">
        <v>45996.0</v>
      </c>
      <c r="K104" s="174">
        <v>28.46</v>
      </c>
      <c r="L104" s="256">
        <f t="shared" si="3"/>
        <v>0.001759943682</v>
      </c>
      <c r="M104" s="154"/>
      <c r="N104" s="255">
        <v>45996.0</v>
      </c>
      <c r="O104" s="174">
        <v>1594.0</v>
      </c>
      <c r="P104" s="256">
        <f t="shared" si="4"/>
        <v>0.00251572327</v>
      </c>
      <c r="Q104" s="154"/>
      <c r="R104" s="255">
        <v>45996.0</v>
      </c>
      <c r="S104" s="174">
        <v>13.44</v>
      </c>
      <c r="T104" s="256">
        <f t="shared" si="5"/>
        <v>-0.003706449222</v>
      </c>
      <c r="U104" s="154"/>
      <c r="V104" s="255">
        <v>45996.0</v>
      </c>
      <c r="W104" s="174">
        <v>1275.2</v>
      </c>
      <c r="X104" s="256">
        <f t="shared" si="6"/>
        <v>-0.001878522229</v>
      </c>
      <c r="Y104" s="154"/>
      <c r="Z104" s="255">
        <v>45996.0</v>
      </c>
      <c r="AA104" s="174">
        <v>1520.8</v>
      </c>
      <c r="AB104" s="256">
        <f t="shared" si="7"/>
        <v>-0.0001314924392</v>
      </c>
      <c r="AC104" s="154"/>
      <c r="AD104" s="255">
        <v>45996.0</v>
      </c>
      <c r="AE104" s="174">
        <v>5.47</v>
      </c>
      <c r="AF104" s="256">
        <f t="shared" si="8"/>
        <v>0.07889546351</v>
      </c>
      <c r="AG104" s="257"/>
      <c r="AH104" s="255">
        <v>45996.0</v>
      </c>
      <c r="AI104" s="174">
        <v>392.65</v>
      </c>
      <c r="AJ104" s="256">
        <f t="shared" si="9"/>
        <v>0.01107248616</v>
      </c>
      <c r="AK104" s="257"/>
      <c r="AL104" s="255">
        <v>45996.0</v>
      </c>
      <c r="AM104" s="174">
        <v>6870.4</v>
      </c>
      <c r="AN104" s="256">
        <f t="shared" si="10"/>
        <v>0.001936673122</v>
      </c>
      <c r="AO104" s="154"/>
      <c r="AP104" s="154"/>
    </row>
    <row r="105">
      <c r="A105" s="154"/>
      <c r="B105" s="255">
        <v>45995.0</v>
      </c>
      <c r="C105" s="174">
        <v>7.14</v>
      </c>
      <c r="D105" s="256">
        <f t="shared" si="1"/>
        <v>-0.01788170564</v>
      </c>
      <c r="E105" s="154"/>
      <c r="F105" s="255">
        <v>45995.0</v>
      </c>
      <c r="G105" s="174">
        <v>10.76</v>
      </c>
      <c r="H105" s="256">
        <f t="shared" si="2"/>
        <v>-0.007380073801</v>
      </c>
      <c r="I105" s="154"/>
      <c r="J105" s="255">
        <v>45995.0</v>
      </c>
      <c r="K105" s="174">
        <v>28.41</v>
      </c>
      <c r="L105" s="256">
        <f t="shared" si="3"/>
        <v>0.02084081926</v>
      </c>
      <c r="M105" s="154"/>
      <c r="N105" s="255">
        <v>45995.0</v>
      </c>
      <c r="O105" s="174">
        <v>1590.0</v>
      </c>
      <c r="P105" s="256">
        <f t="shared" si="4"/>
        <v>0.006329113924</v>
      </c>
      <c r="Q105" s="154"/>
      <c r="R105" s="255">
        <v>45995.0</v>
      </c>
      <c r="S105" s="174">
        <v>13.49</v>
      </c>
      <c r="T105" s="256">
        <f t="shared" si="5"/>
        <v>-0.03366762178</v>
      </c>
      <c r="U105" s="154"/>
      <c r="V105" s="255">
        <v>45995.0</v>
      </c>
      <c r="W105" s="174">
        <v>1277.6</v>
      </c>
      <c r="X105" s="256">
        <f t="shared" si="6"/>
        <v>-0.002420551261</v>
      </c>
      <c r="Y105" s="154"/>
      <c r="Z105" s="255">
        <v>45995.0</v>
      </c>
      <c r="AA105" s="174">
        <v>1521.0</v>
      </c>
      <c r="AB105" s="256">
        <f t="shared" si="7"/>
        <v>0.008620689655</v>
      </c>
      <c r="AC105" s="154"/>
      <c r="AD105" s="255">
        <v>45995.0</v>
      </c>
      <c r="AE105" s="174">
        <v>5.07</v>
      </c>
      <c r="AF105" s="256">
        <f t="shared" si="8"/>
        <v>0.09267241379</v>
      </c>
      <c r="AG105" s="257"/>
      <c r="AH105" s="255">
        <v>45995.0</v>
      </c>
      <c r="AI105" s="174">
        <v>388.35</v>
      </c>
      <c r="AJ105" s="256">
        <f t="shared" si="9"/>
        <v>-0.05280487805</v>
      </c>
      <c r="AK105" s="257"/>
      <c r="AL105" s="255">
        <v>45995.0</v>
      </c>
      <c r="AM105" s="174">
        <v>6857.12</v>
      </c>
      <c r="AN105" s="256">
        <f t="shared" si="10"/>
        <v>0.001080336131</v>
      </c>
      <c r="AO105" s="154"/>
      <c r="AP105" s="154"/>
    </row>
    <row r="106">
      <c r="A106" s="154"/>
      <c r="B106" s="255">
        <v>45994.0</v>
      </c>
      <c r="C106" s="174">
        <v>7.27</v>
      </c>
      <c r="D106" s="256">
        <f t="shared" si="1"/>
        <v>-0.02937249666</v>
      </c>
      <c r="E106" s="154"/>
      <c r="F106" s="255">
        <v>45994.0</v>
      </c>
      <c r="G106" s="174">
        <v>10.84</v>
      </c>
      <c r="H106" s="256">
        <f t="shared" si="2"/>
        <v>0.01213818861</v>
      </c>
      <c r="I106" s="154"/>
      <c r="J106" s="255">
        <v>45994.0</v>
      </c>
      <c r="K106" s="174">
        <v>27.83</v>
      </c>
      <c r="L106" s="256">
        <f t="shared" si="3"/>
        <v>0.0353422619</v>
      </c>
      <c r="M106" s="154"/>
      <c r="N106" s="255">
        <v>45994.0</v>
      </c>
      <c r="O106" s="174">
        <v>1580.0</v>
      </c>
      <c r="P106" s="256">
        <f t="shared" si="4"/>
        <v>0.001267427123</v>
      </c>
      <c r="Q106" s="154"/>
      <c r="R106" s="255">
        <v>45994.0</v>
      </c>
      <c r="S106" s="174">
        <v>13.96</v>
      </c>
      <c r="T106" s="256">
        <f t="shared" si="5"/>
        <v>0.02571638501</v>
      </c>
      <c r="U106" s="154"/>
      <c r="V106" s="255">
        <v>45994.0</v>
      </c>
      <c r="W106" s="174">
        <v>1280.7</v>
      </c>
      <c r="X106" s="256">
        <f t="shared" si="6"/>
        <v>0.004313048934</v>
      </c>
      <c r="Y106" s="154"/>
      <c r="Z106" s="255">
        <v>45994.0</v>
      </c>
      <c r="AA106" s="174">
        <v>1508.0</v>
      </c>
      <c r="AB106" s="256">
        <f t="shared" si="7"/>
        <v>-0.005670578927</v>
      </c>
      <c r="AC106" s="154"/>
      <c r="AD106" s="255">
        <v>45994.0</v>
      </c>
      <c r="AE106" s="174">
        <v>4.64</v>
      </c>
      <c r="AF106" s="256">
        <f t="shared" si="8"/>
        <v>0.008695652174</v>
      </c>
      <c r="AG106" s="257"/>
      <c r="AH106" s="255">
        <v>45994.0</v>
      </c>
      <c r="AI106" s="174">
        <v>410.0</v>
      </c>
      <c r="AJ106" s="256">
        <f t="shared" si="9"/>
        <v>0.02756892231</v>
      </c>
      <c r="AK106" s="257"/>
      <c r="AL106" s="255">
        <v>45994.0</v>
      </c>
      <c r="AM106" s="174">
        <v>6849.72</v>
      </c>
      <c r="AN106" s="256">
        <f t="shared" si="10"/>
        <v>0.002979777051</v>
      </c>
      <c r="AO106" s="154"/>
      <c r="AP106" s="154"/>
    </row>
    <row r="107">
      <c r="A107" s="154"/>
      <c r="B107" s="255">
        <v>45993.0</v>
      </c>
      <c r="C107" s="174">
        <v>7.49</v>
      </c>
      <c r="D107" s="256">
        <f t="shared" si="1"/>
        <v>-0.01447368421</v>
      </c>
      <c r="E107" s="154"/>
      <c r="F107" s="255">
        <v>45993.0</v>
      </c>
      <c r="G107" s="174">
        <v>10.71</v>
      </c>
      <c r="H107" s="256">
        <f t="shared" si="2"/>
        <v>0.0009345794393</v>
      </c>
      <c r="I107" s="154"/>
      <c r="J107" s="255">
        <v>45993.0</v>
      </c>
      <c r="K107" s="174">
        <v>26.88</v>
      </c>
      <c r="L107" s="256">
        <f t="shared" si="3"/>
        <v>0.005988023952</v>
      </c>
      <c r="M107" s="154"/>
      <c r="N107" s="255">
        <v>45993.0</v>
      </c>
      <c r="O107" s="174">
        <v>1578.0</v>
      </c>
      <c r="P107" s="256">
        <f t="shared" si="4"/>
        <v>0.001904761905</v>
      </c>
      <c r="Q107" s="154"/>
      <c r="R107" s="255">
        <v>45993.0</v>
      </c>
      <c r="S107" s="174">
        <v>13.61</v>
      </c>
      <c r="T107" s="256">
        <f t="shared" si="5"/>
        <v>-0.01732851986</v>
      </c>
      <c r="U107" s="154"/>
      <c r="V107" s="255">
        <v>45993.0</v>
      </c>
      <c r="W107" s="174">
        <v>1275.2</v>
      </c>
      <c r="X107" s="256">
        <f t="shared" si="6"/>
        <v>0.01198317594</v>
      </c>
      <c r="Y107" s="154"/>
      <c r="Z107" s="255">
        <v>45993.0</v>
      </c>
      <c r="AA107" s="174">
        <v>1516.6</v>
      </c>
      <c r="AB107" s="256">
        <f t="shared" si="7"/>
        <v>-0.004267612107</v>
      </c>
      <c r="AC107" s="154"/>
      <c r="AD107" s="255">
        <v>45993.0</v>
      </c>
      <c r="AE107" s="174">
        <v>4.6</v>
      </c>
      <c r="AF107" s="256">
        <f t="shared" si="8"/>
        <v>-0.04958677686</v>
      </c>
      <c r="AG107" s="257"/>
      <c r="AH107" s="255">
        <v>45993.0</v>
      </c>
      <c r="AI107" s="174">
        <v>399.0</v>
      </c>
      <c r="AJ107" s="256">
        <f t="shared" si="9"/>
        <v>0.01140684411</v>
      </c>
      <c r="AK107" s="257"/>
      <c r="AL107" s="255">
        <v>45993.0</v>
      </c>
      <c r="AM107" s="174">
        <v>6829.37</v>
      </c>
      <c r="AN107" s="256">
        <f t="shared" si="10"/>
        <v>0.002457200817</v>
      </c>
      <c r="AO107" s="154"/>
      <c r="AP107" s="154"/>
    </row>
    <row r="108">
      <c r="A108" s="154"/>
      <c r="B108" s="255">
        <v>45992.0</v>
      </c>
      <c r="C108" s="174">
        <v>7.6</v>
      </c>
      <c r="D108" s="256">
        <f t="shared" si="1"/>
        <v>-0.01426718547</v>
      </c>
      <c r="E108" s="154"/>
      <c r="F108" s="255">
        <v>45992.0</v>
      </c>
      <c r="G108" s="174">
        <v>10.7</v>
      </c>
      <c r="H108" s="256">
        <f t="shared" si="2"/>
        <v>0.000935453695</v>
      </c>
      <c r="I108" s="154"/>
      <c r="J108" s="255">
        <v>45992.0</v>
      </c>
      <c r="K108" s="174">
        <v>26.72</v>
      </c>
      <c r="L108" s="256">
        <f t="shared" si="3"/>
        <v>-0.006322052808</v>
      </c>
      <c r="M108" s="154"/>
      <c r="N108" s="255">
        <v>45992.0</v>
      </c>
      <c r="O108" s="174">
        <v>1575.0</v>
      </c>
      <c r="P108" s="256">
        <f t="shared" si="4"/>
        <v>0.01351351351</v>
      </c>
      <c r="Q108" s="154"/>
      <c r="R108" s="255">
        <v>45992.0</v>
      </c>
      <c r="S108" s="174">
        <v>13.85</v>
      </c>
      <c r="T108" s="256">
        <f t="shared" si="5"/>
        <v>0.03745318352</v>
      </c>
      <c r="U108" s="154"/>
      <c r="V108" s="255">
        <v>45992.0</v>
      </c>
      <c r="W108" s="174">
        <v>1260.1</v>
      </c>
      <c r="X108" s="256">
        <f t="shared" si="6"/>
        <v>0.001032729584</v>
      </c>
      <c r="Y108" s="154"/>
      <c r="Z108" s="255">
        <v>45992.0</v>
      </c>
      <c r="AA108" s="174">
        <v>1523.1</v>
      </c>
      <c r="AB108" s="256">
        <f t="shared" si="7"/>
        <v>-0.005354927186</v>
      </c>
      <c r="AC108" s="154"/>
      <c r="AD108" s="255">
        <v>45992.0</v>
      </c>
      <c r="AE108" s="174">
        <v>4.84</v>
      </c>
      <c r="AF108" s="256">
        <f t="shared" si="8"/>
        <v>-0.05098039216</v>
      </c>
      <c r="AG108" s="257"/>
      <c r="AH108" s="255">
        <v>45992.0</v>
      </c>
      <c r="AI108" s="174">
        <v>394.5</v>
      </c>
      <c r="AJ108" s="256">
        <f t="shared" si="9"/>
        <v>-0.009664867579</v>
      </c>
      <c r="AK108" s="257"/>
      <c r="AL108" s="255">
        <v>45992.0</v>
      </c>
      <c r="AM108" s="174">
        <v>6812.63</v>
      </c>
      <c r="AN108" s="256">
        <f t="shared" si="10"/>
        <v>-0.005323334925</v>
      </c>
      <c r="AO108" s="154"/>
      <c r="AP108" s="154"/>
    </row>
    <row r="109">
      <c r="A109" s="154"/>
      <c r="B109" s="263">
        <v>45989.0</v>
      </c>
      <c r="C109" s="174">
        <v>7.71</v>
      </c>
      <c r="D109" s="256">
        <f t="shared" si="1"/>
        <v>-0.003875968992</v>
      </c>
      <c r="E109" s="154"/>
      <c r="F109" s="263">
        <v>45989.0</v>
      </c>
      <c r="G109" s="174">
        <v>10.69</v>
      </c>
      <c r="H109" s="256">
        <f t="shared" si="2"/>
        <v>0.00469924812</v>
      </c>
      <c r="I109" s="154"/>
      <c r="J109" s="263">
        <v>45989.0</v>
      </c>
      <c r="K109" s="174">
        <v>26.89</v>
      </c>
      <c r="L109" s="256">
        <f t="shared" si="3"/>
        <v>0.02165653495</v>
      </c>
      <c r="M109" s="154"/>
      <c r="N109" s="263">
        <v>45989.0</v>
      </c>
      <c r="O109" s="174">
        <v>1554.0</v>
      </c>
      <c r="P109" s="256">
        <f t="shared" si="4"/>
        <v>-0.003846153846</v>
      </c>
      <c r="Q109" s="154"/>
      <c r="R109" s="263">
        <v>45989.0</v>
      </c>
      <c r="S109" s="174">
        <v>13.35</v>
      </c>
      <c r="T109" s="256">
        <f t="shared" si="5"/>
        <v>-0.00521609538</v>
      </c>
      <c r="U109" s="154"/>
      <c r="V109" s="263">
        <v>45989.0</v>
      </c>
      <c r="W109" s="174">
        <v>1258.8</v>
      </c>
      <c r="X109" s="256">
        <f t="shared" si="6"/>
        <v>0.007604258385</v>
      </c>
      <c r="Y109" s="154"/>
      <c r="Z109" s="263">
        <v>45989.0</v>
      </c>
      <c r="AA109" s="174">
        <v>1531.3</v>
      </c>
      <c r="AB109" s="256">
        <f t="shared" si="7"/>
        <v>0.003999475479</v>
      </c>
      <c r="AC109" s="154"/>
      <c r="AD109" s="263">
        <v>45989.0</v>
      </c>
      <c r="AE109" s="174">
        <v>5.1</v>
      </c>
      <c r="AF109" s="256">
        <f t="shared" si="8"/>
        <v>-0.009708737864</v>
      </c>
      <c r="AG109" s="264"/>
      <c r="AH109" s="263">
        <v>45989.0</v>
      </c>
      <c r="AI109" s="174">
        <v>398.35</v>
      </c>
      <c r="AJ109" s="256">
        <f t="shared" si="9"/>
        <v>-0.00325284624</v>
      </c>
      <c r="AK109" s="264"/>
      <c r="AL109" s="263">
        <v>45989.0</v>
      </c>
      <c r="AM109" s="174">
        <v>6849.09</v>
      </c>
      <c r="AN109" s="256">
        <f t="shared" si="10"/>
        <v>0.005354775923</v>
      </c>
      <c r="AO109" s="154"/>
      <c r="AP109" s="154"/>
    </row>
    <row r="110">
      <c r="A110" s="154"/>
      <c r="B110" s="263">
        <v>45987.0</v>
      </c>
      <c r="C110" s="174">
        <v>7.74</v>
      </c>
      <c r="D110" s="256">
        <f t="shared" si="1"/>
        <v>0.03062583222</v>
      </c>
      <c r="E110" s="154"/>
      <c r="F110" s="263">
        <v>45987.0</v>
      </c>
      <c r="G110" s="174">
        <v>10.64</v>
      </c>
      <c r="H110" s="256">
        <f t="shared" si="2"/>
        <v>0.007575757576</v>
      </c>
      <c r="I110" s="154"/>
      <c r="J110" s="263">
        <v>45987.0</v>
      </c>
      <c r="K110" s="174">
        <v>26.32</v>
      </c>
      <c r="L110" s="256">
        <f t="shared" si="3"/>
        <v>0.05322128852</v>
      </c>
      <c r="M110" s="154"/>
      <c r="N110" s="263">
        <v>45987.0</v>
      </c>
      <c r="O110" s="174">
        <v>1560.0</v>
      </c>
      <c r="P110" s="256">
        <f t="shared" si="4"/>
        <v>-0.025</v>
      </c>
      <c r="Q110" s="154"/>
      <c r="R110" s="263">
        <v>45987.0</v>
      </c>
      <c r="S110" s="174">
        <v>13.42</v>
      </c>
      <c r="T110" s="256">
        <f t="shared" si="5"/>
        <v>0.0386996904</v>
      </c>
      <c r="U110" s="154"/>
      <c r="V110" s="263">
        <v>45988.0</v>
      </c>
      <c r="W110" s="174">
        <v>1249.3</v>
      </c>
      <c r="X110" s="256">
        <f t="shared" si="6"/>
        <v>0.01067874767</v>
      </c>
      <c r="Y110" s="154"/>
      <c r="Z110" s="263">
        <v>45988.0</v>
      </c>
      <c r="AA110" s="174">
        <v>1525.2</v>
      </c>
      <c r="AB110" s="256">
        <f t="shared" si="7"/>
        <v>0.01174129353</v>
      </c>
      <c r="AC110" s="154"/>
      <c r="AD110" s="263">
        <v>45987.0</v>
      </c>
      <c r="AE110" s="174">
        <v>5.15</v>
      </c>
      <c r="AF110" s="256">
        <f t="shared" si="8"/>
        <v>-0.03558052434</v>
      </c>
      <c r="AG110" s="264"/>
      <c r="AH110" s="263">
        <v>45988.0</v>
      </c>
      <c r="AI110" s="174">
        <v>399.65</v>
      </c>
      <c r="AJ110" s="256">
        <f t="shared" si="9"/>
        <v>0.01627463446</v>
      </c>
      <c r="AK110" s="264"/>
      <c r="AL110" s="263">
        <v>45987.0</v>
      </c>
      <c r="AM110" s="174">
        <v>6812.61</v>
      </c>
      <c r="AN110" s="256">
        <f t="shared" si="10"/>
        <v>0.006906714278</v>
      </c>
      <c r="AO110" s="154"/>
      <c r="AP110" s="154"/>
    </row>
    <row r="111">
      <c r="A111" s="154"/>
      <c r="B111" s="263">
        <v>45986.0</v>
      </c>
      <c r="C111" s="174">
        <v>7.51</v>
      </c>
      <c r="D111" s="256">
        <f t="shared" si="1"/>
        <v>0.06373937677</v>
      </c>
      <c r="E111" s="154"/>
      <c r="F111" s="263">
        <v>45986.0</v>
      </c>
      <c r="G111" s="174">
        <v>10.56</v>
      </c>
      <c r="H111" s="256">
        <f t="shared" si="2"/>
        <v>-0.0009460737938</v>
      </c>
      <c r="I111" s="154"/>
      <c r="J111" s="263">
        <v>45986.0</v>
      </c>
      <c r="K111" s="174">
        <v>24.99</v>
      </c>
      <c r="L111" s="256">
        <f t="shared" si="3"/>
        <v>0.008881711748</v>
      </c>
      <c r="M111" s="154"/>
      <c r="N111" s="263">
        <v>45986.0</v>
      </c>
      <c r="O111" s="174">
        <v>1600.0</v>
      </c>
      <c r="P111" s="256">
        <f t="shared" si="4"/>
        <v>-0.005593536358</v>
      </c>
      <c r="Q111" s="154"/>
      <c r="R111" s="263">
        <v>45986.0</v>
      </c>
      <c r="S111" s="174">
        <v>12.92</v>
      </c>
      <c r="T111" s="256">
        <f t="shared" si="5"/>
        <v>0.01732283465</v>
      </c>
      <c r="U111" s="154"/>
      <c r="V111" s="263">
        <v>45986.0</v>
      </c>
      <c r="W111" s="174">
        <v>1236.1</v>
      </c>
      <c r="X111" s="256">
        <f t="shared" si="6"/>
        <v>0.008073723699</v>
      </c>
      <c r="Y111" s="154"/>
      <c r="Z111" s="263">
        <v>45986.0</v>
      </c>
      <c r="AA111" s="174">
        <v>1507.5</v>
      </c>
      <c r="AB111" s="256">
        <f t="shared" si="7"/>
        <v>0.00232712766</v>
      </c>
      <c r="AC111" s="154"/>
      <c r="AD111" s="263">
        <v>45986.0</v>
      </c>
      <c r="AE111" s="174">
        <v>5.34</v>
      </c>
      <c r="AF111" s="256">
        <f t="shared" si="8"/>
        <v>-0.02376599634</v>
      </c>
      <c r="AG111" s="264"/>
      <c r="AH111" s="263">
        <v>45986.0</v>
      </c>
      <c r="AI111" s="174">
        <v>393.25</v>
      </c>
      <c r="AJ111" s="256">
        <f t="shared" si="9"/>
        <v>-0.005060088552</v>
      </c>
      <c r="AK111" s="264"/>
      <c r="AL111" s="263">
        <v>45986.0</v>
      </c>
      <c r="AM111" s="174">
        <v>6765.88</v>
      </c>
      <c r="AN111" s="256">
        <f t="shared" si="10"/>
        <v>0.00906173193</v>
      </c>
      <c r="AO111" s="154"/>
      <c r="AP111" s="154"/>
    </row>
    <row r="112">
      <c r="A112" s="154"/>
      <c r="B112" s="263">
        <v>45985.0</v>
      </c>
      <c r="C112" s="174">
        <v>7.06</v>
      </c>
      <c r="D112" s="256">
        <f t="shared" si="1"/>
        <v>-0.01944444444</v>
      </c>
      <c r="E112" s="154"/>
      <c r="F112" s="263">
        <v>45985.0</v>
      </c>
      <c r="G112" s="174">
        <v>10.57</v>
      </c>
      <c r="H112" s="256">
        <f t="shared" si="2"/>
        <v>0.01051625239</v>
      </c>
      <c r="I112" s="154"/>
      <c r="J112" s="263">
        <v>45985.0</v>
      </c>
      <c r="K112" s="174">
        <v>24.77</v>
      </c>
      <c r="L112" s="256">
        <f t="shared" si="3"/>
        <v>0.02313093763</v>
      </c>
      <c r="M112" s="154"/>
      <c r="N112" s="263">
        <v>45985.0</v>
      </c>
      <c r="O112" s="174">
        <v>1609.0</v>
      </c>
      <c r="P112" s="256">
        <f t="shared" si="4"/>
        <v>0.008777429467</v>
      </c>
      <c r="Q112" s="154"/>
      <c r="R112" s="263">
        <v>45985.0</v>
      </c>
      <c r="S112" s="174">
        <v>12.7</v>
      </c>
      <c r="T112" s="256">
        <f t="shared" si="5"/>
        <v>0.004746835443</v>
      </c>
      <c r="U112" s="154"/>
      <c r="V112" s="263">
        <v>45985.0</v>
      </c>
      <c r="W112" s="174">
        <v>1226.2</v>
      </c>
      <c r="X112" s="256">
        <f t="shared" si="6"/>
        <v>-0.01422943967</v>
      </c>
      <c r="Y112" s="154"/>
      <c r="Z112" s="263">
        <v>45985.0</v>
      </c>
      <c r="AA112" s="174">
        <v>1504.0</v>
      </c>
      <c r="AB112" s="256">
        <f t="shared" si="7"/>
        <v>-0.005159412621</v>
      </c>
      <c r="AC112" s="154"/>
      <c r="AD112" s="263">
        <v>45985.0</v>
      </c>
      <c r="AE112" s="174">
        <v>5.47</v>
      </c>
      <c r="AF112" s="256">
        <f t="shared" si="8"/>
        <v>0.06420233463</v>
      </c>
      <c r="AG112" s="264"/>
      <c r="AH112" s="263">
        <v>45985.0</v>
      </c>
      <c r="AI112" s="174">
        <v>395.25</v>
      </c>
      <c r="AJ112" s="256">
        <f t="shared" si="9"/>
        <v>-0.004031750031</v>
      </c>
      <c r="AK112" s="264"/>
      <c r="AL112" s="263">
        <v>45985.0</v>
      </c>
      <c r="AM112" s="174">
        <v>6705.12</v>
      </c>
      <c r="AN112" s="256">
        <f t="shared" si="10"/>
        <v>0.0154672353</v>
      </c>
      <c r="AO112" s="154"/>
      <c r="AP112" s="154"/>
    </row>
    <row r="113">
      <c r="A113" s="154"/>
      <c r="B113" s="263">
        <v>45982.0</v>
      </c>
      <c r="C113" s="174">
        <v>7.2</v>
      </c>
      <c r="D113" s="256">
        <f t="shared" si="1"/>
        <v>0.009817671809</v>
      </c>
      <c r="E113" s="154"/>
      <c r="F113" s="263">
        <v>45982.0</v>
      </c>
      <c r="G113" s="174">
        <v>10.46</v>
      </c>
      <c r="H113" s="256">
        <f t="shared" si="2"/>
        <v>0.02649656526</v>
      </c>
      <c r="I113" s="154"/>
      <c r="J113" s="263">
        <v>45982.0</v>
      </c>
      <c r="K113" s="174">
        <v>24.21</v>
      </c>
      <c r="L113" s="256">
        <f t="shared" si="3"/>
        <v>-0.002883031301</v>
      </c>
      <c r="M113" s="154"/>
      <c r="N113" s="263">
        <v>45982.0</v>
      </c>
      <c r="O113" s="174">
        <v>1595.0</v>
      </c>
      <c r="P113" s="256">
        <f t="shared" si="4"/>
        <v>0.01982097187</v>
      </c>
      <c r="Q113" s="154"/>
      <c r="R113" s="263">
        <v>45982.0</v>
      </c>
      <c r="S113" s="174">
        <v>12.64</v>
      </c>
      <c r="T113" s="256">
        <f t="shared" si="5"/>
        <v>0.03099510604</v>
      </c>
      <c r="U113" s="154"/>
      <c r="V113" s="263">
        <v>45982.0</v>
      </c>
      <c r="W113" s="174">
        <v>1243.9</v>
      </c>
      <c r="X113" s="256">
        <f t="shared" si="6"/>
        <v>-0.003764215922</v>
      </c>
      <c r="Y113" s="154"/>
      <c r="Z113" s="263">
        <v>45982.0</v>
      </c>
      <c r="AA113" s="174">
        <v>1511.8</v>
      </c>
      <c r="AB113" s="256">
        <f t="shared" si="7"/>
        <v>-0.01137849856</v>
      </c>
      <c r="AC113" s="154"/>
      <c r="AD113" s="263">
        <v>45982.0</v>
      </c>
      <c r="AE113" s="174">
        <v>5.14</v>
      </c>
      <c r="AF113" s="256">
        <f t="shared" si="8"/>
        <v>0.01581027668</v>
      </c>
      <c r="AG113" s="264"/>
      <c r="AH113" s="263">
        <v>45982.0</v>
      </c>
      <c r="AI113" s="174">
        <v>396.85</v>
      </c>
      <c r="AJ113" s="256">
        <f t="shared" si="9"/>
        <v>0.004302163735</v>
      </c>
      <c r="AK113" s="264"/>
      <c r="AL113" s="263">
        <v>45982.0</v>
      </c>
      <c r="AM113" s="174">
        <v>6602.99</v>
      </c>
      <c r="AN113" s="256">
        <f t="shared" si="10"/>
        <v>0.009822963375</v>
      </c>
      <c r="AO113" s="154"/>
      <c r="AP113" s="154"/>
    </row>
    <row r="114">
      <c r="A114" s="154"/>
      <c r="B114" s="263">
        <v>45981.0</v>
      </c>
      <c r="C114" s="174">
        <v>7.13</v>
      </c>
      <c r="D114" s="256">
        <f t="shared" si="1"/>
        <v>-0.04295302013</v>
      </c>
      <c r="E114" s="154"/>
      <c r="F114" s="263">
        <v>45981.0</v>
      </c>
      <c r="G114" s="174">
        <v>10.19</v>
      </c>
      <c r="H114" s="256">
        <f t="shared" si="2"/>
        <v>-0.0258126195</v>
      </c>
      <c r="I114" s="154"/>
      <c r="J114" s="263">
        <v>45981.0</v>
      </c>
      <c r="K114" s="174">
        <v>24.28</v>
      </c>
      <c r="L114" s="256">
        <f t="shared" si="3"/>
        <v>-0.006546644845</v>
      </c>
      <c r="M114" s="154"/>
      <c r="N114" s="263">
        <v>45981.0</v>
      </c>
      <c r="O114" s="174">
        <v>1564.0</v>
      </c>
      <c r="P114" s="256">
        <f t="shared" si="4"/>
        <v>-0.008243500317</v>
      </c>
      <c r="Q114" s="154"/>
      <c r="R114" s="263">
        <v>45981.0</v>
      </c>
      <c r="S114" s="174">
        <v>12.26</v>
      </c>
      <c r="T114" s="256">
        <f t="shared" si="5"/>
        <v>-0.04368174727</v>
      </c>
      <c r="U114" s="154"/>
      <c r="V114" s="263">
        <v>45981.0</v>
      </c>
      <c r="W114" s="174">
        <v>1248.6</v>
      </c>
      <c r="X114" s="256">
        <f t="shared" si="6"/>
        <v>-0.001279795233</v>
      </c>
      <c r="Y114" s="154"/>
      <c r="Z114" s="263">
        <v>45981.0</v>
      </c>
      <c r="AA114" s="174">
        <v>1529.2</v>
      </c>
      <c r="AB114" s="256">
        <f t="shared" si="7"/>
        <v>0.001571915117</v>
      </c>
      <c r="AC114" s="154"/>
      <c r="AD114" s="263">
        <v>45981.0</v>
      </c>
      <c r="AE114" s="174">
        <v>5.06</v>
      </c>
      <c r="AF114" s="256">
        <f t="shared" si="8"/>
        <v>-0.03250478011</v>
      </c>
      <c r="AG114" s="264"/>
      <c r="AH114" s="263">
        <v>45981.0</v>
      </c>
      <c r="AI114" s="174">
        <v>395.15</v>
      </c>
      <c r="AJ114" s="256">
        <f t="shared" si="9"/>
        <v>-0.03645452329</v>
      </c>
      <c r="AK114" s="264"/>
      <c r="AL114" s="263">
        <v>45981.0</v>
      </c>
      <c r="AM114" s="174">
        <v>6538.76</v>
      </c>
      <c r="AN114" s="256">
        <f t="shared" si="10"/>
        <v>-0.01556722512</v>
      </c>
      <c r="AO114" s="154"/>
      <c r="AP114" s="154"/>
    </row>
    <row r="115">
      <c r="A115" s="154"/>
      <c r="B115" s="263">
        <v>45980.0</v>
      </c>
      <c r="C115" s="174">
        <v>7.45</v>
      </c>
      <c r="D115" s="256">
        <f t="shared" si="1"/>
        <v>-0.03372243839</v>
      </c>
      <c r="E115" s="154"/>
      <c r="F115" s="263">
        <v>45980.0</v>
      </c>
      <c r="G115" s="174">
        <v>10.46</v>
      </c>
      <c r="H115" s="256">
        <f t="shared" si="2"/>
        <v>-0.0233426704</v>
      </c>
      <c r="I115" s="154"/>
      <c r="J115" s="263">
        <v>45980.0</v>
      </c>
      <c r="K115" s="174">
        <v>24.44</v>
      </c>
      <c r="L115" s="256">
        <f t="shared" si="3"/>
        <v>-0.01610305958</v>
      </c>
      <c r="M115" s="154"/>
      <c r="N115" s="263">
        <v>45980.0</v>
      </c>
      <c r="O115" s="174">
        <v>1577.0</v>
      </c>
      <c r="P115" s="256">
        <f t="shared" si="4"/>
        <v>0.01219512195</v>
      </c>
      <c r="Q115" s="154"/>
      <c r="R115" s="263">
        <v>45980.0</v>
      </c>
      <c r="S115" s="174">
        <v>12.82</v>
      </c>
      <c r="T115" s="256">
        <f t="shared" si="5"/>
        <v>-0.0425690814</v>
      </c>
      <c r="U115" s="154"/>
      <c r="V115" s="263">
        <v>45980.0</v>
      </c>
      <c r="W115" s="174">
        <v>1250.2</v>
      </c>
      <c r="X115" s="256">
        <f t="shared" si="6"/>
        <v>0.005145521788</v>
      </c>
      <c r="Y115" s="154"/>
      <c r="Z115" s="263">
        <v>45980.0</v>
      </c>
      <c r="AA115" s="174">
        <v>1526.8</v>
      </c>
      <c r="AB115" s="256">
        <f t="shared" si="7"/>
        <v>0.008121492242</v>
      </c>
      <c r="AC115" s="154"/>
      <c r="AD115" s="263">
        <v>45980.0</v>
      </c>
      <c r="AE115" s="174">
        <v>5.23</v>
      </c>
      <c r="AF115" s="256">
        <f t="shared" si="8"/>
        <v>0.02348336595</v>
      </c>
      <c r="AG115" s="264"/>
      <c r="AH115" s="263">
        <v>45980.0</v>
      </c>
      <c r="AI115" s="174">
        <v>410.1</v>
      </c>
      <c r="AJ115" s="256">
        <f t="shared" si="9"/>
        <v>-0.02727703985</v>
      </c>
      <c r="AK115" s="264"/>
      <c r="AL115" s="263">
        <v>45980.0</v>
      </c>
      <c r="AM115" s="174">
        <v>6642.16</v>
      </c>
      <c r="AN115" s="256">
        <f t="shared" si="10"/>
        <v>0.00375378552</v>
      </c>
      <c r="AO115" s="154"/>
      <c r="AP115" s="154"/>
    </row>
    <row r="116">
      <c r="A116" s="154"/>
      <c r="B116" s="263">
        <v>45979.0</v>
      </c>
      <c r="C116" s="174">
        <v>7.71</v>
      </c>
      <c r="D116" s="256">
        <f t="shared" si="1"/>
        <v>0.007843137255</v>
      </c>
      <c r="E116" s="154"/>
      <c r="F116" s="263">
        <v>45979.0</v>
      </c>
      <c r="G116" s="174">
        <v>10.71</v>
      </c>
      <c r="H116" s="256">
        <f t="shared" si="2"/>
        <v>0.00469043152</v>
      </c>
      <c r="I116" s="154"/>
      <c r="J116" s="263">
        <v>45979.0</v>
      </c>
      <c r="K116" s="174">
        <v>24.84</v>
      </c>
      <c r="L116" s="256">
        <f t="shared" si="3"/>
        <v>0.01016673444</v>
      </c>
      <c r="M116" s="154"/>
      <c r="N116" s="263">
        <v>45979.0</v>
      </c>
      <c r="O116" s="174">
        <v>1558.0</v>
      </c>
      <c r="P116" s="256">
        <f t="shared" si="4"/>
        <v>-0.01204819277</v>
      </c>
      <c r="Q116" s="154"/>
      <c r="R116" s="263">
        <v>45979.0</v>
      </c>
      <c r="S116" s="174">
        <v>13.39</v>
      </c>
      <c r="T116" s="256">
        <f t="shared" si="5"/>
        <v>-0.01253687316</v>
      </c>
      <c r="U116" s="154"/>
      <c r="V116" s="263">
        <v>45979.0</v>
      </c>
      <c r="W116" s="174">
        <v>1243.8</v>
      </c>
      <c r="X116" s="256">
        <f t="shared" si="6"/>
        <v>-0.0004821600771</v>
      </c>
      <c r="Y116" s="154"/>
      <c r="Z116" s="263">
        <v>45979.0</v>
      </c>
      <c r="AA116" s="174">
        <v>1514.5</v>
      </c>
      <c r="AB116" s="256">
        <f t="shared" si="7"/>
        <v>-0.01374055744</v>
      </c>
      <c r="AC116" s="154"/>
      <c r="AD116" s="263">
        <v>45979.0</v>
      </c>
      <c r="AE116" s="174">
        <v>5.11</v>
      </c>
      <c r="AF116" s="256">
        <f t="shared" si="8"/>
        <v>-0.005836575875</v>
      </c>
      <c r="AG116" s="264"/>
      <c r="AH116" s="263">
        <v>45979.0</v>
      </c>
      <c r="AI116" s="174">
        <v>421.6</v>
      </c>
      <c r="AJ116" s="256">
        <f t="shared" si="9"/>
        <v>0.001544126381</v>
      </c>
      <c r="AK116" s="264"/>
      <c r="AL116" s="263">
        <v>45979.0</v>
      </c>
      <c r="AM116" s="174">
        <v>6617.32</v>
      </c>
      <c r="AN116" s="256">
        <f t="shared" si="10"/>
        <v>-0.008256387122</v>
      </c>
      <c r="AO116" s="154"/>
      <c r="AP116" s="154"/>
    </row>
    <row r="117">
      <c r="A117" s="154"/>
      <c r="B117" s="263">
        <v>45978.0</v>
      </c>
      <c r="C117" s="174">
        <v>7.65</v>
      </c>
      <c r="D117" s="256">
        <f t="shared" si="1"/>
        <v>0.01593625498</v>
      </c>
      <c r="E117" s="154"/>
      <c r="F117" s="263">
        <v>45978.0</v>
      </c>
      <c r="G117" s="174">
        <v>10.66</v>
      </c>
      <c r="H117" s="256">
        <f t="shared" si="2"/>
        <v>-0.005597014925</v>
      </c>
      <c r="I117" s="154"/>
      <c r="J117" s="263">
        <v>45978.0</v>
      </c>
      <c r="K117" s="174">
        <v>24.59</v>
      </c>
      <c r="L117" s="256">
        <f t="shared" si="3"/>
        <v>-0.03227075954</v>
      </c>
      <c r="M117" s="154"/>
      <c r="N117" s="263">
        <v>45978.0</v>
      </c>
      <c r="O117" s="174">
        <v>1577.0</v>
      </c>
      <c r="P117" s="256">
        <f t="shared" si="4"/>
        <v>0</v>
      </c>
      <c r="Q117" s="154"/>
      <c r="R117" s="263">
        <v>45978.0</v>
      </c>
      <c r="S117" s="174">
        <v>13.56</v>
      </c>
      <c r="T117" s="256">
        <f t="shared" si="5"/>
        <v>-0.01596516691</v>
      </c>
      <c r="U117" s="154"/>
      <c r="V117" s="263">
        <v>45978.0</v>
      </c>
      <c r="W117" s="174">
        <v>1244.4</v>
      </c>
      <c r="X117" s="256">
        <f t="shared" si="6"/>
        <v>-0.001284109149</v>
      </c>
      <c r="Y117" s="154"/>
      <c r="Z117" s="263">
        <v>45978.0</v>
      </c>
      <c r="AA117" s="174">
        <v>1535.6</v>
      </c>
      <c r="AB117" s="256">
        <f t="shared" si="7"/>
        <v>0.002284446185</v>
      </c>
      <c r="AC117" s="154"/>
      <c r="AD117" s="263">
        <v>45978.0</v>
      </c>
      <c r="AE117" s="174">
        <v>5.14</v>
      </c>
      <c r="AF117" s="256">
        <f t="shared" si="8"/>
        <v>-0.06375227687</v>
      </c>
      <c r="AG117" s="264"/>
      <c r="AH117" s="263">
        <v>45978.0</v>
      </c>
      <c r="AI117" s="174">
        <v>420.95</v>
      </c>
      <c r="AJ117" s="256">
        <f t="shared" si="9"/>
        <v>0.02383558312</v>
      </c>
      <c r="AK117" s="264"/>
      <c r="AL117" s="263">
        <v>45978.0</v>
      </c>
      <c r="AM117" s="174">
        <v>6672.41</v>
      </c>
      <c r="AN117" s="256">
        <f t="shared" si="10"/>
        <v>-0.009162309496</v>
      </c>
      <c r="AO117" s="154"/>
      <c r="AP117" s="154"/>
    </row>
    <row r="118">
      <c r="A118" s="154"/>
      <c r="B118" s="263">
        <v>45975.0</v>
      </c>
      <c r="C118" s="174">
        <v>7.53</v>
      </c>
      <c r="D118" s="256">
        <f t="shared" si="1"/>
        <v>-0.01181102362</v>
      </c>
      <c r="E118" s="154"/>
      <c r="F118" s="263">
        <v>45975.0</v>
      </c>
      <c r="G118" s="174">
        <v>10.72</v>
      </c>
      <c r="H118" s="256">
        <f t="shared" si="2"/>
        <v>-0.0174152154</v>
      </c>
      <c r="I118" s="154"/>
      <c r="J118" s="263">
        <v>45975.0</v>
      </c>
      <c r="K118" s="174">
        <v>25.41</v>
      </c>
      <c r="L118" s="256">
        <f t="shared" si="3"/>
        <v>-0.005090054816</v>
      </c>
      <c r="M118" s="154"/>
      <c r="N118" s="263">
        <v>45975.0</v>
      </c>
      <c r="O118" s="174">
        <v>1577.0</v>
      </c>
      <c r="P118" s="256">
        <f t="shared" si="4"/>
        <v>-0.01128526646</v>
      </c>
      <c r="Q118" s="154"/>
      <c r="R118" s="263">
        <v>45975.0</v>
      </c>
      <c r="S118" s="174">
        <v>13.78</v>
      </c>
      <c r="T118" s="256">
        <f t="shared" si="5"/>
        <v>-0.01360057266</v>
      </c>
      <c r="U118" s="154"/>
      <c r="V118" s="263">
        <v>45975.0</v>
      </c>
      <c r="W118" s="174">
        <v>1246.0</v>
      </c>
      <c r="X118" s="256">
        <f t="shared" si="6"/>
        <v>0.008988582071</v>
      </c>
      <c r="Y118" s="154"/>
      <c r="Z118" s="263">
        <v>45975.0</v>
      </c>
      <c r="AA118" s="174">
        <v>1532.1</v>
      </c>
      <c r="AB118" s="256">
        <f t="shared" si="7"/>
        <v>0.004128981518</v>
      </c>
      <c r="AC118" s="154"/>
      <c r="AD118" s="263">
        <v>45975.0</v>
      </c>
      <c r="AE118" s="174">
        <v>5.49</v>
      </c>
      <c r="AF118" s="256">
        <f t="shared" si="8"/>
        <v>-0.005434782609</v>
      </c>
      <c r="AG118" s="264"/>
      <c r="AH118" s="263">
        <v>45975.0</v>
      </c>
      <c r="AI118" s="174">
        <v>411.15</v>
      </c>
      <c r="AJ118" s="256">
        <f t="shared" si="9"/>
        <v>-0.01402877698</v>
      </c>
      <c r="AK118" s="264"/>
      <c r="AL118" s="263">
        <v>45975.0</v>
      </c>
      <c r="AM118" s="174">
        <v>6734.11</v>
      </c>
      <c r="AN118" s="256">
        <f t="shared" si="10"/>
        <v>-0.0005016705034</v>
      </c>
      <c r="AO118" s="154"/>
      <c r="AP118" s="154"/>
    </row>
    <row r="119">
      <c r="A119" s="154"/>
      <c r="B119" s="263">
        <v>45974.0</v>
      </c>
      <c r="C119" s="174">
        <v>7.62</v>
      </c>
      <c r="D119" s="256">
        <f t="shared" si="1"/>
        <v>-0.01167315175</v>
      </c>
      <c r="E119" s="154"/>
      <c r="F119" s="263">
        <v>45974.0</v>
      </c>
      <c r="G119" s="174">
        <v>10.91</v>
      </c>
      <c r="H119" s="256">
        <f t="shared" si="2"/>
        <v>-0.009082652134</v>
      </c>
      <c r="I119" s="154"/>
      <c r="J119" s="263">
        <v>45974.0</v>
      </c>
      <c r="K119" s="174">
        <v>25.54</v>
      </c>
      <c r="L119" s="256">
        <f t="shared" si="3"/>
        <v>-0.01122725513</v>
      </c>
      <c r="M119" s="154"/>
      <c r="N119" s="263">
        <v>45974.0</v>
      </c>
      <c r="O119" s="174">
        <v>1595.0</v>
      </c>
      <c r="P119" s="256">
        <f t="shared" si="4"/>
        <v>0.005040957782</v>
      </c>
      <c r="Q119" s="154"/>
      <c r="R119" s="263">
        <v>45974.0</v>
      </c>
      <c r="S119" s="174">
        <v>13.97</v>
      </c>
      <c r="T119" s="256">
        <f t="shared" si="5"/>
        <v>-0.0134180791</v>
      </c>
      <c r="U119" s="154"/>
      <c r="V119" s="263">
        <v>45974.0</v>
      </c>
      <c r="W119" s="174">
        <v>1234.9</v>
      </c>
      <c r="X119" s="256">
        <f t="shared" si="6"/>
        <v>0.004310344828</v>
      </c>
      <c r="Y119" s="154"/>
      <c r="Z119" s="263">
        <v>45974.0</v>
      </c>
      <c r="AA119" s="174">
        <v>1525.8</v>
      </c>
      <c r="AB119" s="256">
        <f t="shared" si="7"/>
        <v>0.004278286053</v>
      </c>
      <c r="AC119" s="154"/>
      <c r="AD119" s="263">
        <v>45974.0</v>
      </c>
      <c r="AE119" s="174">
        <v>5.52</v>
      </c>
      <c r="AF119" s="256">
        <f t="shared" si="8"/>
        <v>-0.01428571429</v>
      </c>
      <c r="AG119" s="264"/>
      <c r="AH119" s="263">
        <v>45974.0</v>
      </c>
      <c r="AI119" s="174">
        <v>417.0</v>
      </c>
      <c r="AJ119" s="256">
        <f t="shared" si="9"/>
        <v>0.0273466371</v>
      </c>
      <c r="AK119" s="264"/>
      <c r="AL119" s="263">
        <v>45974.0</v>
      </c>
      <c r="AM119" s="174">
        <v>6737.49</v>
      </c>
      <c r="AN119" s="256">
        <f t="shared" si="10"/>
        <v>-0.01655690039</v>
      </c>
      <c r="AO119" s="154"/>
      <c r="AP119" s="154"/>
    </row>
    <row r="120">
      <c r="A120" s="154"/>
      <c r="B120" s="263">
        <v>45973.0</v>
      </c>
      <c r="C120" s="174">
        <v>7.71</v>
      </c>
      <c r="D120" s="256">
        <f t="shared" si="1"/>
        <v>0.02526595745</v>
      </c>
      <c r="E120" s="154"/>
      <c r="F120" s="263">
        <v>45973.0</v>
      </c>
      <c r="G120" s="174">
        <v>11.01</v>
      </c>
      <c r="H120" s="256">
        <f t="shared" si="2"/>
        <v>-0.01696428571</v>
      </c>
      <c r="I120" s="154"/>
      <c r="J120" s="263">
        <v>45973.0</v>
      </c>
      <c r="K120" s="174">
        <v>25.83</v>
      </c>
      <c r="L120" s="256">
        <f t="shared" si="3"/>
        <v>0.0278551532</v>
      </c>
      <c r="M120" s="154"/>
      <c r="N120" s="263">
        <v>45973.0</v>
      </c>
      <c r="O120" s="174">
        <v>1587.0</v>
      </c>
      <c r="P120" s="256">
        <f t="shared" si="4"/>
        <v>-0.006261740764</v>
      </c>
      <c r="Q120" s="154"/>
      <c r="R120" s="263">
        <v>45973.0</v>
      </c>
      <c r="S120" s="174">
        <v>14.16</v>
      </c>
      <c r="T120" s="256">
        <f t="shared" si="5"/>
        <v>-0.00979020979</v>
      </c>
      <c r="U120" s="154"/>
      <c r="V120" s="263">
        <v>45973.0</v>
      </c>
      <c r="W120" s="174">
        <v>1229.6</v>
      </c>
      <c r="X120" s="256">
        <f t="shared" si="6"/>
        <v>0.01494015683</v>
      </c>
      <c r="Y120" s="154"/>
      <c r="Z120" s="263">
        <v>45973.0</v>
      </c>
      <c r="AA120" s="174">
        <v>1519.3</v>
      </c>
      <c r="AB120" s="256">
        <f t="shared" si="7"/>
        <v>0.002904482144</v>
      </c>
      <c r="AC120" s="154"/>
      <c r="AD120" s="263">
        <v>45973.0</v>
      </c>
      <c r="AE120" s="174">
        <v>5.6</v>
      </c>
      <c r="AF120" s="256">
        <f t="shared" si="8"/>
        <v>0.003584229391</v>
      </c>
      <c r="AG120" s="264"/>
      <c r="AH120" s="263">
        <v>45973.0</v>
      </c>
      <c r="AI120" s="174">
        <v>405.9</v>
      </c>
      <c r="AJ120" s="256">
        <f t="shared" si="9"/>
        <v>0.05401194495</v>
      </c>
      <c r="AK120" s="264"/>
      <c r="AL120" s="263">
        <v>45973.0</v>
      </c>
      <c r="AM120" s="174">
        <v>6850.92</v>
      </c>
      <c r="AN120" s="256">
        <f t="shared" si="10"/>
        <v>0.0006295086181</v>
      </c>
      <c r="AO120" s="154"/>
      <c r="AP120" s="154"/>
    </row>
    <row r="121">
      <c r="A121" s="154"/>
      <c r="B121" s="263">
        <v>45972.0</v>
      </c>
      <c r="C121" s="174">
        <v>7.52</v>
      </c>
      <c r="D121" s="256">
        <f t="shared" si="1"/>
        <v>-0.02464332036</v>
      </c>
      <c r="E121" s="154"/>
      <c r="F121" s="263">
        <v>45972.0</v>
      </c>
      <c r="G121" s="174">
        <v>11.2</v>
      </c>
      <c r="H121" s="256">
        <f t="shared" si="2"/>
        <v>0.1012782694</v>
      </c>
      <c r="I121" s="154"/>
      <c r="J121" s="263">
        <v>45972.0</v>
      </c>
      <c r="K121" s="174">
        <v>25.13</v>
      </c>
      <c r="L121" s="256">
        <f t="shared" si="3"/>
        <v>0.03586150041</v>
      </c>
      <c r="M121" s="154"/>
      <c r="N121" s="263">
        <v>45972.0</v>
      </c>
      <c r="O121" s="174">
        <v>1597.0</v>
      </c>
      <c r="P121" s="256">
        <f t="shared" si="4"/>
        <v>0.0270096463</v>
      </c>
      <c r="Q121" s="154"/>
      <c r="R121" s="263">
        <v>45972.0</v>
      </c>
      <c r="S121" s="174">
        <v>14.3</v>
      </c>
      <c r="T121" s="256">
        <f t="shared" si="5"/>
        <v>0.00350877193</v>
      </c>
      <c r="U121" s="154"/>
      <c r="V121" s="263">
        <v>45972.0</v>
      </c>
      <c r="W121" s="174">
        <v>1211.5</v>
      </c>
      <c r="X121" s="256">
        <f t="shared" si="6"/>
        <v>0.01067823475</v>
      </c>
      <c r="Y121" s="154"/>
      <c r="Z121" s="263">
        <v>45972.0</v>
      </c>
      <c r="AA121" s="174">
        <v>1514.9</v>
      </c>
      <c r="AB121" s="256">
        <f t="shared" si="7"/>
        <v>0.002249421105</v>
      </c>
      <c r="AC121" s="154"/>
      <c r="AD121" s="263">
        <v>45972.0</v>
      </c>
      <c r="AE121" s="174">
        <v>5.58</v>
      </c>
      <c r="AF121" s="256">
        <f t="shared" si="8"/>
        <v>0.01824817518</v>
      </c>
      <c r="AG121" s="264"/>
      <c r="AH121" s="263">
        <v>45972.0</v>
      </c>
      <c r="AI121" s="174">
        <v>385.1</v>
      </c>
      <c r="AJ121" s="256">
        <f t="shared" si="9"/>
        <v>0.007719481879</v>
      </c>
      <c r="AK121" s="264"/>
      <c r="AL121" s="263">
        <v>45972.0</v>
      </c>
      <c r="AM121" s="174">
        <v>6846.61</v>
      </c>
      <c r="AN121" s="256">
        <f t="shared" si="10"/>
        <v>0.002075396308</v>
      </c>
      <c r="AO121" s="154"/>
      <c r="AP121" s="154"/>
    </row>
    <row r="122">
      <c r="A122" s="154"/>
      <c r="B122" s="263">
        <v>45971.0</v>
      </c>
      <c r="C122" s="174">
        <v>7.71</v>
      </c>
      <c r="D122" s="256">
        <f t="shared" si="1"/>
        <v>0.1371681416</v>
      </c>
      <c r="E122" s="154"/>
      <c r="F122" s="263">
        <v>45971.0</v>
      </c>
      <c r="G122" s="174">
        <v>10.17</v>
      </c>
      <c r="H122" s="256">
        <f t="shared" si="2"/>
        <v>0.004940711462</v>
      </c>
      <c r="I122" s="154"/>
      <c r="J122" s="263">
        <v>45971.0</v>
      </c>
      <c r="K122" s="174">
        <v>24.26</v>
      </c>
      <c r="L122" s="256">
        <f t="shared" si="3"/>
        <v>0.0120984564</v>
      </c>
      <c r="M122" s="154"/>
      <c r="N122" s="263">
        <v>45971.0</v>
      </c>
      <c r="O122" s="174">
        <v>1555.0</v>
      </c>
      <c r="P122" s="256">
        <f t="shared" si="4"/>
        <v>-0.01706700379</v>
      </c>
      <c r="Q122" s="154"/>
      <c r="R122" s="263">
        <v>45971.0</v>
      </c>
      <c r="S122" s="174">
        <v>14.25</v>
      </c>
      <c r="T122" s="256">
        <f t="shared" si="5"/>
        <v>-0.01315789474</v>
      </c>
      <c r="U122" s="154"/>
      <c r="V122" s="263">
        <v>45971.0</v>
      </c>
      <c r="W122" s="174">
        <v>1198.7</v>
      </c>
      <c r="X122" s="256">
        <f t="shared" si="6"/>
        <v>-0.005558320889</v>
      </c>
      <c r="Y122" s="154"/>
      <c r="Z122" s="263">
        <v>45971.0</v>
      </c>
      <c r="AA122" s="174">
        <v>1511.5</v>
      </c>
      <c r="AB122" s="256">
        <f t="shared" si="7"/>
        <v>0.003852028957</v>
      </c>
      <c r="AC122" s="154"/>
      <c r="AD122" s="263">
        <v>45971.0</v>
      </c>
      <c r="AE122" s="174">
        <v>5.48</v>
      </c>
      <c r="AF122" s="256">
        <f t="shared" si="8"/>
        <v>-0.04028021016</v>
      </c>
      <c r="AG122" s="264"/>
      <c r="AH122" s="263">
        <v>45971.0</v>
      </c>
      <c r="AI122" s="174">
        <v>382.15</v>
      </c>
      <c r="AJ122" s="256">
        <f t="shared" si="9"/>
        <v>0.00460042061</v>
      </c>
      <c r="AK122" s="264"/>
      <c r="AL122" s="263">
        <v>45971.0</v>
      </c>
      <c r="AM122" s="174">
        <v>6832.43</v>
      </c>
      <c r="AN122" s="256">
        <f t="shared" si="10"/>
        <v>0.01540096302</v>
      </c>
      <c r="AO122" s="154"/>
      <c r="AP122" s="154"/>
    </row>
    <row r="123">
      <c r="A123" s="154"/>
      <c r="B123" s="255">
        <v>45968.0</v>
      </c>
      <c r="C123" s="174">
        <v>6.78</v>
      </c>
      <c r="D123" s="256">
        <f t="shared" si="1"/>
        <v>0.01043219076</v>
      </c>
      <c r="E123" s="154"/>
      <c r="F123" s="255">
        <v>45968.0</v>
      </c>
      <c r="G123" s="174">
        <v>10.12</v>
      </c>
      <c r="H123" s="256">
        <f t="shared" si="2"/>
        <v>0.0009891196835</v>
      </c>
      <c r="I123" s="154"/>
      <c r="J123" s="255">
        <v>45968.0</v>
      </c>
      <c r="K123" s="174">
        <v>23.97</v>
      </c>
      <c r="L123" s="256">
        <f t="shared" si="3"/>
        <v>-0.02003270646</v>
      </c>
      <c r="M123" s="154"/>
      <c r="N123" s="255">
        <v>45968.0</v>
      </c>
      <c r="O123" s="174">
        <v>1582.0</v>
      </c>
      <c r="P123" s="256">
        <f t="shared" si="4"/>
        <v>0.0394218134</v>
      </c>
      <c r="Q123" s="154"/>
      <c r="R123" s="255">
        <v>45968.0</v>
      </c>
      <c r="S123" s="174">
        <v>14.44</v>
      </c>
      <c r="T123" s="256">
        <f t="shared" si="5"/>
        <v>-0.03281982585</v>
      </c>
      <c r="U123" s="154"/>
      <c r="V123" s="255">
        <v>45968.0</v>
      </c>
      <c r="W123" s="174">
        <v>1205.4</v>
      </c>
      <c r="X123" s="256">
        <f t="shared" si="6"/>
        <v>0.0001659475606</v>
      </c>
      <c r="Y123" s="154"/>
      <c r="Z123" s="255">
        <v>45968.0</v>
      </c>
      <c r="AA123" s="174">
        <v>1505.7</v>
      </c>
      <c r="AB123" s="256">
        <f t="shared" si="7"/>
        <v>0.002797202797</v>
      </c>
      <c r="AC123" s="154"/>
      <c r="AD123" s="255">
        <v>45968.0</v>
      </c>
      <c r="AE123" s="174">
        <v>5.71</v>
      </c>
      <c r="AF123" s="256">
        <f t="shared" si="8"/>
        <v>0.128458498</v>
      </c>
      <c r="AG123" s="257"/>
      <c r="AH123" s="255">
        <v>45968.0</v>
      </c>
      <c r="AI123" s="174">
        <v>380.4</v>
      </c>
      <c r="AJ123" s="256">
        <f t="shared" si="9"/>
        <v>-0.01246105919</v>
      </c>
      <c r="AK123" s="257"/>
      <c r="AL123" s="255">
        <v>45968.0</v>
      </c>
      <c r="AM123" s="174">
        <v>6728.8</v>
      </c>
      <c r="AN123" s="256">
        <f t="shared" si="10"/>
        <v>0.001261844674</v>
      </c>
      <c r="AO123" s="154"/>
      <c r="AP123" s="154"/>
    </row>
    <row r="124">
      <c r="A124" s="154"/>
      <c r="B124" s="255">
        <v>45967.0</v>
      </c>
      <c r="C124" s="174">
        <v>6.71</v>
      </c>
      <c r="D124" s="256">
        <f t="shared" si="1"/>
        <v>0.05172413793</v>
      </c>
      <c r="E124" s="154"/>
      <c r="F124" s="255">
        <v>45967.0</v>
      </c>
      <c r="G124" s="174">
        <v>10.11</v>
      </c>
      <c r="H124" s="256">
        <f t="shared" si="2"/>
        <v>-0.05953488372</v>
      </c>
      <c r="I124" s="154"/>
      <c r="J124" s="255">
        <v>45967.0</v>
      </c>
      <c r="K124" s="174">
        <v>24.46</v>
      </c>
      <c r="L124" s="256">
        <f t="shared" si="3"/>
        <v>-0.005691056911</v>
      </c>
      <c r="M124" s="154"/>
      <c r="N124" s="255">
        <v>45967.0</v>
      </c>
      <c r="O124" s="174">
        <v>1522.0</v>
      </c>
      <c r="P124" s="256">
        <f t="shared" si="4"/>
        <v>-0.1405985319</v>
      </c>
      <c r="Q124" s="154"/>
      <c r="R124" s="255">
        <v>45967.0</v>
      </c>
      <c r="S124" s="174">
        <v>14.93</v>
      </c>
      <c r="T124" s="256">
        <f t="shared" si="5"/>
        <v>-0.01125827815</v>
      </c>
      <c r="U124" s="154"/>
      <c r="V124" s="255">
        <v>45967.0</v>
      </c>
      <c r="W124" s="174">
        <v>1205.2</v>
      </c>
      <c r="X124" s="256">
        <f t="shared" si="6"/>
        <v>0.002245322245</v>
      </c>
      <c r="Y124" s="154"/>
      <c r="Z124" s="255">
        <v>45967.0</v>
      </c>
      <c r="AA124" s="174">
        <v>1501.5</v>
      </c>
      <c r="AB124" s="256">
        <f t="shared" si="7"/>
        <v>-0.0003328894807</v>
      </c>
      <c r="AC124" s="154"/>
      <c r="AD124" s="255">
        <v>45967.0</v>
      </c>
      <c r="AE124" s="174">
        <v>5.06</v>
      </c>
      <c r="AF124" s="256">
        <f t="shared" si="8"/>
        <v>0.0368852459</v>
      </c>
      <c r="AG124" s="257"/>
      <c r="AH124" s="255">
        <v>45967.0</v>
      </c>
      <c r="AI124" s="174">
        <v>385.2</v>
      </c>
      <c r="AJ124" s="256">
        <f t="shared" si="9"/>
        <v>0.008376963351</v>
      </c>
      <c r="AK124" s="257"/>
      <c r="AL124" s="255">
        <v>45967.0</v>
      </c>
      <c r="AM124" s="174">
        <v>6720.32</v>
      </c>
      <c r="AN124" s="256">
        <f t="shared" si="10"/>
        <v>-0.01117815749</v>
      </c>
      <c r="AO124" s="154"/>
      <c r="AP124" s="154"/>
    </row>
    <row r="125">
      <c r="A125" s="154"/>
      <c r="B125" s="255">
        <v>45966.0</v>
      </c>
      <c r="C125" s="174">
        <v>6.38</v>
      </c>
      <c r="D125" s="256">
        <f t="shared" si="1"/>
        <v>-0.02147239264</v>
      </c>
      <c r="E125" s="154"/>
      <c r="F125" s="255">
        <v>45966.0</v>
      </c>
      <c r="G125" s="174">
        <v>10.75</v>
      </c>
      <c r="H125" s="256">
        <f t="shared" si="2"/>
        <v>0.02478551001</v>
      </c>
      <c r="I125" s="154"/>
      <c r="J125" s="255">
        <v>45966.0</v>
      </c>
      <c r="K125" s="174">
        <v>24.6</v>
      </c>
      <c r="L125" s="256">
        <f t="shared" si="3"/>
        <v>0.2023460411</v>
      </c>
      <c r="M125" s="154"/>
      <c r="N125" s="255">
        <v>45966.0</v>
      </c>
      <c r="O125" s="174">
        <v>1771.0</v>
      </c>
      <c r="P125" s="256">
        <f t="shared" si="4"/>
        <v>0.004537719796</v>
      </c>
      <c r="Q125" s="154"/>
      <c r="R125" s="255">
        <v>45966.0</v>
      </c>
      <c r="S125" s="174">
        <v>15.1</v>
      </c>
      <c r="T125" s="256">
        <f t="shared" si="5"/>
        <v>-0.2521050025</v>
      </c>
      <c r="U125" s="154"/>
      <c r="V125" s="255">
        <v>45966.0</v>
      </c>
      <c r="W125" s="258">
        <v>1202.5</v>
      </c>
      <c r="X125" s="256">
        <f t="shared" si="6"/>
        <v>0.002083333333</v>
      </c>
      <c r="Y125" s="154"/>
      <c r="Z125" s="255">
        <v>45966.0</v>
      </c>
      <c r="AA125" s="258">
        <v>1502.0</v>
      </c>
      <c r="AB125" s="256">
        <f t="shared" si="7"/>
        <v>-0.0008647641855</v>
      </c>
      <c r="AC125" s="154"/>
      <c r="AD125" s="255">
        <v>45966.0</v>
      </c>
      <c r="AE125" s="174">
        <v>4.88</v>
      </c>
      <c r="AF125" s="256">
        <f t="shared" si="8"/>
        <v>0.01035196687</v>
      </c>
      <c r="AG125" s="257"/>
      <c r="AH125" s="255">
        <v>45966.0</v>
      </c>
      <c r="AI125" s="258">
        <v>382.0</v>
      </c>
      <c r="AJ125" s="256">
        <f t="shared" si="9"/>
        <v>0.00394218134</v>
      </c>
      <c r="AK125" s="257"/>
      <c r="AL125" s="255">
        <v>45966.0</v>
      </c>
      <c r="AM125" s="174">
        <v>6796.29</v>
      </c>
      <c r="AN125" s="256">
        <f t="shared" si="10"/>
        <v>0.003653520981</v>
      </c>
      <c r="AO125" s="154"/>
      <c r="AP125" s="154"/>
    </row>
    <row r="126">
      <c r="A126" s="154"/>
      <c r="B126" s="255">
        <v>45965.0</v>
      </c>
      <c r="C126" s="174">
        <v>6.52</v>
      </c>
      <c r="D126" s="256">
        <f t="shared" si="1"/>
        <v>-0.02831594635</v>
      </c>
      <c r="E126" s="154"/>
      <c r="F126" s="255">
        <v>45965.0</v>
      </c>
      <c r="G126" s="174">
        <v>10.49</v>
      </c>
      <c r="H126" s="256">
        <f t="shared" si="2"/>
        <v>-0.003798670465</v>
      </c>
      <c r="I126" s="154"/>
      <c r="J126" s="255">
        <v>45965.0</v>
      </c>
      <c r="K126" s="174">
        <v>20.46</v>
      </c>
      <c r="L126" s="256">
        <f t="shared" si="3"/>
        <v>-0.002923976608</v>
      </c>
      <c r="M126" s="154"/>
      <c r="N126" s="255">
        <v>45965.0</v>
      </c>
      <c r="O126" s="174">
        <v>1763.0</v>
      </c>
      <c r="P126" s="256">
        <f t="shared" si="4"/>
        <v>-0.03185063152</v>
      </c>
      <c r="Q126" s="154"/>
      <c r="R126" s="255">
        <v>45965.0</v>
      </c>
      <c r="S126" s="174">
        <v>20.19</v>
      </c>
      <c r="T126" s="256">
        <f t="shared" si="5"/>
        <v>-0.01656113005</v>
      </c>
      <c r="U126" s="154"/>
      <c r="V126" s="255">
        <v>45965.0</v>
      </c>
      <c r="W126" s="174">
        <v>1200.0</v>
      </c>
      <c r="X126" s="256">
        <f t="shared" si="6"/>
        <v>0.003344481605</v>
      </c>
      <c r="Y126" s="154"/>
      <c r="Z126" s="255">
        <v>45965.0</v>
      </c>
      <c r="AA126" s="174">
        <v>1503.3</v>
      </c>
      <c r="AB126" s="256">
        <f t="shared" si="7"/>
        <v>-0.005425074429</v>
      </c>
      <c r="AC126" s="154"/>
      <c r="AD126" s="255">
        <v>45965.0</v>
      </c>
      <c r="AE126" s="174">
        <v>4.83</v>
      </c>
      <c r="AF126" s="256">
        <f t="shared" si="8"/>
        <v>-0.03976143141</v>
      </c>
      <c r="AG126" s="257"/>
      <c r="AH126" s="255">
        <v>45965.0</v>
      </c>
      <c r="AI126" s="174">
        <v>380.5</v>
      </c>
      <c r="AJ126" s="256">
        <f t="shared" si="9"/>
        <v>0.00888240753</v>
      </c>
      <c r="AK126" s="257"/>
      <c r="AL126" s="255">
        <v>45965.0</v>
      </c>
      <c r="AM126" s="174">
        <v>6771.55</v>
      </c>
      <c r="AN126" s="256">
        <f t="shared" si="10"/>
        <v>-0.01173677059</v>
      </c>
      <c r="AO126" s="154"/>
      <c r="AP126" s="154"/>
    </row>
    <row r="127">
      <c r="A127" s="154"/>
      <c r="B127" s="255">
        <v>45964.0</v>
      </c>
      <c r="C127" s="174">
        <v>6.71</v>
      </c>
      <c r="D127" s="256">
        <f t="shared" si="1"/>
        <v>-0.005925925926</v>
      </c>
      <c r="E127" s="154"/>
      <c r="F127" s="255">
        <v>45964.0</v>
      </c>
      <c r="G127" s="174">
        <v>10.53</v>
      </c>
      <c r="H127" s="256">
        <f t="shared" si="2"/>
        <v>0.01640926641</v>
      </c>
      <c r="I127" s="154"/>
      <c r="J127" s="255">
        <v>45964.0</v>
      </c>
      <c r="K127" s="174">
        <v>20.52</v>
      </c>
      <c r="L127" s="256">
        <f t="shared" si="3"/>
        <v>0.001953125</v>
      </c>
      <c r="M127" s="154"/>
      <c r="N127" s="255">
        <v>45964.0</v>
      </c>
      <c r="O127" s="174">
        <v>1821.0</v>
      </c>
      <c r="P127" s="256">
        <f t="shared" si="4"/>
        <v>-0.009787928222</v>
      </c>
      <c r="Q127" s="154"/>
      <c r="R127" s="255">
        <v>45964.0</v>
      </c>
      <c r="S127" s="174">
        <v>20.53</v>
      </c>
      <c r="T127" s="256">
        <f t="shared" si="5"/>
        <v>-0.01012536162</v>
      </c>
      <c r="U127" s="154"/>
      <c r="V127" s="255">
        <v>45964.0</v>
      </c>
      <c r="W127" s="174">
        <v>1196.0</v>
      </c>
      <c r="X127" s="256">
        <f t="shared" si="6"/>
        <v>-0.001336005344</v>
      </c>
      <c r="Y127" s="154"/>
      <c r="Z127" s="255">
        <v>45964.0</v>
      </c>
      <c r="AA127" s="174">
        <v>1511.5</v>
      </c>
      <c r="AB127" s="256">
        <f t="shared" si="7"/>
        <v>0.00679411177</v>
      </c>
      <c r="AC127" s="154"/>
      <c r="AD127" s="255">
        <v>45964.0</v>
      </c>
      <c r="AE127" s="174">
        <v>5.03</v>
      </c>
      <c r="AF127" s="256">
        <f t="shared" si="8"/>
        <v>-0.3424836601</v>
      </c>
      <c r="AG127" s="257"/>
      <c r="AH127" s="255">
        <v>45964.0</v>
      </c>
      <c r="AI127" s="174">
        <v>377.15</v>
      </c>
      <c r="AJ127" s="256">
        <f t="shared" si="9"/>
        <v>0.01357162053</v>
      </c>
      <c r="AK127" s="257"/>
      <c r="AL127" s="255">
        <v>45964.0</v>
      </c>
      <c r="AM127" s="174">
        <v>6851.97</v>
      </c>
      <c r="AN127" s="256">
        <f t="shared" si="10"/>
        <v>0.001720709921</v>
      </c>
      <c r="AO127" s="154"/>
      <c r="AP127" s="154"/>
    </row>
    <row r="128">
      <c r="A128" s="154"/>
      <c r="B128" s="263">
        <v>45961.0</v>
      </c>
      <c r="C128" s="174">
        <v>6.75</v>
      </c>
      <c r="D128" s="256">
        <f t="shared" si="1"/>
        <v>0.02739726027</v>
      </c>
      <c r="E128" s="154"/>
      <c r="F128" s="263">
        <v>45961.0</v>
      </c>
      <c r="G128" s="174">
        <v>10.36</v>
      </c>
      <c r="H128" s="256">
        <f t="shared" si="2"/>
        <v>0</v>
      </c>
      <c r="I128" s="154"/>
      <c r="J128" s="263">
        <v>45961.0</v>
      </c>
      <c r="K128" s="174">
        <v>20.48</v>
      </c>
      <c r="L128" s="256">
        <f t="shared" si="3"/>
        <v>0.02246630055</v>
      </c>
      <c r="M128" s="154"/>
      <c r="N128" s="263">
        <v>45961.0</v>
      </c>
      <c r="O128" s="174">
        <v>1839.0</v>
      </c>
      <c r="P128" s="256">
        <f t="shared" si="4"/>
        <v>0.008776741635</v>
      </c>
      <c r="Q128" s="154"/>
      <c r="R128" s="263">
        <v>45961.0</v>
      </c>
      <c r="S128" s="174">
        <v>20.74</v>
      </c>
      <c r="T128" s="256">
        <f t="shared" si="5"/>
        <v>0.00484496124</v>
      </c>
      <c r="U128" s="154"/>
      <c r="V128" s="263">
        <v>45961.0</v>
      </c>
      <c r="W128" s="174">
        <v>1197.6</v>
      </c>
      <c r="X128" s="256">
        <f t="shared" si="6"/>
        <v>-0.003826318416</v>
      </c>
      <c r="Y128" s="154"/>
      <c r="Z128" s="263">
        <v>45961.0</v>
      </c>
      <c r="AA128" s="174">
        <v>1501.3</v>
      </c>
      <c r="AB128" s="256">
        <f t="shared" si="7"/>
        <v>-0.02519316927</v>
      </c>
      <c r="AC128" s="154"/>
      <c r="AD128" s="263">
        <v>45961.0</v>
      </c>
      <c r="AE128" s="174">
        <v>7.65</v>
      </c>
      <c r="AF128" s="256">
        <f t="shared" si="8"/>
        <v>-0.02423469388</v>
      </c>
      <c r="AG128" s="264"/>
      <c r="AH128" s="263">
        <v>45961.0</v>
      </c>
      <c r="AI128" s="174">
        <v>372.1</v>
      </c>
      <c r="AJ128" s="256">
        <f t="shared" si="9"/>
        <v>-0.01194901753</v>
      </c>
      <c r="AK128" s="264"/>
      <c r="AL128" s="263">
        <v>45961.0</v>
      </c>
      <c r="AM128" s="174">
        <v>6840.2</v>
      </c>
      <c r="AN128" s="256">
        <f t="shared" si="10"/>
        <v>0.002617870115</v>
      </c>
      <c r="AO128" s="154"/>
      <c r="AP128" s="154"/>
    </row>
    <row r="129">
      <c r="A129" s="154"/>
      <c r="B129" s="263">
        <v>45960.0</v>
      </c>
      <c r="C129" s="174">
        <v>6.57</v>
      </c>
      <c r="D129" s="256">
        <f t="shared" si="1"/>
        <v>0.03627760252</v>
      </c>
      <c r="E129" s="154"/>
      <c r="F129" s="263">
        <v>45960.0</v>
      </c>
      <c r="G129" s="174">
        <v>10.36</v>
      </c>
      <c r="H129" s="256">
        <f t="shared" si="2"/>
        <v>0.00876338851</v>
      </c>
      <c r="I129" s="154"/>
      <c r="J129" s="263">
        <v>45960.0</v>
      </c>
      <c r="K129" s="174">
        <v>20.03</v>
      </c>
      <c r="L129" s="256">
        <f t="shared" si="3"/>
        <v>-0.009886307464</v>
      </c>
      <c r="M129" s="154"/>
      <c r="N129" s="263">
        <v>45960.0</v>
      </c>
      <c r="O129" s="174">
        <v>1823.0</v>
      </c>
      <c r="P129" s="256">
        <f t="shared" si="4"/>
        <v>0</v>
      </c>
      <c r="Q129" s="154"/>
      <c r="R129" s="263">
        <v>45960.0</v>
      </c>
      <c r="S129" s="174">
        <v>20.64</v>
      </c>
      <c r="T129" s="256">
        <f t="shared" si="5"/>
        <v>-0.03007518797</v>
      </c>
      <c r="U129" s="154"/>
      <c r="V129" s="263">
        <v>45960.0</v>
      </c>
      <c r="W129" s="174">
        <v>1202.2</v>
      </c>
      <c r="X129" s="256">
        <f t="shared" si="6"/>
        <v>-0.03893196898</v>
      </c>
      <c r="Y129" s="154"/>
      <c r="Z129" s="263">
        <v>45960.0</v>
      </c>
      <c r="AA129" s="174">
        <v>1540.1</v>
      </c>
      <c r="AB129" s="256">
        <f t="shared" si="7"/>
        <v>-0.02593131364</v>
      </c>
      <c r="AC129" s="154"/>
      <c r="AD129" s="263">
        <v>45960.0</v>
      </c>
      <c r="AE129" s="174">
        <v>7.84</v>
      </c>
      <c r="AF129" s="256">
        <f t="shared" si="8"/>
        <v>-0.007594936709</v>
      </c>
      <c r="AG129" s="264"/>
      <c r="AH129" s="263">
        <v>45960.0</v>
      </c>
      <c r="AI129" s="174">
        <v>376.6</v>
      </c>
      <c r="AJ129" s="256">
        <f t="shared" si="9"/>
        <v>0.007760235483</v>
      </c>
      <c r="AK129" s="264"/>
      <c r="AL129" s="263">
        <v>45960.0</v>
      </c>
      <c r="AM129" s="174">
        <v>6822.34</v>
      </c>
      <c r="AN129" s="256">
        <f t="shared" si="10"/>
        <v>-0.009904812215</v>
      </c>
      <c r="AO129" s="154"/>
      <c r="AP129" s="154"/>
    </row>
    <row r="130">
      <c r="A130" s="154"/>
      <c r="B130" s="263">
        <v>45959.0</v>
      </c>
      <c r="C130" s="174">
        <v>6.34</v>
      </c>
      <c r="D130" s="256">
        <f t="shared" si="1"/>
        <v>-0.04804804805</v>
      </c>
      <c r="E130" s="154"/>
      <c r="F130" s="263">
        <v>45959.0</v>
      </c>
      <c r="G130" s="174">
        <v>10.27</v>
      </c>
      <c r="H130" s="256">
        <f t="shared" si="2"/>
        <v>-0.001943634597</v>
      </c>
      <c r="I130" s="154"/>
      <c r="J130" s="263">
        <v>45959.0</v>
      </c>
      <c r="K130" s="174">
        <v>20.23</v>
      </c>
      <c r="L130" s="256">
        <f t="shared" si="3"/>
        <v>0.02275025278</v>
      </c>
      <c r="M130" s="154"/>
      <c r="N130" s="263">
        <v>45959.0</v>
      </c>
      <c r="O130" s="174">
        <v>1823.0</v>
      </c>
      <c r="P130" s="256">
        <f t="shared" si="4"/>
        <v>0.02646396396</v>
      </c>
      <c r="Q130" s="154"/>
      <c r="R130" s="263">
        <v>45959.0</v>
      </c>
      <c r="S130" s="174">
        <v>21.28</v>
      </c>
      <c r="T130" s="256">
        <f t="shared" si="5"/>
        <v>-0.01481481481</v>
      </c>
      <c r="U130" s="154"/>
      <c r="V130" s="263">
        <v>45959.0</v>
      </c>
      <c r="W130" s="174">
        <v>1250.9</v>
      </c>
      <c r="X130" s="256">
        <f t="shared" si="6"/>
        <v>-0.02985884908</v>
      </c>
      <c r="Y130" s="154"/>
      <c r="Z130" s="263">
        <v>45959.0</v>
      </c>
      <c r="AA130" s="174">
        <v>1581.1</v>
      </c>
      <c r="AB130" s="256">
        <f t="shared" si="7"/>
        <v>0.008290287609</v>
      </c>
      <c r="AC130" s="154"/>
      <c r="AD130" s="263">
        <v>45959.0</v>
      </c>
      <c r="AE130" s="174">
        <v>7.9</v>
      </c>
      <c r="AF130" s="256">
        <f t="shared" si="8"/>
        <v>0.003811944091</v>
      </c>
      <c r="AG130" s="264"/>
      <c r="AH130" s="263">
        <v>45959.0</v>
      </c>
      <c r="AI130" s="174">
        <v>373.7</v>
      </c>
      <c r="AJ130" s="256">
        <f t="shared" si="9"/>
        <v>0.02173615858</v>
      </c>
      <c r="AK130" s="264"/>
      <c r="AL130" s="263">
        <v>45959.0</v>
      </c>
      <c r="AM130" s="174">
        <v>6890.59</v>
      </c>
      <c r="AN130" s="256">
        <f t="shared" si="10"/>
        <v>-0.00004353574067</v>
      </c>
      <c r="AO130" s="154"/>
      <c r="AP130" s="154"/>
    </row>
    <row r="131">
      <c r="A131" s="154"/>
      <c r="B131" s="263">
        <v>45958.0</v>
      </c>
      <c r="C131" s="174">
        <v>6.66</v>
      </c>
      <c r="D131" s="256">
        <f t="shared" si="1"/>
        <v>-0.0566572238</v>
      </c>
      <c r="E131" s="154"/>
      <c r="F131" s="263">
        <v>45958.0</v>
      </c>
      <c r="G131" s="174">
        <v>10.29</v>
      </c>
      <c r="H131" s="256">
        <f t="shared" si="2"/>
        <v>-0.01247600768</v>
      </c>
      <c r="I131" s="154"/>
      <c r="J131" s="263">
        <v>45958.0</v>
      </c>
      <c r="K131" s="174">
        <v>19.78</v>
      </c>
      <c r="L131" s="256">
        <f t="shared" si="3"/>
        <v>0.008669046405</v>
      </c>
      <c r="M131" s="154"/>
      <c r="N131" s="263">
        <v>45958.0</v>
      </c>
      <c r="O131" s="174">
        <v>1776.0</v>
      </c>
      <c r="P131" s="256">
        <f t="shared" si="4"/>
        <v>0.005093378608</v>
      </c>
      <c r="Q131" s="154"/>
      <c r="R131" s="263">
        <v>45958.0</v>
      </c>
      <c r="S131" s="174">
        <v>21.6</v>
      </c>
      <c r="T131" s="256">
        <f t="shared" si="5"/>
        <v>-0.01549680948</v>
      </c>
      <c r="U131" s="154"/>
      <c r="V131" s="263">
        <v>45958.0</v>
      </c>
      <c r="W131" s="174">
        <v>1289.4</v>
      </c>
      <c r="X131" s="256">
        <f t="shared" si="6"/>
        <v>0.003971034805</v>
      </c>
      <c r="Y131" s="154"/>
      <c r="Z131" s="263">
        <v>45958.0</v>
      </c>
      <c r="AA131" s="174">
        <v>1568.1</v>
      </c>
      <c r="AB131" s="256">
        <f t="shared" si="7"/>
        <v>-0.01003787879</v>
      </c>
      <c r="AC131" s="154"/>
      <c r="AD131" s="263">
        <v>45958.0</v>
      </c>
      <c r="AE131" s="174">
        <v>7.87</v>
      </c>
      <c r="AF131" s="256">
        <f t="shared" si="8"/>
        <v>-0.0319803198</v>
      </c>
      <c r="AG131" s="264"/>
      <c r="AH131" s="263">
        <v>45958.0</v>
      </c>
      <c r="AI131" s="174">
        <v>365.75</v>
      </c>
      <c r="AJ131" s="256">
        <f t="shared" si="9"/>
        <v>0.01470384242</v>
      </c>
      <c r="AK131" s="264"/>
      <c r="AL131" s="263">
        <v>45958.0</v>
      </c>
      <c r="AM131" s="174">
        <v>6890.89</v>
      </c>
      <c r="AN131" s="256">
        <f t="shared" si="10"/>
        <v>0.002287946753</v>
      </c>
      <c r="AO131" s="154"/>
      <c r="AP131" s="154"/>
    </row>
    <row r="132">
      <c r="A132" s="154"/>
      <c r="B132" s="263">
        <v>45957.0</v>
      </c>
      <c r="C132" s="174">
        <v>7.06</v>
      </c>
      <c r="D132" s="256">
        <f t="shared" si="1"/>
        <v>-0.2292576419</v>
      </c>
      <c r="E132" s="154"/>
      <c r="F132" s="263">
        <v>45957.0</v>
      </c>
      <c r="G132" s="174">
        <v>10.42</v>
      </c>
      <c r="H132" s="256">
        <f t="shared" si="2"/>
        <v>0.006763285024</v>
      </c>
      <c r="I132" s="154"/>
      <c r="J132" s="263">
        <v>45957.0</v>
      </c>
      <c r="K132" s="174">
        <v>19.61</v>
      </c>
      <c r="L132" s="256">
        <f t="shared" si="3"/>
        <v>0.03482849604</v>
      </c>
      <c r="M132" s="154"/>
      <c r="N132" s="263">
        <v>45957.0</v>
      </c>
      <c r="O132" s="174">
        <v>1767.0</v>
      </c>
      <c r="P132" s="256">
        <f t="shared" si="4"/>
        <v>0.007986309184</v>
      </c>
      <c r="Q132" s="154"/>
      <c r="R132" s="263">
        <v>45957.0</v>
      </c>
      <c r="S132" s="174">
        <v>21.94</v>
      </c>
      <c r="T132" s="256">
        <f t="shared" si="5"/>
        <v>0.02236719478</v>
      </c>
      <c r="U132" s="154"/>
      <c r="V132" s="263">
        <v>45957.0</v>
      </c>
      <c r="W132" s="174">
        <v>1284.3</v>
      </c>
      <c r="X132" s="256">
        <f t="shared" si="6"/>
        <v>0.0005453412278</v>
      </c>
      <c r="Y132" s="154"/>
      <c r="Z132" s="263">
        <v>45957.0</v>
      </c>
      <c r="AA132" s="174">
        <v>1584.0</v>
      </c>
      <c r="AB132" s="256">
        <f t="shared" si="7"/>
        <v>-0.0002524614996</v>
      </c>
      <c r="AC132" s="154"/>
      <c r="AD132" s="263">
        <v>45957.0</v>
      </c>
      <c r="AE132" s="174">
        <v>8.13</v>
      </c>
      <c r="AF132" s="256">
        <f t="shared" si="8"/>
        <v>-0.03214285714</v>
      </c>
      <c r="AG132" s="264"/>
      <c r="AH132" s="263">
        <v>45957.0</v>
      </c>
      <c r="AI132" s="174">
        <v>360.45</v>
      </c>
      <c r="AJ132" s="256">
        <f t="shared" si="9"/>
        <v>0.00264255911</v>
      </c>
      <c r="AK132" s="264"/>
      <c r="AL132" s="263">
        <v>45957.0</v>
      </c>
      <c r="AM132" s="174">
        <v>6875.16</v>
      </c>
      <c r="AN132" s="256">
        <f t="shared" si="10"/>
        <v>0.01229001913</v>
      </c>
      <c r="AO132" s="154"/>
      <c r="AP132" s="154"/>
    </row>
    <row r="133">
      <c r="A133" s="154"/>
      <c r="B133" s="263">
        <v>45954.0</v>
      </c>
      <c r="C133" s="174">
        <v>9.16</v>
      </c>
      <c r="D133" s="256">
        <f t="shared" si="1"/>
        <v>0.01215469613</v>
      </c>
      <c r="E133" s="154"/>
      <c r="F133" s="263">
        <v>45954.0</v>
      </c>
      <c r="G133" s="174">
        <v>10.35</v>
      </c>
      <c r="H133" s="256">
        <f t="shared" si="2"/>
        <v>0.003879728419</v>
      </c>
      <c r="I133" s="154"/>
      <c r="J133" s="263">
        <v>45954.0</v>
      </c>
      <c r="K133" s="174">
        <v>18.95</v>
      </c>
      <c r="L133" s="256">
        <f t="shared" si="3"/>
        <v>-0.003680336488</v>
      </c>
      <c r="M133" s="154"/>
      <c r="N133" s="263">
        <v>45954.0</v>
      </c>
      <c r="O133" s="174">
        <v>1753.0</v>
      </c>
      <c r="P133" s="256">
        <f t="shared" si="4"/>
        <v>-0.009604519774</v>
      </c>
      <c r="Q133" s="154"/>
      <c r="R133" s="263">
        <v>45954.0</v>
      </c>
      <c r="S133" s="174">
        <v>21.46</v>
      </c>
      <c r="T133" s="256">
        <f t="shared" si="5"/>
        <v>-0.001860465116</v>
      </c>
      <c r="U133" s="154"/>
      <c r="V133" s="263">
        <v>45954.0</v>
      </c>
      <c r="W133" s="174">
        <v>1283.6</v>
      </c>
      <c r="X133" s="256">
        <f t="shared" si="6"/>
        <v>0.003282788807</v>
      </c>
      <c r="Y133" s="154"/>
      <c r="Z133" s="263">
        <v>45954.0</v>
      </c>
      <c r="AA133" s="174">
        <v>1584.4</v>
      </c>
      <c r="AB133" s="256">
        <f t="shared" si="7"/>
        <v>-0.03689745304</v>
      </c>
      <c r="AC133" s="154"/>
      <c r="AD133" s="263">
        <v>45954.0</v>
      </c>
      <c r="AE133" s="174">
        <v>8.4</v>
      </c>
      <c r="AF133" s="256">
        <f t="shared" si="8"/>
        <v>0.03067484663</v>
      </c>
      <c r="AG133" s="264"/>
      <c r="AH133" s="263">
        <v>45954.0</v>
      </c>
      <c r="AI133" s="174">
        <v>359.5</v>
      </c>
      <c r="AJ133" s="256">
        <f t="shared" si="9"/>
        <v>-0.007728401877</v>
      </c>
      <c r="AK133" s="264"/>
      <c r="AL133" s="263">
        <v>45954.0</v>
      </c>
      <c r="AM133" s="174">
        <v>6791.69</v>
      </c>
      <c r="AN133" s="256">
        <f t="shared" si="10"/>
        <v>0.007902422519</v>
      </c>
      <c r="AO133" s="154"/>
      <c r="AP133" s="154"/>
    </row>
    <row r="134">
      <c r="A134" s="154"/>
      <c r="B134" s="263">
        <v>45953.0</v>
      </c>
      <c r="C134" s="174">
        <v>9.05</v>
      </c>
      <c r="D134" s="256">
        <f t="shared" si="1"/>
        <v>0.01230425056</v>
      </c>
      <c r="E134" s="154"/>
      <c r="F134" s="263">
        <v>45953.0</v>
      </c>
      <c r="G134" s="174">
        <v>10.31</v>
      </c>
      <c r="H134" s="256">
        <f t="shared" si="2"/>
        <v>-0.009606147935</v>
      </c>
      <c r="I134" s="154"/>
      <c r="J134" s="263">
        <v>45953.0</v>
      </c>
      <c r="K134" s="174">
        <v>19.02</v>
      </c>
      <c r="L134" s="256">
        <f t="shared" si="3"/>
        <v>0.002635740643</v>
      </c>
      <c r="M134" s="154"/>
      <c r="N134" s="263">
        <v>45953.0</v>
      </c>
      <c r="O134" s="174">
        <v>1770.0</v>
      </c>
      <c r="P134" s="256">
        <f t="shared" si="4"/>
        <v>-0.006176305446</v>
      </c>
      <c r="Q134" s="154"/>
      <c r="R134" s="263">
        <v>45953.0</v>
      </c>
      <c r="S134" s="174">
        <v>21.5</v>
      </c>
      <c r="T134" s="256">
        <f t="shared" si="5"/>
        <v>-0.006928406467</v>
      </c>
      <c r="U134" s="154"/>
      <c r="V134" s="263">
        <v>45953.0</v>
      </c>
      <c r="W134" s="174">
        <v>1279.4</v>
      </c>
      <c r="X134" s="256">
        <f t="shared" si="6"/>
        <v>-0.003582554517</v>
      </c>
      <c r="Y134" s="154"/>
      <c r="Z134" s="263">
        <v>45953.0</v>
      </c>
      <c r="AA134" s="174">
        <v>1645.1</v>
      </c>
      <c r="AB134" s="256">
        <f t="shared" si="7"/>
        <v>-0.00296969697</v>
      </c>
      <c r="AC134" s="154"/>
      <c r="AD134" s="263">
        <v>45953.0</v>
      </c>
      <c r="AE134" s="174">
        <v>8.15</v>
      </c>
      <c r="AF134" s="256">
        <f t="shared" si="8"/>
        <v>-0.009720534629</v>
      </c>
      <c r="AG134" s="264"/>
      <c r="AH134" s="263">
        <v>45953.0</v>
      </c>
      <c r="AI134" s="174">
        <v>362.3</v>
      </c>
      <c r="AJ134" s="256">
        <f t="shared" si="9"/>
        <v>-0.00467032967</v>
      </c>
      <c r="AK134" s="264"/>
      <c r="AL134" s="263">
        <v>45953.0</v>
      </c>
      <c r="AM134" s="174">
        <v>6738.44</v>
      </c>
      <c r="AN134" s="256">
        <f t="shared" si="10"/>
        <v>0.005827387527</v>
      </c>
      <c r="AO134" s="154"/>
      <c r="AP134" s="154"/>
    </row>
    <row r="135">
      <c r="A135" s="154"/>
      <c r="B135" s="263">
        <v>45952.0</v>
      </c>
      <c r="C135" s="174">
        <v>8.94</v>
      </c>
      <c r="D135" s="256">
        <f t="shared" si="1"/>
        <v>-0.008869179601</v>
      </c>
      <c r="E135" s="154"/>
      <c r="F135" s="263">
        <v>45952.0</v>
      </c>
      <c r="G135" s="174">
        <v>10.41</v>
      </c>
      <c r="H135" s="256">
        <f t="shared" si="2"/>
        <v>0.001924927815</v>
      </c>
      <c r="I135" s="154"/>
      <c r="J135" s="263">
        <v>45952.0</v>
      </c>
      <c r="K135" s="174">
        <v>18.97</v>
      </c>
      <c r="L135" s="256">
        <f t="shared" si="3"/>
        <v>-0.001053185887</v>
      </c>
      <c r="M135" s="154"/>
      <c r="N135" s="263">
        <v>45952.0</v>
      </c>
      <c r="O135" s="174">
        <v>1781.0</v>
      </c>
      <c r="P135" s="256">
        <f t="shared" si="4"/>
        <v>-0.001121704992</v>
      </c>
      <c r="Q135" s="154"/>
      <c r="R135" s="263">
        <v>45952.0</v>
      </c>
      <c r="S135" s="174">
        <v>21.65</v>
      </c>
      <c r="T135" s="256">
        <f t="shared" si="5"/>
        <v>-0.01276789786</v>
      </c>
      <c r="U135" s="154"/>
      <c r="V135" s="263">
        <v>45952.0</v>
      </c>
      <c r="W135" s="258">
        <v>1284.0</v>
      </c>
      <c r="X135" s="256">
        <f t="shared" si="6"/>
        <v>-0.003647086211</v>
      </c>
      <c r="Y135" s="154"/>
      <c r="Z135" s="263">
        <v>45952.0</v>
      </c>
      <c r="AA135" s="258">
        <v>1650.0</v>
      </c>
      <c r="AB135" s="256">
        <f t="shared" si="7"/>
        <v>-0.008175042077</v>
      </c>
      <c r="AC135" s="154"/>
      <c r="AD135" s="263">
        <v>45952.0</v>
      </c>
      <c r="AE135" s="174">
        <v>8.23</v>
      </c>
      <c r="AF135" s="256">
        <f t="shared" si="8"/>
        <v>-0.03403755869</v>
      </c>
      <c r="AG135" s="264"/>
      <c r="AH135" s="263">
        <v>45952.0</v>
      </c>
      <c r="AI135" s="258">
        <v>364.0</v>
      </c>
      <c r="AJ135" s="256">
        <f t="shared" si="9"/>
        <v>-0.005736137667</v>
      </c>
      <c r="AK135" s="264"/>
      <c r="AL135" s="263">
        <v>45952.0</v>
      </c>
      <c r="AM135" s="174">
        <v>6699.4</v>
      </c>
      <c r="AN135" s="256">
        <f t="shared" si="10"/>
        <v>-0.0053375103</v>
      </c>
      <c r="AO135" s="154"/>
      <c r="AP135" s="154"/>
    </row>
    <row r="136">
      <c r="A136" s="154"/>
      <c r="B136" s="263">
        <v>45951.0</v>
      </c>
      <c r="C136" s="174">
        <v>9.02</v>
      </c>
      <c r="D136" s="256">
        <f t="shared" si="1"/>
        <v>-0.02380952381</v>
      </c>
      <c r="E136" s="154"/>
      <c r="F136" s="263">
        <v>45951.0</v>
      </c>
      <c r="G136" s="174">
        <v>10.39</v>
      </c>
      <c r="H136" s="256">
        <f t="shared" si="2"/>
        <v>0.007759456838</v>
      </c>
      <c r="I136" s="154"/>
      <c r="J136" s="263">
        <v>45951.0</v>
      </c>
      <c r="K136" s="174">
        <v>18.99</v>
      </c>
      <c r="L136" s="256">
        <f t="shared" si="3"/>
        <v>-0.02214212152</v>
      </c>
      <c r="M136" s="154"/>
      <c r="N136" s="263">
        <v>45951.0</v>
      </c>
      <c r="O136" s="174">
        <v>1783.0</v>
      </c>
      <c r="P136" s="256">
        <f t="shared" si="4"/>
        <v>-0.00223838836</v>
      </c>
      <c r="Q136" s="154"/>
      <c r="R136" s="263">
        <v>45951.0</v>
      </c>
      <c r="S136" s="174">
        <v>21.93</v>
      </c>
      <c r="T136" s="256">
        <f t="shared" si="5"/>
        <v>0.01059907834</v>
      </c>
      <c r="U136" s="154"/>
      <c r="V136" s="263">
        <v>45951.0</v>
      </c>
      <c r="W136" s="174">
        <v>1288.7</v>
      </c>
      <c r="X136" s="256">
        <f t="shared" si="6"/>
        <v>0.005226209048</v>
      </c>
      <c r="Y136" s="154"/>
      <c r="Z136" s="263">
        <v>45951.0</v>
      </c>
      <c r="AA136" s="174">
        <v>1663.6</v>
      </c>
      <c r="AB136" s="256">
        <f t="shared" si="7"/>
        <v>0.01494722714</v>
      </c>
      <c r="AC136" s="154"/>
      <c r="AD136" s="263">
        <v>45951.0</v>
      </c>
      <c r="AE136" s="174">
        <v>8.52</v>
      </c>
      <c r="AF136" s="256">
        <f t="shared" si="8"/>
        <v>-0.008149010477</v>
      </c>
      <c r="AG136" s="264"/>
      <c r="AH136" s="263">
        <v>45951.0</v>
      </c>
      <c r="AI136" s="174">
        <v>366.1</v>
      </c>
      <c r="AJ136" s="256">
        <f t="shared" si="9"/>
        <v>0.004940982707</v>
      </c>
      <c r="AK136" s="264"/>
      <c r="AL136" s="263">
        <v>45951.0</v>
      </c>
      <c r="AM136" s="174">
        <v>6735.35</v>
      </c>
      <c r="AN136" s="256">
        <f t="shared" si="10"/>
        <v>0.00003266455139</v>
      </c>
      <c r="AO136" s="154"/>
      <c r="AP136" s="154"/>
    </row>
    <row r="137">
      <c r="A137" s="154"/>
      <c r="B137" s="263">
        <v>45950.0</v>
      </c>
      <c r="C137" s="174">
        <v>9.24</v>
      </c>
      <c r="D137" s="256">
        <f t="shared" si="1"/>
        <v>-0.004310344828</v>
      </c>
      <c r="E137" s="154"/>
      <c r="F137" s="263">
        <v>45950.0</v>
      </c>
      <c r="G137" s="174">
        <v>10.31</v>
      </c>
      <c r="H137" s="256">
        <f t="shared" si="2"/>
        <v>0.01376597837</v>
      </c>
      <c r="I137" s="154"/>
      <c r="J137" s="263">
        <v>45950.0</v>
      </c>
      <c r="K137" s="174">
        <v>19.42</v>
      </c>
      <c r="L137" s="256">
        <f t="shared" si="3"/>
        <v>0.005696530295</v>
      </c>
      <c r="M137" s="154"/>
      <c r="N137" s="263">
        <v>45950.0</v>
      </c>
      <c r="O137" s="174">
        <v>1787.0</v>
      </c>
      <c r="P137" s="256">
        <f t="shared" si="4"/>
        <v>0.00676056338</v>
      </c>
      <c r="Q137" s="154"/>
      <c r="R137" s="263">
        <v>45950.0</v>
      </c>
      <c r="S137" s="174">
        <v>21.7</v>
      </c>
      <c r="T137" s="256">
        <f t="shared" si="5"/>
        <v>0.003700277521</v>
      </c>
      <c r="U137" s="154"/>
      <c r="V137" s="263">
        <v>45950.0</v>
      </c>
      <c r="W137" s="174">
        <v>1282.0</v>
      </c>
      <c r="X137" s="256">
        <f t="shared" si="6"/>
        <v>0.02078190939</v>
      </c>
      <c r="Y137" s="154"/>
      <c r="Z137" s="263">
        <v>45950.0</v>
      </c>
      <c r="AA137" s="174">
        <v>1639.1</v>
      </c>
      <c r="AB137" s="256">
        <f t="shared" si="7"/>
        <v>0.03898326572</v>
      </c>
      <c r="AC137" s="154"/>
      <c r="AD137" s="263">
        <v>45950.0</v>
      </c>
      <c r="AE137" s="174">
        <v>8.59</v>
      </c>
      <c r="AF137" s="256">
        <f t="shared" si="8"/>
        <v>-0.01490825688</v>
      </c>
      <c r="AG137" s="264"/>
      <c r="AH137" s="263">
        <v>45950.0</v>
      </c>
      <c r="AI137" s="174">
        <v>364.3</v>
      </c>
      <c r="AJ137" s="256">
        <f t="shared" si="9"/>
        <v>0.02288361645</v>
      </c>
      <c r="AK137" s="264"/>
      <c r="AL137" s="263">
        <v>45950.0</v>
      </c>
      <c r="AM137" s="174">
        <v>6735.13</v>
      </c>
      <c r="AN137" s="256">
        <f t="shared" si="10"/>
        <v>0.01067225289</v>
      </c>
      <c r="AO137" s="154"/>
      <c r="AP137" s="154"/>
    </row>
    <row r="138">
      <c r="A138" s="154"/>
      <c r="B138" s="263">
        <v>45947.0</v>
      </c>
      <c r="C138" s="174">
        <v>9.28</v>
      </c>
      <c r="D138" s="256">
        <f t="shared" si="1"/>
        <v>-0.01066098081</v>
      </c>
      <c r="E138" s="154"/>
      <c r="F138" s="263">
        <v>45947.0</v>
      </c>
      <c r="G138" s="174">
        <v>10.17</v>
      </c>
      <c r="H138" s="256">
        <f t="shared" si="2"/>
        <v>0.006930693069</v>
      </c>
      <c r="I138" s="154"/>
      <c r="J138" s="263">
        <v>45947.0</v>
      </c>
      <c r="K138" s="174">
        <v>19.31</v>
      </c>
      <c r="L138" s="256">
        <f t="shared" si="3"/>
        <v>-0.01630157922</v>
      </c>
      <c r="M138" s="154"/>
      <c r="N138" s="263">
        <v>45947.0</v>
      </c>
      <c r="O138" s="174">
        <v>1775.0</v>
      </c>
      <c r="P138" s="256">
        <f t="shared" si="4"/>
        <v>0.001128031585</v>
      </c>
      <c r="Q138" s="154"/>
      <c r="R138" s="263">
        <v>45947.0</v>
      </c>
      <c r="S138" s="174">
        <v>21.62</v>
      </c>
      <c r="T138" s="256">
        <f t="shared" si="5"/>
        <v>0.004180213655</v>
      </c>
      <c r="U138" s="154"/>
      <c r="V138" s="263">
        <v>45947.0</v>
      </c>
      <c r="W138" s="174">
        <v>1255.9</v>
      </c>
      <c r="X138" s="256">
        <f t="shared" si="6"/>
        <v>0.01265924851</v>
      </c>
      <c r="Y138" s="154"/>
      <c r="Z138" s="263">
        <v>45947.0</v>
      </c>
      <c r="AA138" s="174">
        <v>1577.6</v>
      </c>
      <c r="AB138" s="256">
        <f t="shared" si="7"/>
        <v>0.005224926724</v>
      </c>
      <c r="AC138" s="154"/>
      <c r="AD138" s="263">
        <v>45947.0</v>
      </c>
      <c r="AE138" s="174">
        <v>8.72</v>
      </c>
      <c r="AF138" s="256">
        <f t="shared" si="8"/>
        <v>-0.003428571429</v>
      </c>
      <c r="AG138" s="264"/>
      <c r="AH138" s="263">
        <v>45947.0</v>
      </c>
      <c r="AI138" s="174">
        <v>356.15</v>
      </c>
      <c r="AJ138" s="256">
        <f t="shared" si="9"/>
        <v>-0.005723059743</v>
      </c>
      <c r="AK138" s="264"/>
      <c r="AL138" s="263">
        <v>45947.0</v>
      </c>
      <c r="AM138" s="174">
        <v>6664.01</v>
      </c>
      <c r="AN138" s="256">
        <f t="shared" si="10"/>
        <v>0.005270724249</v>
      </c>
      <c r="AO138" s="154"/>
      <c r="AP138" s="154"/>
    </row>
    <row r="139">
      <c r="A139" s="154"/>
      <c r="B139" s="263">
        <v>45946.0</v>
      </c>
      <c r="C139" s="174">
        <v>9.38</v>
      </c>
      <c r="D139" s="256">
        <f t="shared" si="1"/>
        <v>-0.01780104712</v>
      </c>
      <c r="E139" s="154"/>
      <c r="F139" s="263">
        <v>45946.0</v>
      </c>
      <c r="G139" s="174">
        <v>10.1</v>
      </c>
      <c r="H139" s="256">
        <f t="shared" si="2"/>
        <v>0.0120240481</v>
      </c>
      <c r="I139" s="154"/>
      <c r="J139" s="263">
        <v>45946.0</v>
      </c>
      <c r="K139" s="174">
        <v>19.63</v>
      </c>
      <c r="L139" s="256">
        <f t="shared" si="3"/>
        <v>-0.007583417594</v>
      </c>
      <c r="M139" s="154"/>
      <c r="N139" s="263">
        <v>45946.0</v>
      </c>
      <c r="O139" s="174">
        <v>1773.0</v>
      </c>
      <c r="P139" s="256">
        <f t="shared" si="4"/>
        <v>-0.007278835386</v>
      </c>
      <c r="Q139" s="154"/>
      <c r="R139" s="263">
        <v>45946.0</v>
      </c>
      <c r="S139" s="174">
        <v>21.53</v>
      </c>
      <c r="T139" s="256">
        <f t="shared" si="5"/>
        <v>0.007015902713</v>
      </c>
      <c r="U139" s="154"/>
      <c r="V139" s="263">
        <v>45946.0</v>
      </c>
      <c r="W139" s="174">
        <v>1240.2</v>
      </c>
      <c r="X139" s="256">
        <f t="shared" si="6"/>
        <v>0.006329113924</v>
      </c>
      <c r="Y139" s="154"/>
      <c r="Z139" s="263">
        <v>45946.0</v>
      </c>
      <c r="AA139" s="174">
        <v>1569.4</v>
      </c>
      <c r="AB139" s="256">
        <f t="shared" si="7"/>
        <v>0.006864694938</v>
      </c>
      <c r="AC139" s="154"/>
      <c r="AD139" s="263">
        <v>45946.0</v>
      </c>
      <c r="AE139" s="174">
        <v>8.75</v>
      </c>
      <c r="AF139" s="256">
        <f t="shared" si="8"/>
        <v>-0.02561247216</v>
      </c>
      <c r="AG139" s="264"/>
      <c r="AH139" s="263">
        <v>45946.0</v>
      </c>
      <c r="AI139" s="174">
        <v>358.2</v>
      </c>
      <c r="AJ139" s="256">
        <f t="shared" si="9"/>
        <v>0.005050505051</v>
      </c>
      <c r="AK139" s="264"/>
      <c r="AL139" s="263">
        <v>45946.0</v>
      </c>
      <c r="AM139" s="174">
        <v>6629.07</v>
      </c>
      <c r="AN139" s="256">
        <f t="shared" si="10"/>
        <v>-0.006294352022</v>
      </c>
      <c r="AO139" s="154"/>
      <c r="AP139" s="154"/>
    </row>
    <row r="140">
      <c r="A140" s="154"/>
      <c r="B140" s="263">
        <v>45945.0</v>
      </c>
      <c r="C140" s="174">
        <v>9.55</v>
      </c>
      <c r="D140" s="256">
        <f t="shared" si="1"/>
        <v>-0.001046025105</v>
      </c>
      <c r="E140" s="154"/>
      <c r="F140" s="263">
        <v>45945.0</v>
      </c>
      <c r="G140" s="174">
        <v>9.98</v>
      </c>
      <c r="H140" s="256">
        <f t="shared" si="2"/>
        <v>0.005035246727</v>
      </c>
      <c r="I140" s="154"/>
      <c r="J140" s="263">
        <v>45945.0</v>
      </c>
      <c r="K140" s="174">
        <v>19.78</v>
      </c>
      <c r="L140" s="256">
        <f t="shared" si="3"/>
        <v>-0.01640974639</v>
      </c>
      <c r="M140" s="154"/>
      <c r="N140" s="263">
        <v>45945.0</v>
      </c>
      <c r="O140" s="174">
        <v>1786.0</v>
      </c>
      <c r="P140" s="256">
        <f t="shared" si="4"/>
        <v>-0.0061213133</v>
      </c>
      <c r="Q140" s="154"/>
      <c r="R140" s="263">
        <v>45945.0</v>
      </c>
      <c r="S140" s="174">
        <v>21.38</v>
      </c>
      <c r="T140" s="256">
        <f t="shared" si="5"/>
        <v>-0.01292705448</v>
      </c>
      <c r="U140" s="154"/>
      <c r="V140" s="263">
        <v>45945.0</v>
      </c>
      <c r="W140" s="174">
        <v>1232.4</v>
      </c>
      <c r="X140" s="256">
        <f t="shared" si="6"/>
        <v>-0.003960235998</v>
      </c>
      <c r="Y140" s="154"/>
      <c r="Z140" s="263">
        <v>45945.0</v>
      </c>
      <c r="AA140" s="174">
        <v>1558.7</v>
      </c>
      <c r="AB140" s="256">
        <f t="shared" si="7"/>
        <v>0.004122914385</v>
      </c>
      <c r="AC140" s="154"/>
      <c r="AD140" s="263">
        <v>45945.0</v>
      </c>
      <c r="AE140" s="174">
        <v>8.98</v>
      </c>
      <c r="AF140" s="256">
        <f t="shared" si="8"/>
        <v>0.05647058824</v>
      </c>
      <c r="AG140" s="264"/>
      <c r="AH140" s="263">
        <v>45945.0</v>
      </c>
      <c r="AI140" s="174">
        <v>356.4</v>
      </c>
      <c r="AJ140" s="256">
        <f t="shared" si="9"/>
        <v>0.01293164701</v>
      </c>
      <c r="AK140" s="264"/>
      <c r="AL140" s="263">
        <v>45945.0</v>
      </c>
      <c r="AM140" s="174">
        <v>6671.06</v>
      </c>
      <c r="AN140" s="256">
        <f t="shared" si="10"/>
        <v>0.004026001195</v>
      </c>
      <c r="AO140" s="154"/>
      <c r="AP140" s="154"/>
    </row>
    <row r="141">
      <c r="A141" s="154"/>
      <c r="B141" s="263">
        <v>45944.0</v>
      </c>
      <c r="C141" s="174">
        <v>9.56</v>
      </c>
      <c r="D141" s="256">
        <f t="shared" si="1"/>
        <v>-0.004166666667</v>
      </c>
      <c r="E141" s="154"/>
      <c r="F141" s="263">
        <v>45944.0</v>
      </c>
      <c r="G141" s="174">
        <v>9.93</v>
      </c>
      <c r="H141" s="256">
        <f t="shared" si="2"/>
        <v>0.007099391481</v>
      </c>
      <c r="I141" s="154"/>
      <c r="J141" s="263">
        <v>45944.0</v>
      </c>
      <c r="K141" s="174">
        <v>20.11</v>
      </c>
      <c r="L141" s="256">
        <f t="shared" si="3"/>
        <v>0.004495504496</v>
      </c>
      <c r="M141" s="154"/>
      <c r="N141" s="263">
        <v>45944.0</v>
      </c>
      <c r="O141" s="174">
        <v>1797.0</v>
      </c>
      <c r="P141" s="256">
        <f t="shared" si="4"/>
        <v>-0.001666666667</v>
      </c>
      <c r="Q141" s="154"/>
      <c r="R141" s="263">
        <v>45944.0</v>
      </c>
      <c r="S141" s="174">
        <v>21.66</v>
      </c>
      <c r="T141" s="256">
        <f t="shared" si="5"/>
        <v>0.02218027371</v>
      </c>
      <c r="U141" s="154"/>
      <c r="V141" s="263">
        <v>45944.0</v>
      </c>
      <c r="W141" s="174">
        <v>1237.3</v>
      </c>
      <c r="X141" s="256">
        <f t="shared" si="6"/>
        <v>-0.01988276299</v>
      </c>
      <c r="Y141" s="154"/>
      <c r="Z141" s="263">
        <v>45944.0</v>
      </c>
      <c r="AA141" s="174">
        <v>1552.3</v>
      </c>
      <c r="AB141" s="256">
        <f t="shared" si="7"/>
        <v>-0.007226912254</v>
      </c>
      <c r="AC141" s="154"/>
      <c r="AD141" s="263">
        <v>45944.0</v>
      </c>
      <c r="AE141" s="174">
        <v>8.5</v>
      </c>
      <c r="AF141" s="256">
        <f t="shared" si="8"/>
        <v>0.06649937265</v>
      </c>
      <c r="AG141" s="264"/>
      <c r="AH141" s="263">
        <v>45944.0</v>
      </c>
      <c r="AI141" s="174">
        <v>351.85</v>
      </c>
      <c r="AJ141" s="256">
        <f t="shared" si="9"/>
        <v>0.007012020607</v>
      </c>
      <c r="AK141" s="264"/>
      <c r="AL141" s="263">
        <v>45944.0</v>
      </c>
      <c r="AM141" s="174">
        <v>6644.31</v>
      </c>
      <c r="AN141" s="256">
        <f t="shared" si="10"/>
        <v>-0.001564303231</v>
      </c>
      <c r="AO141" s="154"/>
      <c r="AP141" s="154"/>
    </row>
    <row r="142">
      <c r="A142" s="154"/>
      <c r="B142" s="263">
        <v>45943.0</v>
      </c>
      <c r="C142" s="174">
        <v>9.6</v>
      </c>
      <c r="D142" s="256">
        <f t="shared" si="1"/>
        <v>0</v>
      </c>
      <c r="E142" s="154"/>
      <c r="F142" s="263">
        <v>45943.0</v>
      </c>
      <c r="G142" s="174">
        <v>9.86</v>
      </c>
      <c r="H142" s="256">
        <f t="shared" si="2"/>
        <v>0.01232032854</v>
      </c>
      <c r="I142" s="154"/>
      <c r="J142" s="263">
        <v>45943.0</v>
      </c>
      <c r="K142" s="174">
        <v>20.02</v>
      </c>
      <c r="L142" s="256">
        <f t="shared" si="3"/>
        <v>-0.0004992511233</v>
      </c>
      <c r="M142" s="154"/>
      <c r="N142" s="263">
        <v>45943.0</v>
      </c>
      <c r="O142" s="174">
        <v>1800.0</v>
      </c>
      <c r="P142" s="256">
        <f t="shared" si="4"/>
        <v>-0.007717750827</v>
      </c>
      <c r="Q142" s="154"/>
      <c r="R142" s="263">
        <v>45943.0</v>
      </c>
      <c r="S142" s="174">
        <v>21.19</v>
      </c>
      <c r="T142" s="256">
        <f t="shared" si="5"/>
        <v>-0.002823529412</v>
      </c>
      <c r="U142" s="154"/>
      <c r="V142" s="263">
        <v>45943.0</v>
      </c>
      <c r="W142" s="174">
        <v>1262.4</v>
      </c>
      <c r="X142" s="256">
        <f t="shared" si="6"/>
        <v>-0.001581777918</v>
      </c>
      <c r="Y142" s="154"/>
      <c r="Z142" s="263">
        <v>45943.0</v>
      </c>
      <c r="AA142" s="174">
        <v>1563.6</v>
      </c>
      <c r="AB142" s="256">
        <f t="shared" si="7"/>
        <v>0.001152516327</v>
      </c>
      <c r="AC142" s="154"/>
      <c r="AD142" s="263">
        <v>45943.0</v>
      </c>
      <c r="AE142" s="174">
        <v>7.97</v>
      </c>
      <c r="AF142" s="256">
        <f t="shared" si="8"/>
        <v>-0.03276699029</v>
      </c>
      <c r="AG142" s="264"/>
      <c r="AH142" s="263">
        <v>45943.0</v>
      </c>
      <c r="AI142" s="174">
        <v>349.4</v>
      </c>
      <c r="AJ142" s="256">
        <f t="shared" si="9"/>
        <v>-0.01145848069</v>
      </c>
      <c r="AK142" s="264"/>
      <c r="AL142" s="263">
        <v>45943.0</v>
      </c>
      <c r="AM142" s="174">
        <v>6654.72</v>
      </c>
      <c r="AN142" s="256">
        <f t="shared" si="10"/>
        <v>0.01559860267</v>
      </c>
      <c r="AO142" s="154"/>
      <c r="AP142" s="154"/>
    </row>
    <row r="143">
      <c r="A143" s="154"/>
      <c r="B143" s="263">
        <v>45940.0</v>
      </c>
      <c r="C143" s="174">
        <v>9.6</v>
      </c>
      <c r="D143" s="256">
        <f t="shared" si="1"/>
        <v>-0.03225806452</v>
      </c>
      <c r="E143" s="154"/>
      <c r="F143" s="263">
        <v>45940.0</v>
      </c>
      <c r="G143" s="174">
        <v>9.74</v>
      </c>
      <c r="H143" s="256">
        <f t="shared" si="2"/>
        <v>-0.02502502503</v>
      </c>
      <c r="I143" s="154"/>
      <c r="J143" s="263">
        <v>45940.0</v>
      </c>
      <c r="K143" s="174">
        <v>20.03</v>
      </c>
      <c r="L143" s="256">
        <f t="shared" si="3"/>
        <v>-0.000499001996</v>
      </c>
      <c r="M143" s="154"/>
      <c r="N143" s="263">
        <v>45940.0</v>
      </c>
      <c r="O143" s="174">
        <v>1814.0</v>
      </c>
      <c r="P143" s="256">
        <f t="shared" si="4"/>
        <v>-0.01998919503</v>
      </c>
      <c r="Q143" s="154"/>
      <c r="R143" s="263">
        <v>45940.0</v>
      </c>
      <c r="S143" s="174">
        <v>21.25</v>
      </c>
      <c r="T143" s="256">
        <f t="shared" si="5"/>
        <v>-0.01392111369</v>
      </c>
      <c r="U143" s="154"/>
      <c r="V143" s="263">
        <v>45940.0</v>
      </c>
      <c r="W143" s="174">
        <v>1264.4</v>
      </c>
      <c r="X143" s="256">
        <f t="shared" si="6"/>
        <v>0.01468581976</v>
      </c>
      <c r="Y143" s="154"/>
      <c r="Z143" s="263">
        <v>45940.0</v>
      </c>
      <c r="AA143" s="174">
        <v>1561.8</v>
      </c>
      <c r="AB143" s="256">
        <f t="shared" si="7"/>
        <v>0.03218557927</v>
      </c>
      <c r="AC143" s="154"/>
      <c r="AD143" s="263">
        <v>45940.0</v>
      </c>
      <c r="AE143" s="174">
        <v>8.24</v>
      </c>
      <c r="AF143" s="256">
        <f t="shared" si="8"/>
        <v>-0.007228915663</v>
      </c>
      <c r="AG143" s="264"/>
      <c r="AH143" s="263">
        <v>45940.0</v>
      </c>
      <c r="AI143" s="174">
        <v>353.45</v>
      </c>
      <c r="AJ143" s="256">
        <f t="shared" si="9"/>
        <v>0.002695035461</v>
      </c>
      <c r="AK143" s="264"/>
      <c r="AL143" s="263">
        <v>45940.0</v>
      </c>
      <c r="AM143" s="174">
        <v>6552.51</v>
      </c>
      <c r="AN143" s="256">
        <f t="shared" si="10"/>
        <v>-0.02711165816</v>
      </c>
      <c r="AO143" s="154"/>
      <c r="AP143" s="154"/>
    </row>
    <row r="144">
      <c r="A144" s="154"/>
      <c r="B144" s="255">
        <v>45939.0</v>
      </c>
      <c r="C144" s="174">
        <v>9.92</v>
      </c>
      <c r="D144" s="256">
        <f t="shared" si="1"/>
        <v>-0.03125</v>
      </c>
      <c r="E144" s="154"/>
      <c r="F144" s="255">
        <v>45939.0</v>
      </c>
      <c r="G144" s="174">
        <v>9.99</v>
      </c>
      <c r="H144" s="256">
        <f t="shared" si="2"/>
        <v>0.002006018054</v>
      </c>
      <c r="I144" s="154"/>
      <c r="J144" s="255">
        <v>45939.0</v>
      </c>
      <c r="K144" s="174">
        <v>20.04</v>
      </c>
      <c r="L144" s="256">
        <f t="shared" si="3"/>
        <v>-0.008411677387</v>
      </c>
      <c r="M144" s="154"/>
      <c r="N144" s="255">
        <v>45939.0</v>
      </c>
      <c r="O144" s="174">
        <v>1851.0</v>
      </c>
      <c r="P144" s="256">
        <f t="shared" si="4"/>
        <v>0.007621121394</v>
      </c>
      <c r="Q144" s="154"/>
      <c r="R144" s="255">
        <v>45939.0</v>
      </c>
      <c r="S144" s="174">
        <v>21.55</v>
      </c>
      <c r="T144" s="256">
        <f t="shared" si="5"/>
        <v>-0.004618937644</v>
      </c>
      <c r="U144" s="154"/>
      <c r="V144" s="255">
        <v>45939.0</v>
      </c>
      <c r="W144" s="174">
        <v>1246.1</v>
      </c>
      <c r="X144" s="256">
        <f t="shared" si="6"/>
        <v>0.009396516808</v>
      </c>
      <c r="Y144" s="154"/>
      <c r="Z144" s="255">
        <v>45939.0</v>
      </c>
      <c r="AA144" s="174">
        <v>1513.1</v>
      </c>
      <c r="AB144" s="256">
        <f t="shared" si="7"/>
        <v>0.01237789375</v>
      </c>
      <c r="AC144" s="154"/>
      <c r="AD144" s="255">
        <v>45939.0</v>
      </c>
      <c r="AE144" s="174">
        <v>8.3</v>
      </c>
      <c r="AF144" s="256">
        <f t="shared" si="8"/>
        <v>-0.04377880184</v>
      </c>
      <c r="AG144" s="257"/>
      <c r="AH144" s="255">
        <v>45939.0</v>
      </c>
      <c r="AI144" s="174">
        <v>352.5</v>
      </c>
      <c r="AJ144" s="256">
        <f t="shared" si="9"/>
        <v>0.0100286533</v>
      </c>
      <c r="AK144" s="257"/>
      <c r="AL144" s="255">
        <v>45939.0</v>
      </c>
      <c r="AM144" s="174">
        <v>6735.11</v>
      </c>
      <c r="AN144" s="256">
        <f t="shared" si="10"/>
        <v>-0.00275551844</v>
      </c>
      <c r="AO144" s="154"/>
      <c r="AP144" s="154"/>
    </row>
    <row r="145">
      <c r="A145" s="154"/>
      <c r="B145" s="255">
        <v>45938.0</v>
      </c>
      <c r="C145" s="174">
        <v>10.24</v>
      </c>
      <c r="D145" s="256">
        <f t="shared" si="1"/>
        <v>-0.03396226415</v>
      </c>
      <c r="E145" s="154"/>
      <c r="F145" s="255">
        <v>45938.0</v>
      </c>
      <c r="G145" s="174">
        <v>9.97</v>
      </c>
      <c r="H145" s="256">
        <f t="shared" si="2"/>
        <v>-0.016765286</v>
      </c>
      <c r="I145" s="154"/>
      <c r="J145" s="255">
        <v>45938.0</v>
      </c>
      <c r="K145" s="174">
        <v>20.21</v>
      </c>
      <c r="L145" s="256">
        <f t="shared" si="3"/>
        <v>0.006975585451</v>
      </c>
      <c r="M145" s="154"/>
      <c r="N145" s="255">
        <v>45938.0</v>
      </c>
      <c r="O145" s="174">
        <v>1837.0</v>
      </c>
      <c r="P145" s="256">
        <f t="shared" si="4"/>
        <v>0.007127192982</v>
      </c>
      <c r="Q145" s="154"/>
      <c r="R145" s="255">
        <v>45938.0</v>
      </c>
      <c r="S145" s="174">
        <v>21.65</v>
      </c>
      <c r="T145" s="256">
        <f t="shared" si="5"/>
        <v>-0.001383763838</v>
      </c>
      <c r="U145" s="154"/>
      <c r="V145" s="255">
        <v>45938.0</v>
      </c>
      <c r="W145" s="174">
        <v>1234.5</v>
      </c>
      <c r="X145" s="256">
        <f t="shared" si="6"/>
        <v>-0.01121345615</v>
      </c>
      <c r="Y145" s="154"/>
      <c r="Z145" s="255">
        <v>45938.0</v>
      </c>
      <c r="AA145" s="174">
        <v>1494.6</v>
      </c>
      <c r="AB145" s="256">
        <f t="shared" si="7"/>
        <v>-0.01235710038</v>
      </c>
      <c r="AC145" s="154"/>
      <c r="AD145" s="255">
        <v>45938.0</v>
      </c>
      <c r="AE145" s="174">
        <v>8.68</v>
      </c>
      <c r="AF145" s="256">
        <f t="shared" si="8"/>
        <v>0.00462962963</v>
      </c>
      <c r="AG145" s="257"/>
      <c r="AH145" s="255">
        <v>45938.0</v>
      </c>
      <c r="AI145" s="174">
        <v>349.0</v>
      </c>
      <c r="AJ145" s="256">
        <f t="shared" si="9"/>
        <v>0.003450258769</v>
      </c>
      <c r="AK145" s="257"/>
      <c r="AL145" s="255">
        <v>45938.0</v>
      </c>
      <c r="AM145" s="174">
        <v>6753.72</v>
      </c>
      <c r="AN145" s="256">
        <f t="shared" si="10"/>
        <v>0.005827608238</v>
      </c>
      <c r="AO145" s="154"/>
      <c r="AP145" s="154"/>
    </row>
    <row r="146">
      <c r="A146" s="154"/>
      <c r="B146" s="255">
        <v>45937.0</v>
      </c>
      <c r="C146" s="174">
        <v>10.6</v>
      </c>
      <c r="D146" s="256">
        <f t="shared" si="1"/>
        <v>-0.0221402214</v>
      </c>
      <c r="E146" s="154"/>
      <c r="F146" s="255">
        <v>45937.0</v>
      </c>
      <c r="G146" s="174">
        <v>10.14</v>
      </c>
      <c r="H146" s="256">
        <f t="shared" si="2"/>
        <v>0.0009871668312</v>
      </c>
      <c r="I146" s="154"/>
      <c r="J146" s="255">
        <v>45937.0</v>
      </c>
      <c r="K146" s="174">
        <v>20.07</v>
      </c>
      <c r="L146" s="256">
        <f t="shared" si="3"/>
        <v>0.005511022044</v>
      </c>
      <c r="M146" s="154"/>
      <c r="N146" s="255">
        <v>45937.0</v>
      </c>
      <c r="O146" s="174">
        <v>1824.0</v>
      </c>
      <c r="P146" s="256">
        <f t="shared" si="4"/>
        <v>-0.00707675558</v>
      </c>
      <c r="Q146" s="154"/>
      <c r="R146" s="255">
        <v>45937.0</v>
      </c>
      <c r="S146" s="174">
        <v>21.68</v>
      </c>
      <c r="T146" s="256">
        <f t="shared" si="5"/>
        <v>-0.01678004535</v>
      </c>
      <c r="U146" s="154"/>
      <c r="V146" s="255">
        <v>45937.0</v>
      </c>
      <c r="W146" s="174">
        <v>1248.5</v>
      </c>
      <c r="X146" s="256">
        <f t="shared" si="6"/>
        <v>-0.00008008970046</v>
      </c>
      <c r="Y146" s="154"/>
      <c r="Z146" s="255">
        <v>45937.0</v>
      </c>
      <c r="AA146" s="174">
        <v>1513.3</v>
      </c>
      <c r="AB146" s="256">
        <f t="shared" si="7"/>
        <v>0.0001321789703</v>
      </c>
      <c r="AC146" s="154"/>
      <c r="AD146" s="255">
        <v>45937.0</v>
      </c>
      <c r="AE146" s="174">
        <v>8.64</v>
      </c>
      <c r="AF146" s="256">
        <f t="shared" si="8"/>
        <v>0.006993006993</v>
      </c>
      <c r="AG146" s="257"/>
      <c r="AH146" s="255">
        <v>45937.0</v>
      </c>
      <c r="AI146" s="174">
        <v>347.8</v>
      </c>
      <c r="AJ146" s="256">
        <f t="shared" si="9"/>
        <v>0.0001437814522</v>
      </c>
      <c r="AK146" s="257"/>
      <c r="AL146" s="255">
        <v>45937.0</v>
      </c>
      <c r="AM146" s="174">
        <v>6714.59</v>
      </c>
      <c r="AN146" s="256">
        <f t="shared" si="10"/>
        <v>-0.003811414363</v>
      </c>
      <c r="AO146" s="154"/>
      <c r="AP146" s="154"/>
    </row>
    <row r="147">
      <c r="A147" s="154"/>
      <c r="B147" s="255">
        <v>45936.0</v>
      </c>
      <c r="C147" s="174">
        <v>10.84</v>
      </c>
      <c r="D147" s="256">
        <f t="shared" si="1"/>
        <v>-0.01544050863</v>
      </c>
      <c r="E147" s="154"/>
      <c r="F147" s="255">
        <v>45936.0</v>
      </c>
      <c r="G147" s="174">
        <v>10.13</v>
      </c>
      <c r="H147" s="256">
        <f t="shared" si="2"/>
        <v>-0.005888125613</v>
      </c>
      <c r="I147" s="154"/>
      <c r="J147" s="255">
        <v>45936.0</v>
      </c>
      <c r="K147" s="174">
        <v>19.96</v>
      </c>
      <c r="L147" s="256">
        <f t="shared" si="3"/>
        <v>-0.002498750625</v>
      </c>
      <c r="M147" s="154"/>
      <c r="N147" s="255">
        <v>45936.0</v>
      </c>
      <c r="O147" s="174">
        <v>1837.0</v>
      </c>
      <c r="P147" s="256">
        <f t="shared" si="4"/>
        <v>-0.00433604336</v>
      </c>
      <c r="Q147" s="154"/>
      <c r="R147" s="255">
        <v>45936.0</v>
      </c>
      <c r="S147" s="174">
        <v>22.05</v>
      </c>
      <c r="T147" s="256">
        <f t="shared" si="5"/>
        <v>-0.02043536206</v>
      </c>
      <c r="U147" s="154"/>
      <c r="V147" s="255">
        <v>45936.0</v>
      </c>
      <c r="W147" s="174">
        <v>1248.6</v>
      </c>
      <c r="X147" s="256">
        <f t="shared" si="6"/>
        <v>0.0004006089256</v>
      </c>
      <c r="Y147" s="154"/>
      <c r="Z147" s="255">
        <v>45936.0</v>
      </c>
      <c r="AA147" s="174">
        <v>1513.1</v>
      </c>
      <c r="AB147" s="256">
        <f t="shared" si="7"/>
        <v>-0.003030902023</v>
      </c>
      <c r="AC147" s="154"/>
      <c r="AD147" s="255">
        <v>45936.0</v>
      </c>
      <c r="AE147" s="174">
        <v>8.58</v>
      </c>
      <c r="AF147" s="256">
        <f t="shared" si="8"/>
        <v>0.03125</v>
      </c>
      <c r="AG147" s="257"/>
      <c r="AH147" s="255">
        <v>45936.0</v>
      </c>
      <c r="AI147" s="174">
        <v>347.75</v>
      </c>
      <c r="AJ147" s="256">
        <f t="shared" si="9"/>
        <v>-0.01277501774</v>
      </c>
      <c r="AK147" s="257"/>
      <c r="AL147" s="255">
        <v>45936.0</v>
      </c>
      <c r="AM147" s="174">
        <v>6740.28</v>
      </c>
      <c r="AN147" s="256">
        <f t="shared" si="10"/>
        <v>0.003646629808</v>
      </c>
      <c r="AO147" s="154"/>
      <c r="AP147" s="154"/>
    </row>
    <row r="148">
      <c r="A148" s="154"/>
      <c r="B148" s="255">
        <v>45933.0</v>
      </c>
      <c r="C148" s="174">
        <v>11.01</v>
      </c>
      <c r="D148" s="256">
        <f t="shared" si="1"/>
        <v>0.006398537477</v>
      </c>
      <c r="E148" s="154"/>
      <c r="F148" s="255">
        <v>45933.0</v>
      </c>
      <c r="G148" s="174">
        <v>10.19</v>
      </c>
      <c r="H148" s="256">
        <f t="shared" si="2"/>
        <v>0.007912957468</v>
      </c>
      <c r="I148" s="154"/>
      <c r="J148" s="255">
        <v>45933.0</v>
      </c>
      <c r="K148" s="174">
        <v>20.01</v>
      </c>
      <c r="L148" s="256">
        <f t="shared" si="3"/>
        <v>-0.001995012469</v>
      </c>
      <c r="M148" s="154"/>
      <c r="N148" s="255">
        <v>45933.0</v>
      </c>
      <c r="O148" s="174">
        <v>1845.0</v>
      </c>
      <c r="P148" s="256">
        <f t="shared" si="4"/>
        <v>0.006546644845</v>
      </c>
      <c r="Q148" s="154"/>
      <c r="R148" s="255">
        <v>45933.0</v>
      </c>
      <c r="S148" s="174">
        <v>22.51</v>
      </c>
      <c r="T148" s="256">
        <f t="shared" si="5"/>
        <v>0.01625282167</v>
      </c>
      <c r="U148" s="154"/>
      <c r="V148" s="255">
        <v>45933.0</v>
      </c>
      <c r="W148" s="174">
        <v>1248.1</v>
      </c>
      <c r="X148" s="256">
        <f t="shared" si="6"/>
        <v>0.002489959839</v>
      </c>
      <c r="Y148" s="154"/>
      <c r="Z148" s="255">
        <v>45933.0</v>
      </c>
      <c r="AA148" s="174">
        <v>1517.7</v>
      </c>
      <c r="AB148" s="256">
        <f t="shared" si="7"/>
        <v>0.001782178218</v>
      </c>
      <c r="AC148" s="154"/>
      <c r="AD148" s="255">
        <v>45933.0</v>
      </c>
      <c r="AE148" s="174">
        <v>8.32</v>
      </c>
      <c r="AF148" s="256">
        <f t="shared" si="8"/>
        <v>0.01463414634</v>
      </c>
      <c r="AG148" s="257"/>
      <c r="AH148" s="255">
        <v>45933.0</v>
      </c>
      <c r="AI148" s="174">
        <v>352.25</v>
      </c>
      <c r="AJ148" s="256">
        <f t="shared" si="9"/>
        <v>-0.01880222841</v>
      </c>
      <c r="AK148" s="257"/>
      <c r="AL148" s="255">
        <v>45933.0</v>
      </c>
      <c r="AM148" s="174">
        <v>6715.79</v>
      </c>
      <c r="AN148" s="256">
        <f t="shared" si="10"/>
        <v>0.00006552152903</v>
      </c>
      <c r="AO148" s="154"/>
      <c r="AP148" s="154"/>
    </row>
    <row r="149">
      <c r="A149" s="154"/>
      <c r="B149" s="255">
        <v>45932.0</v>
      </c>
      <c r="C149" s="174">
        <v>10.94</v>
      </c>
      <c r="D149" s="256">
        <f t="shared" si="1"/>
        <v>-0.004549590537</v>
      </c>
      <c r="E149" s="154"/>
      <c r="F149" s="255">
        <v>45932.0</v>
      </c>
      <c r="G149" s="174">
        <v>10.11</v>
      </c>
      <c r="H149" s="256">
        <f t="shared" si="2"/>
        <v>0.001982160555</v>
      </c>
      <c r="I149" s="154"/>
      <c r="J149" s="255">
        <v>45932.0</v>
      </c>
      <c r="K149" s="174">
        <v>20.05</v>
      </c>
      <c r="L149" s="256">
        <f t="shared" si="3"/>
        <v>-0.0004985044865</v>
      </c>
      <c r="M149" s="154"/>
      <c r="N149" s="255">
        <v>45932.0</v>
      </c>
      <c r="O149" s="174">
        <v>1833.0</v>
      </c>
      <c r="P149" s="256">
        <f t="shared" si="4"/>
        <v>0.02116991643</v>
      </c>
      <c r="Q149" s="154"/>
      <c r="R149" s="255">
        <v>45932.0</v>
      </c>
      <c r="S149" s="174">
        <v>22.15</v>
      </c>
      <c r="T149" s="256">
        <f t="shared" si="5"/>
        <v>-0.01599289205</v>
      </c>
      <c r="U149" s="154"/>
      <c r="V149" s="255">
        <v>45932.0</v>
      </c>
      <c r="W149" s="258">
        <v>1245.0</v>
      </c>
      <c r="X149" s="256">
        <f t="shared" si="6"/>
        <v>0.000241021933</v>
      </c>
      <c r="Y149" s="154"/>
      <c r="Z149" s="255">
        <v>45932.0</v>
      </c>
      <c r="AA149" s="258">
        <v>1515.0</v>
      </c>
      <c r="AB149" s="256">
        <f t="shared" si="7"/>
        <v>0.001321877065</v>
      </c>
      <c r="AC149" s="154"/>
      <c r="AD149" s="255">
        <v>45932.0</v>
      </c>
      <c r="AE149" s="174">
        <v>8.2</v>
      </c>
      <c r="AF149" s="256">
        <f t="shared" si="8"/>
        <v>0.001221001221</v>
      </c>
      <c r="AG149" s="257"/>
      <c r="AH149" s="255">
        <v>45932.0</v>
      </c>
      <c r="AI149" s="258">
        <v>359.0</v>
      </c>
      <c r="AJ149" s="256">
        <f t="shared" si="9"/>
        <v>0.03622456343</v>
      </c>
      <c r="AK149" s="257"/>
      <c r="AL149" s="255">
        <v>45932.0</v>
      </c>
      <c r="AM149" s="174">
        <v>6715.35</v>
      </c>
      <c r="AN149" s="256">
        <f t="shared" si="10"/>
        <v>0.0006183692931</v>
      </c>
      <c r="AO149" s="154"/>
      <c r="AP149" s="154"/>
    </row>
    <row r="150">
      <c r="A150" s="154"/>
      <c r="B150" s="255">
        <v>45931.0</v>
      </c>
      <c r="C150" s="174">
        <v>10.99</v>
      </c>
      <c r="D150" s="256">
        <f t="shared" si="1"/>
        <v>0.02902621723</v>
      </c>
      <c r="E150" s="154"/>
      <c r="F150" s="255">
        <v>45931.0</v>
      </c>
      <c r="G150" s="174">
        <v>10.09</v>
      </c>
      <c r="H150" s="256">
        <f t="shared" si="2"/>
        <v>0.01919191919</v>
      </c>
      <c r="I150" s="154"/>
      <c r="J150" s="255">
        <v>45931.0</v>
      </c>
      <c r="K150" s="174">
        <v>20.06</v>
      </c>
      <c r="L150" s="256">
        <f t="shared" si="3"/>
        <v>-0.006930693069</v>
      </c>
      <c r="M150" s="154"/>
      <c r="N150" s="255">
        <v>45931.0</v>
      </c>
      <c r="O150" s="174">
        <v>1795.0</v>
      </c>
      <c r="P150" s="256">
        <f t="shared" si="4"/>
        <v>0.05712603062</v>
      </c>
      <c r="Q150" s="154"/>
      <c r="R150" s="255">
        <v>45931.0</v>
      </c>
      <c r="S150" s="174">
        <v>22.51</v>
      </c>
      <c r="T150" s="256">
        <f t="shared" si="5"/>
        <v>0.01077682982</v>
      </c>
      <c r="U150" s="154"/>
      <c r="V150" s="255">
        <v>45931.0</v>
      </c>
      <c r="W150" s="174">
        <v>1244.7</v>
      </c>
      <c r="X150" s="256">
        <f t="shared" si="6"/>
        <v>0.01716106889</v>
      </c>
      <c r="Y150" s="154"/>
      <c r="Z150" s="255">
        <v>45931.0</v>
      </c>
      <c r="AA150" s="174">
        <v>1513.0</v>
      </c>
      <c r="AB150" s="256">
        <f t="shared" si="7"/>
        <v>0.00645247123</v>
      </c>
      <c r="AC150" s="154"/>
      <c r="AD150" s="255">
        <v>45931.0</v>
      </c>
      <c r="AE150" s="174">
        <v>8.19</v>
      </c>
      <c r="AF150" s="256">
        <f t="shared" si="8"/>
        <v>0</v>
      </c>
      <c r="AG150" s="257"/>
      <c r="AH150" s="255">
        <v>45931.0</v>
      </c>
      <c r="AI150" s="174">
        <v>346.45</v>
      </c>
      <c r="AJ150" s="256">
        <f t="shared" si="9"/>
        <v>0.01598240469</v>
      </c>
      <c r="AK150" s="257"/>
      <c r="AL150" s="255">
        <v>45931.0</v>
      </c>
      <c r="AM150" s="174">
        <v>6711.2</v>
      </c>
      <c r="AN150" s="256">
        <f t="shared" si="10"/>
        <v>0.003399885773</v>
      </c>
      <c r="AO150" s="154"/>
      <c r="AP150" s="154"/>
    </row>
    <row r="151">
      <c r="A151" s="154"/>
      <c r="B151" s="255">
        <v>45930.0</v>
      </c>
      <c r="C151" s="174">
        <v>10.68</v>
      </c>
      <c r="D151" s="256">
        <f t="shared" si="1"/>
        <v>0.03188405797</v>
      </c>
      <c r="E151" s="154"/>
      <c r="F151" s="255">
        <v>45930.0</v>
      </c>
      <c r="G151" s="174">
        <v>9.9</v>
      </c>
      <c r="H151" s="256">
        <f t="shared" si="2"/>
        <v>0.02910602911</v>
      </c>
      <c r="I151" s="154"/>
      <c r="J151" s="255">
        <v>45930.0</v>
      </c>
      <c r="K151" s="174">
        <v>20.2</v>
      </c>
      <c r="L151" s="256">
        <f t="shared" si="3"/>
        <v>0.05318039625</v>
      </c>
      <c r="M151" s="154"/>
      <c r="N151" s="255">
        <v>45930.0</v>
      </c>
      <c r="O151" s="174">
        <v>1698.0</v>
      </c>
      <c r="P151" s="256">
        <f t="shared" si="4"/>
        <v>0.02350813743</v>
      </c>
      <c r="Q151" s="154"/>
      <c r="R151" s="255">
        <v>45930.0</v>
      </c>
      <c r="S151" s="174">
        <v>22.27</v>
      </c>
      <c r="T151" s="256">
        <f t="shared" si="5"/>
        <v>0.02485043718</v>
      </c>
      <c r="U151" s="154"/>
      <c r="V151" s="255">
        <v>45930.0</v>
      </c>
      <c r="W151" s="174">
        <v>1223.7</v>
      </c>
      <c r="X151" s="256">
        <f t="shared" si="6"/>
        <v>-0.008828770452</v>
      </c>
      <c r="Y151" s="154"/>
      <c r="Z151" s="255">
        <v>45930.0</v>
      </c>
      <c r="AA151" s="174">
        <v>1503.3</v>
      </c>
      <c r="AB151" s="256">
        <f t="shared" si="7"/>
        <v>0.01028225806</v>
      </c>
      <c r="AC151" s="154"/>
      <c r="AD151" s="255">
        <v>45930.0</v>
      </c>
      <c r="AE151" s="174">
        <v>8.19</v>
      </c>
      <c r="AF151" s="256">
        <f t="shared" si="8"/>
        <v>-0.025</v>
      </c>
      <c r="AG151" s="257"/>
      <c r="AH151" s="255">
        <v>45930.0</v>
      </c>
      <c r="AI151" s="174">
        <v>341.0</v>
      </c>
      <c r="AJ151" s="256">
        <f t="shared" si="9"/>
        <v>0.002498897545</v>
      </c>
      <c r="AK151" s="257"/>
      <c r="AL151" s="255">
        <v>45930.0</v>
      </c>
      <c r="AM151" s="174">
        <v>6688.46</v>
      </c>
      <c r="AN151" s="256">
        <f t="shared" si="10"/>
        <v>0.004090848359</v>
      </c>
      <c r="AO151" s="154"/>
      <c r="AP151" s="154"/>
    </row>
    <row r="152">
      <c r="A152" s="154"/>
      <c r="B152" s="255">
        <v>45929.0</v>
      </c>
      <c r="C152" s="174">
        <v>10.35</v>
      </c>
      <c r="D152" s="256">
        <f t="shared" si="1"/>
        <v>0.01371204701</v>
      </c>
      <c r="E152" s="154"/>
      <c r="F152" s="255">
        <v>45929.0</v>
      </c>
      <c r="G152" s="174">
        <v>9.62</v>
      </c>
      <c r="H152" s="256">
        <f t="shared" si="2"/>
        <v>0.01050420168</v>
      </c>
      <c r="I152" s="154"/>
      <c r="J152" s="255">
        <v>45929.0</v>
      </c>
      <c r="K152" s="174">
        <v>19.18</v>
      </c>
      <c r="L152" s="256">
        <f t="shared" si="3"/>
        <v>0.04580152672</v>
      </c>
      <c r="M152" s="154"/>
      <c r="N152" s="255">
        <v>45929.0</v>
      </c>
      <c r="O152" s="174">
        <v>1659.0</v>
      </c>
      <c r="P152" s="256">
        <f t="shared" si="4"/>
        <v>0.009124087591</v>
      </c>
      <c r="Q152" s="154"/>
      <c r="R152" s="255">
        <v>45929.0</v>
      </c>
      <c r="S152" s="174">
        <v>21.73</v>
      </c>
      <c r="T152" s="256">
        <f t="shared" si="5"/>
        <v>0.01305361305</v>
      </c>
      <c r="U152" s="154"/>
      <c r="V152" s="255">
        <v>45929.0</v>
      </c>
      <c r="W152" s="174">
        <v>1234.6</v>
      </c>
      <c r="X152" s="256">
        <f t="shared" si="6"/>
        <v>-0.0147633868</v>
      </c>
      <c r="Y152" s="154"/>
      <c r="Z152" s="255">
        <v>45929.0</v>
      </c>
      <c r="AA152" s="174">
        <v>1488.0</v>
      </c>
      <c r="AB152" s="256">
        <f t="shared" si="7"/>
        <v>-0.007603041216</v>
      </c>
      <c r="AC152" s="154"/>
      <c r="AD152" s="255">
        <v>45929.0</v>
      </c>
      <c r="AE152" s="174">
        <v>8.4</v>
      </c>
      <c r="AF152" s="256">
        <f t="shared" si="8"/>
        <v>0.007194244604</v>
      </c>
      <c r="AG152" s="257"/>
      <c r="AH152" s="255">
        <v>45929.0</v>
      </c>
      <c r="AI152" s="174">
        <v>340.15</v>
      </c>
      <c r="AJ152" s="256">
        <f t="shared" si="9"/>
        <v>0.003688403659</v>
      </c>
      <c r="AK152" s="257"/>
      <c r="AL152" s="255">
        <v>45929.0</v>
      </c>
      <c r="AM152" s="174">
        <v>6661.21</v>
      </c>
      <c r="AN152" s="256">
        <f t="shared" si="10"/>
        <v>0.002635579572</v>
      </c>
      <c r="AO152" s="154"/>
      <c r="AP152" s="154"/>
    </row>
    <row r="153">
      <c r="A153" s="154"/>
      <c r="B153" s="255">
        <v>45926.0</v>
      </c>
      <c r="C153" s="174">
        <v>10.21</v>
      </c>
      <c r="D153" s="256">
        <f t="shared" si="1"/>
        <v>0.008893280632</v>
      </c>
      <c r="E153" s="154"/>
      <c r="F153" s="255">
        <v>45926.0</v>
      </c>
      <c r="G153" s="174">
        <v>9.52</v>
      </c>
      <c r="H153" s="256">
        <f t="shared" si="2"/>
        <v>0.003161222339</v>
      </c>
      <c r="I153" s="154"/>
      <c r="J153" s="255">
        <v>45926.0</v>
      </c>
      <c r="K153" s="174">
        <v>18.34</v>
      </c>
      <c r="L153" s="256">
        <f t="shared" si="3"/>
        <v>-0.001089324619</v>
      </c>
      <c r="M153" s="154"/>
      <c r="N153" s="255">
        <v>45926.0</v>
      </c>
      <c r="O153" s="174">
        <v>1644.0</v>
      </c>
      <c r="P153" s="256">
        <f t="shared" si="4"/>
        <v>0.03266331658</v>
      </c>
      <c r="Q153" s="154"/>
      <c r="R153" s="255">
        <v>45926.0</v>
      </c>
      <c r="S153" s="174">
        <v>21.45</v>
      </c>
      <c r="T153" s="256">
        <f t="shared" si="5"/>
        <v>0.03323699422</v>
      </c>
      <c r="U153" s="154"/>
      <c r="V153" s="255">
        <v>45926.0</v>
      </c>
      <c r="W153" s="174">
        <v>1253.1</v>
      </c>
      <c r="X153" s="256">
        <f t="shared" si="6"/>
        <v>-0.01733061481</v>
      </c>
      <c r="Y153" s="154"/>
      <c r="Z153" s="255">
        <v>45926.0</v>
      </c>
      <c r="AA153" s="174">
        <v>1499.4</v>
      </c>
      <c r="AB153" s="256">
        <f t="shared" si="7"/>
        <v>-0.006822547526</v>
      </c>
      <c r="AC153" s="154"/>
      <c r="AD153" s="255">
        <v>45926.0</v>
      </c>
      <c r="AE153" s="174">
        <v>8.34</v>
      </c>
      <c r="AF153" s="256">
        <f t="shared" si="8"/>
        <v>0.02709359606</v>
      </c>
      <c r="AG153" s="257"/>
      <c r="AH153" s="255">
        <v>45926.0</v>
      </c>
      <c r="AI153" s="174">
        <v>338.9</v>
      </c>
      <c r="AJ153" s="256">
        <f t="shared" si="9"/>
        <v>-0.04789998595</v>
      </c>
      <c r="AK153" s="257"/>
      <c r="AL153" s="255">
        <v>45926.0</v>
      </c>
      <c r="AM153" s="174">
        <v>6643.7</v>
      </c>
      <c r="AN153" s="256">
        <f t="shared" si="10"/>
        <v>0.005901839896</v>
      </c>
      <c r="AO153" s="154"/>
      <c r="AP153" s="154"/>
    </row>
    <row r="154">
      <c r="A154" s="154"/>
      <c r="B154" s="255">
        <v>45925.0</v>
      </c>
      <c r="C154" s="174">
        <v>10.12</v>
      </c>
      <c r="D154" s="256">
        <f t="shared" si="1"/>
        <v>-0.02785782901</v>
      </c>
      <c r="E154" s="154"/>
      <c r="F154" s="255">
        <v>45925.0</v>
      </c>
      <c r="G154" s="174">
        <v>9.49</v>
      </c>
      <c r="H154" s="256">
        <f t="shared" si="2"/>
        <v>-0.02265705458</v>
      </c>
      <c r="I154" s="154"/>
      <c r="J154" s="255">
        <v>45925.0</v>
      </c>
      <c r="K154" s="174">
        <v>18.36</v>
      </c>
      <c r="L154" s="256">
        <f t="shared" si="3"/>
        <v>-0.04722366373</v>
      </c>
      <c r="M154" s="154"/>
      <c r="N154" s="255">
        <v>45925.0</v>
      </c>
      <c r="O154" s="174">
        <v>1592.0</v>
      </c>
      <c r="P154" s="256">
        <f t="shared" si="4"/>
        <v>-0.01301921885</v>
      </c>
      <c r="Q154" s="154"/>
      <c r="R154" s="255">
        <v>45925.0</v>
      </c>
      <c r="S154" s="174">
        <v>20.76</v>
      </c>
      <c r="T154" s="256">
        <f t="shared" si="5"/>
        <v>-0.02945301543</v>
      </c>
      <c r="U154" s="154"/>
      <c r="V154" s="255">
        <v>45925.0</v>
      </c>
      <c r="W154" s="174">
        <v>1275.2</v>
      </c>
      <c r="X154" s="256">
        <f t="shared" si="6"/>
        <v>-0.01764116786</v>
      </c>
      <c r="Y154" s="154"/>
      <c r="Z154" s="255">
        <v>45925.0</v>
      </c>
      <c r="AA154" s="174">
        <v>1509.7</v>
      </c>
      <c r="AB154" s="256">
        <f t="shared" si="7"/>
        <v>-0.01840052016</v>
      </c>
      <c r="AC154" s="154"/>
      <c r="AD154" s="255">
        <v>45925.0</v>
      </c>
      <c r="AE154" s="174">
        <v>8.12</v>
      </c>
      <c r="AF154" s="256">
        <f t="shared" si="8"/>
        <v>-0.05361305361</v>
      </c>
      <c r="AG154" s="257"/>
      <c r="AH154" s="255">
        <v>45925.0</v>
      </c>
      <c r="AI154" s="174">
        <v>355.95</v>
      </c>
      <c r="AJ154" s="256">
        <f t="shared" si="9"/>
        <v>-0.008357709987</v>
      </c>
      <c r="AK154" s="257"/>
      <c r="AL154" s="255">
        <v>45925.0</v>
      </c>
      <c r="AM154" s="174">
        <v>6604.72</v>
      </c>
      <c r="AN154" s="256">
        <f t="shared" si="10"/>
        <v>-0.005009061505</v>
      </c>
      <c r="AO154" s="154"/>
      <c r="AP154" s="154"/>
    </row>
    <row r="155">
      <c r="A155" s="154"/>
      <c r="B155" s="255">
        <v>45924.0</v>
      </c>
      <c r="C155" s="174">
        <v>10.41</v>
      </c>
      <c r="D155" s="256">
        <f t="shared" si="1"/>
        <v>-0.01233396584</v>
      </c>
      <c r="E155" s="154"/>
      <c r="F155" s="255">
        <v>45924.0</v>
      </c>
      <c r="G155" s="174">
        <v>9.71</v>
      </c>
      <c r="H155" s="256">
        <f t="shared" si="2"/>
        <v>0.01145833333</v>
      </c>
      <c r="I155" s="154"/>
      <c r="J155" s="255">
        <v>45924.0</v>
      </c>
      <c r="K155" s="174">
        <v>19.27</v>
      </c>
      <c r="L155" s="256">
        <f t="shared" si="3"/>
        <v>-0.009254498715</v>
      </c>
      <c r="M155" s="154"/>
      <c r="N155" s="255">
        <v>45924.0</v>
      </c>
      <c r="O155" s="174">
        <v>1613.0</v>
      </c>
      <c r="P155" s="256">
        <f t="shared" si="4"/>
        <v>-0.007384615385</v>
      </c>
      <c r="Q155" s="154"/>
      <c r="R155" s="255">
        <v>45924.0</v>
      </c>
      <c r="S155" s="174">
        <v>21.39</v>
      </c>
      <c r="T155" s="256">
        <f t="shared" si="5"/>
        <v>0.01326385599</v>
      </c>
      <c r="U155" s="154"/>
      <c r="V155" s="255">
        <v>45924.0</v>
      </c>
      <c r="W155" s="174">
        <v>1298.1</v>
      </c>
      <c r="X155" s="256">
        <f t="shared" si="6"/>
        <v>-0.007872210333</v>
      </c>
      <c r="Y155" s="154"/>
      <c r="Z155" s="255">
        <v>45924.0</v>
      </c>
      <c r="AA155" s="174">
        <v>1538.0</v>
      </c>
      <c r="AB155" s="256">
        <f t="shared" si="7"/>
        <v>0.007137712003</v>
      </c>
      <c r="AC155" s="154"/>
      <c r="AD155" s="255">
        <v>45924.0</v>
      </c>
      <c r="AE155" s="174">
        <v>8.58</v>
      </c>
      <c r="AF155" s="256">
        <f t="shared" si="8"/>
        <v>-0.01379310345</v>
      </c>
      <c r="AG155" s="257"/>
      <c r="AH155" s="255">
        <v>45924.0</v>
      </c>
      <c r="AI155" s="174">
        <v>358.95</v>
      </c>
      <c r="AJ155" s="256">
        <f t="shared" si="9"/>
        <v>-0.001529902643</v>
      </c>
      <c r="AK155" s="257"/>
      <c r="AL155" s="255">
        <v>45924.0</v>
      </c>
      <c r="AM155" s="174">
        <v>6637.97</v>
      </c>
      <c r="AN155" s="256">
        <f t="shared" si="10"/>
        <v>-0.00284666182</v>
      </c>
      <c r="AO155" s="154"/>
      <c r="AP155" s="154"/>
    </row>
    <row r="156">
      <c r="A156" s="154"/>
      <c r="B156" s="255">
        <v>45923.0</v>
      </c>
      <c r="C156" s="174">
        <v>10.54</v>
      </c>
      <c r="D156" s="256">
        <f t="shared" si="1"/>
        <v>-0.002838221381</v>
      </c>
      <c r="E156" s="154"/>
      <c r="F156" s="255">
        <v>45923.0</v>
      </c>
      <c r="G156" s="174">
        <v>9.6</v>
      </c>
      <c r="H156" s="256">
        <f t="shared" si="2"/>
        <v>-0.01940755873</v>
      </c>
      <c r="I156" s="154"/>
      <c r="J156" s="255">
        <v>45923.0</v>
      </c>
      <c r="K156" s="174">
        <v>19.45</v>
      </c>
      <c r="L156" s="256">
        <f t="shared" si="3"/>
        <v>0.03073661897</v>
      </c>
      <c r="M156" s="154"/>
      <c r="N156" s="255">
        <v>45923.0</v>
      </c>
      <c r="O156" s="174">
        <v>1625.0</v>
      </c>
      <c r="P156" s="256">
        <f t="shared" si="4"/>
        <v>-0.004898958971</v>
      </c>
      <c r="Q156" s="154"/>
      <c r="R156" s="255">
        <v>45923.0</v>
      </c>
      <c r="S156" s="174">
        <v>21.11</v>
      </c>
      <c r="T156" s="256">
        <f t="shared" si="5"/>
        <v>0.01441614608</v>
      </c>
      <c r="U156" s="154"/>
      <c r="V156" s="255">
        <v>45923.0</v>
      </c>
      <c r="W156" s="174">
        <v>1308.4</v>
      </c>
      <c r="X156" s="256">
        <f t="shared" si="6"/>
        <v>0.005378822806</v>
      </c>
      <c r="Y156" s="154"/>
      <c r="Z156" s="255">
        <v>45923.0</v>
      </c>
      <c r="AA156" s="174">
        <v>1527.1</v>
      </c>
      <c r="AB156" s="256">
        <f t="shared" si="7"/>
        <v>-0.009791207366</v>
      </c>
      <c r="AC156" s="154"/>
      <c r="AD156" s="255">
        <v>45923.0</v>
      </c>
      <c r="AE156" s="174">
        <v>8.7</v>
      </c>
      <c r="AF156" s="256">
        <f t="shared" si="8"/>
        <v>0.0861423221</v>
      </c>
      <c r="AG156" s="257"/>
      <c r="AH156" s="255">
        <v>45923.0</v>
      </c>
      <c r="AI156" s="174">
        <v>359.5</v>
      </c>
      <c r="AJ156" s="256">
        <f t="shared" si="9"/>
        <v>-0.007317409913</v>
      </c>
      <c r="AK156" s="257"/>
      <c r="AL156" s="255">
        <v>45923.0</v>
      </c>
      <c r="AM156" s="174">
        <v>6656.92</v>
      </c>
      <c r="AN156" s="256">
        <f t="shared" si="10"/>
        <v>-0.005502147526</v>
      </c>
      <c r="AO156" s="154"/>
      <c r="AP156" s="154"/>
    </row>
    <row r="157">
      <c r="A157" s="154"/>
      <c r="B157" s="255">
        <v>45922.0</v>
      </c>
      <c r="C157" s="174">
        <v>10.57</v>
      </c>
      <c r="D157" s="256">
        <f t="shared" si="1"/>
        <v>0.01148325359</v>
      </c>
      <c r="E157" s="154"/>
      <c r="F157" s="255">
        <v>45922.0</v>
      </c>
      <c r="G157" s="174">
        <v>9.79</v>
      </c>
      <c r="H157" s="256">
        <f t="shared" si="2"/>
        <v>-0.01111111111</v>
      </c>
      <c r="I157" s="154"/>
      <c r="J157" s="255">
        <v>45922.0</v>
      </c>
      <c r="K157" s="174">
        <v>18.87</v>
      </c>
      <c r="L157" s="256">
        <f t="shared" si="3"/>
        <v>0.02833787466</v>
      </c>
      <c r="M157" s="154"/>
      <c r="N157" s="255">
        <v>45922.0</v>
      </c>
      <c r="O157" s="174">
        <v>1633.0</v>
      </c>
      <c r="P157" s="256">
        <f t="shared" si="4"/>
        <v>0.01114551084</v>
      </c>
      <c r="Q157" s="154"/>
      <c r="R157" s="255">
        <v>45922.0</v>
      </c>
      <c r="S157" s="174">
        <v>20.81</v>
      </c>
      <c r="T157" s="256">
        <f t="shared" si="5"/>
        <v>-0.02116650988</v>
      </c>
      <c r="U157" s="154"/>
      <c r="V157" s="255">
        <v>45922.0</v>
      </c>
      <c r="W157" s="174">
        <v>1301.4</v>
      </c>
      <c r="X157" s="256">
        <f t="shared" si="6"/>
        <v>-0.01535900734</v>
      </c>
      <c r="Y157" s="154"/>
      <c r="Z157" s="255">
        <v>45922.0</v>
      </c>
      <c r="AA157" s="174">
        <v>1542.2</v>
      </c>
      <c r="AB157" s="256">
        <f t="shared" si="7"/>
        <v>-0.02132250286</v>
      </c>
      <c r="AC157" s="154"/>
      <c r="AD157" s="255">
        <v>45922.0</v>
      </c>
      <c r="AE157" s="174">
        <v>8.01</v>
      </c>
      <c r="AF157" s="256">
        <f t="shared" si="8"/>
        <v>0.01649746193</v>
      </c>
      <c r="AG157" s="257"/>
      <c r="AH157" s="255">
        <v>45922.0</v>
      </c>
      <c r="AI157" s="174">
        <v>362.15</v>
      </c>
      <c r="AJ157" s="256">
        <f t="shared" si="9"/>
        <v>-0.01909534128</v>
      </c>
      <c r="AK157" s="257"/>
      <c r="AL157" s="255">
        <v>45922.0</v>
      </c>
      <c r="AM157" s="174">
        <v>6693.75</v>
      </c>
      <c r="AN157" s="256">
        <f t="shared" si="10"/>
        <v>0.004410025869</v>
      </c>
      <c r="AO157" s="154"/>
      <c r="AP157" s="154"/>
    </row>
    <row r="158">
      <c r="A158" s="154"/>
      <c r="B158" s="255">
        <v>45919.0</v>
      </c>
      <c r="C158" s="174">
        <v>10.45</v>
      </c>
      <c r="D158" s="256">
        <f t="shared" si="1"/>
        <v>-0.03686635945</v>
      </c>
      <c r="E158" s="154"/>
      <c r="F158" s="255">
        <v>45919.0</v>
      </c>
      <c r="G158" s="174">
        <v>9.9</v>
      </c>
      <c r="H158" s="256">
        <f t="shared" si="2"/>
        <v>0.004056795132</v>
      </c>
      <c r="I158" s="154"/>
      <c r="J158" s="255">
        <v>45919.0</v>
      </c>
      <c r="K158" s="174">
        <v>18.35</v>
      </c>
      <c r="L158" s="256">
        <f t="shared" si="3"/>
        <v>-0.005420054201</v>
      </c>
      <c r="M158" s="154"/>
      <c r="N158" s="255">
        <v>45919.0</v>
      </c>
      <c r="O158" s="174">
        <v>1615.0</v>
      </c>
      <c r="P158" s="256">
        <f t="shared" si="4"/>
        <v>-0.01283618582</v>
      </c>
      <c r="Q158" s="154"/>
      <c r="R158" s="255">
        <v>45919.0</v>
      </c>
      <c r="S158" s="174">
        <v>21.26</v>
      </c>
      <c r="T158" s="256">
        <f t="shared" si="5"/>
        <v>-0.00561272217</v>
      </c>
      <c r="U158" s="154"/>
      <c r="V158" s="255">
        <v>45919.0</v>
      </c>
      <c r="W158" s="174">
        <v>1321.7</v>
      </c>
      <c r="X158" s="256">
        <f t="shared" si="6"/>
        <v>-0.0007560293339</v>
      </c>
      <c r="Y158" s="154"/>
      <c r="Z158" s="255">
        <v>45919.0</v>
      </c>
      <c r="AA158" s="174">
        <v>1575.8</v>
      </c>
      <c r="AB158" s="256">
        <f t="shared" si="7"/>
        <v>-0.001520719807</v>
      </c>
      <c r="AC158" s="154"/>
      <c r="AD158" s="255">
        <v>45919.0</v>
      </c>
      <c r="AE158" s="174">
        <v>7.88</v>
      </c>
      <c r="AF158" s="256">
        <f t="shared" si="8"/>
        <v>0.007672634271</v>
      </c>
      <c r="AG158" s="257"/>
      <c r="AH158" s="255">
        <v>45919.0</v>
      </c>
      <c r="AI158" s="174">
        <v>369.2</v>
      </c>
      <c r="AJ158" s="256">
        <f t="shared" si="9"/>
        <v>0.00217155266</v>
      </c>
      <c r="AK158" s="257"/>
      <c r="AL158" s="255">
        <v>45919.0</v>
      </c>
      <c r="AM158" s="174">
        <v>6664.36</v>
      </c>
      <c r="AN158" s="256">
        <f t="shared" si="10"/>
        <v>0.004885433567</v>
      </c>
      <c r="AO158" s="154"/>
      <c r="AP158" s="154"/>
    </row>
    <row r="159">
      <c r="A159" s="154"/>
      <c r="B159" s="255">
        <v>45918.0</v>
      </c>
      <c r="C159" s="174">
        <v>10.85</v>
      </c>
      <c r="D159" s="256">
        <f t="shared" si="1"/>
        <v>0.03827751196</v>
      </c>
      <c r="E159" s="154"/>
      <c r="F159" s="255">
        <v>45918.0</v>
      </c>
      <c r="G159" s="174">
        <v>9.86</v>
      </c>
      <c r="H159" s="256">
        <f t="shared" si="2"/>
        <v>0.02494802495</v>
      </c>
      <c r="I159" s="154"/>
      <c r="J159" s="255">
        <v>45918.0</v>
      </c>
      <c r="K159" s="174">
        <v>18.45</v>
      </c>
      <c r="L159" s="256">
        <f t="shared" si="3"/>
        <v>0.003808487486</v>
      </c>
      <c r="M159" s="154"/>
      <c r="N159" s="255">
        <v>45918.0</v>
      </c>
      <c r="O159" s="174">
        <v>1636.0</v>
      </c>
      <c r="P159" s="256">
        <f t="shared" si="4"/>
        <v>0.00553165335</v>
      </c>
      <c r="Q159" s="154"/>
      <c r="R159" s="255">
        <v>45918.0</v>
      </c>
      <c r="S159" s="174">
        <v>21.38</v>
      </c>
      <c r="T159" s="256">
        <f t="shared" si="5"/>
        <v>0.01183151917</v>
      </c>
      <c r="U159" s="154"/>
      <c r="V159" s="255">
        <v>45918.0</v>
      </c>
      <c r="W159" s="174">
        <v>1322.7</v>
      </c>
      <c r="X159" s="256">
        <f t="shared" si="6"/>
        <v>0.008616745463</v>
      </c>
      <c r="Y159" s="154"/>
      <c r="Z159" s="255">
        <v>45918.0</v>
      </c>
      <c r="AA159" s="174">
        <v>1578.2</v>
      </c>
      <c r="AB159" s="256">
        <f t="shared" si="7"/>
        <v>0.01192613491</v>
      </c>
      <c r="AC159" s="154"/>
      <c r="AD159" s="255">
        <v>45918.0</v>
      </c>
      <c r="AE159" s="174">
        <v>7.82</v>
      </c>
      <c r="AF159" s="256">
        <f t="shared" si="8"/>
        <v>-0.01387137453</v>
      </c>
      <c r="AG159" s="257"/>
      <c r="AH159" s="255">
        <v>45918.0</v>
      </c>
      <c r="AI159" s="174">
        <v>368.4</v>
      </c>
      <c r="AJ159" s="256">
        <f t="shared" si="9"/>
        <v>0.0396500635</v>
      </c>
      <c r="AK159" s="257"/>
      <c r="AL159" s="255">
        <v>45918.0</v>
      </c>
      <c r="AM159" s="174">
        <v>6631.96</v>
      </c>
      <c r="AN159" s="256">
        <f t="shared" si="10"/>
        <v>0.00478913997</v>
      </c>
      <c r="AO159" s="154"/>
      <c r="AP159" s="154"/>
    </row>
    <row r="160">
      <c r="A160" s="154"/>
      <c r="B160" s="255">
        <v>45917.0</v>
      </c>
      <c r="C160" s="174">
        <v>10.45</v>
      </c>
      <c r="D160" s="256">
        <f t="shared" si="1"/>
        <v>0.008687258687</v>
      </c>
      <c r="E160" s="154"/>
      <c r="F160" s="255">
        <v>45917.0</v>
      </c>
      <c r="G160" s="174">
        <v>9.62</v>
      </c>
      <c r="H160" s="256">
        <f t="shared" si="2"/>
        <v>0.006276150628</v>
      </c>
      <c r="I160" s="154"/>
      <c r="J160" s="255">
        <v>45917.0</v>
      </c>
      <c r="K160" s="174">
        <v>18.38</v>
      </c>
      <c r="L160" s="256">
        <f t="shared" si="3"/>
        <v>-0.01605995717</v>
      </c>
      <c r="M160" s="154"/>
      <c r="N160" s="255">
        <v>45917.0</v>
      </c>
      <c r="O160" s="174">
        <v>1627.0</v>
      </c>
      <c r="P160" s="256">
        <f t="shared" si="4"/>
        <v>0.006806930693</v>
      </c>
      <c r="Q160" s="154"/>
      <c r="R160" s="255">
        <v>45917.0</v>
      </c>
      <c r="S160" s="174">
        <v>21.13</v>
      </c>
      <c r="T160" s="256">
        <f t="shared" si="5"/>
        <v>-0.01123069724</v>
      </c>
      <c r="U160" s="154"/>
      <c r="V160" s="255">
        <v>45917.0</v>
      </c>
      <c r="W160" s="174">
        <v>1311.4</v>
      </c>
      <c r="X160" s="256">
        <f t="shared" si="6"/>
        <v>0.0007631257631</v>
      </c>
      <c r="Y160" s="154"/>
      <c r="Z160" s="255">
        <v>45917.0</v>
      </c>
      <c r="AA160" s="174">
        <v>1559.6</v>
      </c>
      <c r="AB160" s="256">
        <f t="shared" si="7"/>
        <v>0.0003848620911</v>
      </c>
      <c r="AC160" s="154"/>
      <c r="AD160" s="255">
        <v>45917.0</v>
      </c>
      <c r="AE160" s="174">
        <v>7.93</v>
      </c>
      <c r="AF160" s="256">
        <f t="shared" si="8"/>
        <v>-0.003768844221</v>
      </c>
      <c r="AG160" s="257"/>
      <c r="AH160" s="255">
        <v>45917.0</v>
      </c>
      <c r="AI160" s="174">
        <v>354.35</v>
      </c>
      <c r="AJ160" s="256">
        <f t="shared" si="9"/>
        <v>-0.01624097723</v>
      </c>
      <c r="AK160" s="257"/>
      <c r="AL160" s="255">
        <v>45917.0</v>
      </c>
      <c r="AM160" s="174">
        <v>6600.35</v>
      </c>
      <c r="AN160" s="256">
        <f t="shared" si="10"/>
        <v>-0.0009702183824</v>
      </c>
      <c r="AO160" s="154"/>
      <c r="AP160" s="154"/>
    </row>
    <row r="161">
      <c r="A161" s="154"/>
      <c r="B161" s="255">
        <v>45916.0</v>
      </c>
      <c r="C161" s="174">
        <v>10.36</v>
      </c>
      <c r="D161" s="256">
        <f t="shared" si="1"/>
        <v>-0.003846153846</v>
      </c>
      <c r="E161" s="154"/>
      <c r="F161" s="255">
        <v>45916.0</v>
      </c>
      <c r="G161" s="174">
        <v>9.56</v>
      </c>
      <c r="H161" s="256">
        <f t="shared" si="2"/>
        <v>-0.004166666667</v>
      </c>
      <c r="I161" s="154"/>
      <c r="J161" s="255">
        <v>45916.0</v>
      </c>
      <c r="K161" s="174">
        <v>18.68</v>
      </c>
      <c r="L161" s="256">
        <f t="shared" si="3"/>
        <v>-0.01111699312</v>
      </c>
      <c r="M161" s="154"/>
      <c r="N161" s="255">
        <v>45916.0</v>
      </c>
      <c r="O161" s="174">
        <v>1616.0</v>
      </c>
      <c r="P161" s="256">
        <f t="shared" si="4"/>
        <v>0.005600497822</v>
      </c>
      <c r="Q161" s="154"/>
      <c r="R161" s="255">
        <v>45916.0</v>
      </c>
      <c r="S161" s="174">
        <v>21.37</v>
      </c>
      <c r="T161" s="256">
        <f t="shared" si="5"/>
        <v>-0.01747126437</v>
      </c>
      <c r="U161" s="154"/>
      <c r="V161" s="255">
        <v>45916.0</v>
      </c>
      <c r="W161" s="174">
        <v>1310.4</v>
      </c>
      <c r="X161" s="256">
        <f t="shared" si="6"/>
        <v>0.007380073801</v>
      </c>
      <c r="Y161" s="154"/>
      <c r="Z161" s="255">
        <v>45916.0</v>
      </c>
      <c r="AA161" s="174">
        <v>1559.0</v>
      </c>
      <c r="AB161" s="256">
        <f t="shared" si="7"/>
        <v>0.006910805399</v>
      </c>
      <c r="AC161" s="154"/>
      <c r="AD161" s="255">
        <v>45916.0</v>
      </c>
      <c r="AE161" s="174">
        <v>7.96</v>
      </c>
      <c r="AF161" s="256">
        <f t="shared" si="8"/>
        <v>-0.0197044335</v>
      </c>
      <c r="AG161" s="257"/>
      <c r="AH161" s="255">
        <v>45916.0</v>
      </c>
      <c r="AI161" s="174">
        <v>360.2</v>
      </c>
      <c r="AJ161" s="256">
        <f t="shared" si="9"/>
        <v>0.005443126308</v>
      </c>
      <c r="AK161" s="257"/>
      <c r="AL161" s="255">
        <v>45916.0</v>
      </c>
      <c r="AM161" s="174">
        <v>6606.76</v>
      </c>
      <c r="AN161" s="256">
        <f t="shared" si="10"/>
        <v>-0.001287927344</v>
      </c>
      <c r="AO161" s="154"/>
      <c r="AP161" s="154"/>
    </row>
    <row r="162">
      <c r="A162" s="154"/>
      <c r="B162" s="255">
        <v>45915.0</v>
      </c>
      <c r="C162" s="174">
        <v>10.4</v>
      </c>
      <c r="D162" s="256">
        <f t="shared" si="1"/>
        <v>-0.0234741784</v>
      </c>
      <c r="E162" s="154"/>
      <c r="F162" s="255">
        <v>45915.0</v>
      </c>
      <c r="G162" s="174">
        <v>9.6</v>
      </c>
      <c r="H162" s="256">
        <f t="shared" si="2"/>
        <v>-0.03614457831</v>
      </c>
      <c r="I162" s="154"/>
      <c r="J162" s="255">
        <v>45915.0</v>
      </c>
      <c r="K162" s="174">
        <v>18.89</v>
      </c>
      <c r="L162" s="256">
        <f t="shared" si="3"/>
        <v>-0.05218263924</v>
      </c>
      <c r="M162" s="154"/>
      <c r="N162" s="255">
        <v>45915.0</v>
      </c>
      <c r="O162" s="174">
        <v>1607.0</v>
      </c>
      <c r="P162" s="256">
        <f t="shared" si="4"/>
        <v>-0.01531862745</v>
      </c>
      <c r="Q162" s="154"/>
      <c r="R162" s="255">
        <v>45915.0</v>
      </c>
      <c r="S162" s="174">
        <v>21.75</v>
      </c>
      <c r="T162" s="256">
        <f t="shared" si="5"/>
        <v>-0.02334979793</v>
      </c>
      <c r="U162" s="154"/>
      <c r="V162" s="255">
        <v>45915.0</v>
      </c>
      <c r="W162" s="174">
        <v>1300.8</v>
      </c>
      <c r="X162" s="256">
        <f t="shared" si="6"/>
        <v>-0.01207564365</v>
      </c>
      <c r="Y162" s="154"/>
      <c r="Z162" s="255">
        <v>45915.0</v>
      </c>
      <c r="AA162" s="174">
        <v>1548.3</v>
      </c>
      <c r="AB162" s="256">
        <f t="shared" si="7"/>
        <v>-0.01670265464</v>
      </c>
      <c r="AC162" s="154"/>
      <c r="AD162" s="255">
        <v>45915.0</v>
      </c>
      <c r="AE162" s="174">
        <v>8.12</v>
      </c>
      <c r="AF162" s="256">
        <f t="shared" si="8"/>
        <v>0.01120797011</v>
      </c>
      <c r="AG162" s="257"/>
      <c r="AH162" s="255">
        <v>45915.0</v>
      </c>
      <c r="AI162" s="174">
        <v>358.25</v>
      </c>
      <c r="AJ162" s="256">
        <f t="shared" si="9"/>
        <v>-0.01903066813</v>
      </c>
      <c r="AK162" s="257"/>
      <c r="AL162" s="255">
        <v>45915.0</v>
      </c>
      <c r="AM162" s="174">
        <v>6615.28</v>
      </c>
      <c r="AN162" s="256">
        <f t="shared" si="10"/>
        <v>0.004706657817</v>
      </c>
      <c r="AO162" s="154"/>
      <c r="AP162" s="154"/>
    </row>
    <row r="163">
      <c r="A163" s="154"/>
      <c r="B163" s="255">
        <v>45912.0</v>
      </c>
      <c r="C163" s="174">
        <v>10.65</v>
      </c>
      <c r="D163" s="256">
        <f t="shared" si="1"/>
        <v>-0.0009380863039</v>
      </c>
      <c r="E163" s="154"/>
      <c r="F163" s="255">
        <v>45912.0</v>
      </c>
      <c r="G163" s="174">
        <v>9.96</v>
      </c>
      <c r="H163" s="256">
        <f t="shared" si="2"/>
        <v>-0.02064896755</v>
      </c>
      <c r="I163" s="154"/>
      <c r="J163" s="255">
        <v>45912.0</v>
      </c>
      <c r="K163" s="174">
        <v>19.93</v>
      </c>
      <c r="L163" s="256">
        <f t="shared" si="3"/>
        <v>0.002011060835</v>
      </c>
      <c r="M163" s="154"/>
      <c r="N163" s="255">
        <v>45912.0</v>
      </c>
      <c r="O163" s="174">
        <v>1632.0</v>
      </c>
      <c r="P163" s="256">
        <f t="shared" si="4"/>
        <v>-0.01686746988</v>
      </c>
      <c r="Q163" s="154"/>
      <c r="R163" s="255">
        <v>45912.0</v>
      </c>
      <c r="S163" s="174">
        <v>22.27</v>
      </c>
      <c r="T163" s="256">
        <f t="shared" si="5"/>
        <v>-0.01241685144</v>
      </c>
      <c r="U163" s="154"/>
      <c r="V163" s="255">
        <v>45912.0</v>
      </c>
      <c r="W163" s="174">
        <v>1316.7</v>
      </c>
      <c r="X163" s="256">
        <f t="shared" si="6"/>
        <v>0.01043665106</v>
      </c>
      <c r="Y163" s="154"/>
      <c r="Z163" s="255">
        <v>45912.0</v>
      </c>
      <c r="AA163" s="174">
        <v>1574.6</v>
      </c>
      <c r="AB163" s="256">
        <f t="shared" si="7"/>
        <v>0.008841619682</v>
      </c>
      <c r="AC163" s="154"/>
      <c r="AD163" s="255">
        <v>45912.0</v>
      </c>
      <c r="AE163" s="174">
        <v>8.03</v>
      </c>
      <c r="AF163" s="256">
        <f t="shared" si="8"/>
        <v>-0.00248447205</v>
      </c>
      <c r="AG163" s="257"/>
      <c r="AH163" s="255">
        <v>45912.0</v>
      </c>
      <c r="AI163" s="174">
        <v>365.2</v>
      </c>
      <c r="AJ163" s="256">
        <f t="shared" si="9"/>
        <v>0.003158906744</v>
      </c>
      <c r="AK163" s="257"/>
      <c r="AL163" s="255">
        <v>45912.0</v>
      </c>
      <c r="AM163" s="174">
        <v>6584.29</v>
      </c>
      <c r="AN163" s="256">
        <f t="shared" si="10"/>
        <v>-0.0004827346462</v>
      </c>
      <c r="AO163" s="154"/>
      <c r="AP163" s="154"/>
    </row>
    <row r="164">
      <c r="A164" s="154"/>
      <c r="B164" s="255">
        <v>45911.0</v>
      </c>
      <c r="C164" s="174">
        <v>10.66</v>
      </c>
      <c r="D164" s="256">
        <f t="shared" si="1"/>
        <v>0.03898635478</v>
      </c>
      <c r="E164" s="154"/>
      <c r="F164" s="255">
        <v>45911.0</v>
      </c>
      <c r="G164" s="174">
        <v>10.17</v>
      </c>
      <c r="H164" s="256">
        <f t="shared" si="2"/>
        <v>-0.0068359375</v>
      </c>
      <c r="I164" s="154"/>
      <c r="J164" s="255">
        <v>45911.0</v>
      </c>
      <c r="K164" s="174">
        <v>19.89</v>
      </c>
      <c r="L164" s="256">
        <f t="shared" si="3"/>
        <v>0.01635155851</v>
      </c>
      <c r="M164" s="154"/>
      <c r="N164" s="255">
        <v>45911.0</v>
      </c>
      <c r="O164" s="174">
        <v>1660.0</v>
      </c>
      <c r="P164" s="256">
        <f t="shared" si="4"/>
        <v>-0.002403846154</v>
      </c>
      <c r="Q164" s="154"/>
      <c r="R164" s="255">
        <v>45911.0</v>
      </c>
      <c r="S164" s="174">
        <v>22.55</v>
      </c>
      <c r="T164" s="256">
        <f t="shared" si="5"/>
        <v>0.01943942134</v>
      </c>
      <c r="U164" s="154"/>
      <c r="V164" s="255">
        <v>45911.0</v>
      </c>
      <c r="W164" s="174">
        <v>1303.1</v>
      </c>
      <c r="X164" s="256">
        <f t="shared" si="6"/>
        <v>-0.0008434289219</v>
      </c>
      <c r="Y164" s="154"/>
      <c r="Z164" s="255">
        <v>45911.0</v>
      </c>
      <c r="AA164" s="174">
        <v>1560.8</v>
      </c>
      <c r="AB164" s="256">
        <f t="shared" si="7"/>
        <v>-0.001918403888</v>
      </c>
      <c r="AC164" s="154"/>
      <c r="AD164" s="255">
        <v>45911.0</v>
      </c>
      <c r="AE164" s="174">
        <v>8.05</v>
      </c>
      <c r="AF164" s="256">
        <f t="shared" si="8"/>
        <v>0.002490660025</v>
      </c>
      <c r="AG164" s="257"/>
      <c r="AH164" s="255">
        <v>45911.0</v>
      </c>
      <c r="AI164" s="174">
        <v>364.05</v>
      </c>
      <c r="AJ164" s="256">
        <f t="shared" si="9"/>
        <v>-0.0004118616145</v>
      </c>
      <c r="AK164" s="257"/>
      <c r="AL164" s="255">
        <v>45911.0</v>
      </c>
      <c r="AM164" s="174">
        <v>6587.47</v>
      </c>
      <c r="AN164" s="256">
        <f t="shared" si="10"/>
        <v>0.008485863528</v>
      </c>
      <c r="AO164" s="154"/>
      <c r="AP164" s="154"/>
    </row>
    <row r="165">
      <c r="A165" s="154"/>
      <c r="B165" s="255">
        <v>45910.0</v>
      </c>
      <c r="C165" s="174">
        <v>10.26</v>
      </c>
      <c r="D165" s="256">
        <f t="shared" si="1"/>
        <v>-0.0106075217</v>
      </c>
      <c r="E165" s="154"/>
      <c r="F165" s="255">
        <v>45910.0</v>
      </c>
      <c r="G165" s="174">
        <v>10.24</v>
      </c>
      <c r="H165" s="256">
        <f t="shared" si="2"/>
        <v>-0.02009569378</v>
      </c>
      <c r="I165" s="154"/>
      <c r="J165" s="255">
        <v>45910.0</v>
      </c>
      <c r="K165" s="174">
        <v>19.57</v>
      </c>
      <c r="L165" s="256">
        <f t="shared" si="3"/>
        <v>-0.005589430894</v>
      </c>
      <c r="M165" s="154"/>
      <c r="N165" s="255">
        <v>45910.0</v>
      </c>
      <c r="O165" s="174">
        <v>1664.0</v>
      </c>
      <c r="P165" s="256">
        <f t="shared" si="4"/>
        <v>-0.0159668835</v>
      </c>
      <c r="Q165" s="154"/>
      <c r="R165" s="255">
        <v>45910.0</v>
      </c>
      <c r="S165" s="174">
        <v>22.12</v>
      </c>
      <c r="T165" s="256">
        <f t="shared" si="5"/>
        <v>-0.007181328546</v>
      </c>
      <c r="U165" s="154"/>
      <c r="V165" s="255">
        <v>45910.0</v>
      </c>
      <c r="W165" s="174">
        <v>1304.2</v>
      </c>
      <c r="X165" s="256">
        <f t="shared" si="6"/>
        <v>0.009989932626</v>
      </c>
      <c r="Y165" s="154"/>
      <c r="Z165" s="255">
        <v>45910.0</v>
      </c>
      <c r="AA165" s="174">
        <v>1563.8</v>
      </c>
      <c r="AB165" s="256">
        <f t="shared" si="7"/>
        <v>0.00786285125</v>
      </c>
      <c r="AC165" s="154"/>
      <c r="AD165" s="255">
        <v>45910.0</v>
      </c>
      <c r="AE165" s="174">
        <v>8.03</v>
      </c>
      <c r="AF165" s="256">
        <f t="shared" si="8"/>
        <v>-0.009864364982</v>
      </c>
      <c r="AG165" s="257"/>
      <c r="AH165" s="255">
        <v>45910.0</v>
      </c>
      <c r="AI165" s="174">
        <v>364.2</v>
      </c>
      <c r="AJ165" s="256">
        <f t="shared" si="9"/>
        <v>-0.0008230452675</v>
      </c>
      <c r="AK165" s="257"/>
      <c r="AL165" s="255">
        <v>45910.0</v>
      </c>
      <c r="AM165" s="174">
        <v>6532.04</v>
      </c>
      <c r="AN165" s="256">
        <f t="shared" si="10"/>
        <v>0.00298344289</v>
      </c>
      <c r="AO165" s="154"/>
      <c r="AP165" s="154"/>
    </row>
    <row r="166">
      <c r="A166" s="154"/>
      <c r="B166" s="255">
        <v>45909.0</v>
      </c>
      <c r="C166" s="174">
        <v>10.37</v>
      </c>
      <c r="D166" s="256">
        <f t="shared" si="1"/>
        <v>-0.009551098376</v>
      </c>
      <c r="E166" s="154"/>
      <c r="F166" s="255">
        <v>45909.0</v>
      </c>
      <c r="G166" s="174">
        <v>10.45</v>
      </c>
      <c r="H166" s="256">
        <f t="shared" si="2"/>
        <v>-0.00286259542</v>
      </c>
      <c r="I166" s="154"/>
      <c r="J166" s="255">
        <v>45909.0</v>
      </c>
      <c r="K166" s="174">
        <v>19.68</v>
      </c>
      <c r="L166" s="256">
        <f t="shared" si="3"/>
        <v>0.01968911917</v>
      </c>
      <c r="M166" s="154"/>
      <c r="N166" s="255">
        <v>45909.0</v>
      </c>
      <c r="O166" s="174">
        <v>1691.0</v>
      </c>
      <c r="P166" s="256">
        <f t="shared" si="4"/>
        <v>-0.004708652148</v>
      </c>
      <c r="Q166" s="154"/>
      <c r="R166" s="255">
        <v>45909.0</v>
      </c>
      <c r="S166" s="174">
        <v>22.28</v>
      </c>
      <c r="T166" s="256">
        <f t="shared" si="5"/>
        <v>-0.00223914017</v>
      </c>
      <c r="U166" s="154"/>
      <c r="V166" s="255">
        <v>45909.0</v>
      </c>
      <c r="W166" s="174">
        <v>1291.3</v>
      </c>
      <c r="X166" s="256">
        <f t="shared" si="6"/>
        <v>0.0325443787</v>
      </c>
      <c r="Y166" s="154"/>
      <c r="Z166" s="255">
        <v>45909.0</v>
      </c>
      <c r="AA166" s="174">
        <v>1551.6</v>
      </c>
      <c r="AB166" s="256">
        <f t="shared" si="7"/>
        <v>0.00674798858</v>
      </c>
      <c r="AC166" s="154"/>
      <c r="AD166" s="255">
        <v>45909.0</v>
      </c>
      <c r="AE166" s="174">
        <v>8.11</v>
      </c>
      <c r="AF166" s="256">
        <f t="shared" si="8"/>
        <v>-0.00612745098</v>
      </c>
      <c r="AG166" s="257"/>
      <c r="AH166" s="255">
        <v>45909.0</v>
      </c>
      <c r="AI166" s="174">
        <v>364.5</v>
      </c>
      <c r="AJ166" s="256">
        <f t="shared" si="9"/>
        <v>0.0009611423864</v>
      </c>
      <c r="AK166" s="257"/>
      <c r="AL166" s="255">
        <v>45909.0</v>
      </c>
      <c r="AM166" s="174">
        <v>6512.61</v>
      </c>
      <c r="AN166" s="256">
        <f t="shared" si="10"/>
        <v>0.002688159627</v>
      </c>
      <c r="AO166" s="154"/>
      <c r="AP166" s="154"/>
    </row>
    <row r="167">
      <c r="A167" s="154"/>
      <c r="B167" s="255">
        <v>45908.0</v>
      </c>
      <c r="C167" s="174">
        <v>10.47</v>
      </c>
      <c r="D167" s="256">
        <f t="shared" si="1"/>
        <v>0.008670520231</v>
      </c>
      <c r="E167" s="154"/>
      <c r="F167" s="255">
        <v>45908.0</v>
      </c>
      <c r="G167" s="174">
        <v>10.48</v>
      </c>
      <c r="H167" s="256">
        <f t="shared" si="2"/>
        <v>-0.001904761905</v>
      </c>
      <c r="I167" s="154"/>
      <c r="J167" s="255">
        <v>45908.0</v>
      </c>
      <c r="K167" s="174">
        <v>19.3</v>
      </c>
      <c r="L167" s="256">
        <f t="shared" si="3"/>
        <v>0.01846965699</v>
      </c>
      <c r="M167" s="154"/>
      <c r="N167" s="255">
        <v>45908.0</v>
      </c>
      <c r="O167" s="174">
        <v>1699.0</v>
      </c>
      <c r="P167" s="256">
        <f t="shared" si="4"/>
        <v>-0.01220930233</v>
      </c>
      <c r="Q167" s="154"/>
      <c r="R167" s="255">
        <v>45908.0</v>
      </c>
      <c r="S167" s="174">
        <v>22.33</v>
      </c>
      <c r="T167" s="256">
        <f t="shared" si="5"/>
        <v>-0.01412803532</v>
      </c>
      <c r="U167" s="154"/>
      <c r="V167" s="255">
        <v>45908.0</v>
      </c>
      <c r="W167" s="174">
        <v>1250.6</v>
      </c>
      <c r="X167" s="256">
        <f t="shared" si="6"/>
        <v>-0.01380017349</v>
      </c>
      <c r="Y167" s="154"/>
      <c r="Z167" s="255">
        <v>45908.0</v>
      </c>
      <c r="AA167" s="174">
        <v>1541.2</v>
      </c>
      <c r="AB167" s="256">
        <f t="shared" si="7"/>
        <v>-0.007853740183</v>
      </c>
      <c r="AC167" s="154"/>
      <c r="AD167" s="255">
        <v>45908.0</v>
      </c>
      <c r="AE167" s="174">
        <v>8.16</v>
      </c>
      <c r="AF167" s="256">
        <f t="shared" si="8"/>
        <v>-0.02040816327</v>
      </c>
      <c r="AG167" s="257"/>
      <c r="AH167" s="255">
        <v>45908.0</v>
      </c>
      <c r="AI167" s="174">
        <v>364.15</v>
      </c>
      <c r="AJ167" s="256">
        <f t="shared" si="9"/>
        <v>0.001237283475</v>
      </c>
      <c r="AK167" s="257"/>
      <c r="AL167" s="255">
        <v>45908.0</v>
      </c>
      <c r="AM167" s="174">
        <v>6495.15</v>
      </c>
      <c r="AN167" s="256">
        <f t="shared" si="10"/>
        <v>0.002105993983</v>
      </c>
      <c r="AO167" s="154"/>
      <c r="AP167" s="154"/>
    </row>
    <row r="168">
      <c r="A168" s="154"/>
      <c r="B168" s="255">
        <v>45905.0</v>
      </c>
      <c r="C168" s="174">
        <v>10.38</v>
      </c>
      <c r="D168" s="256">
        <f t="shared" si="1"/>
        <v>0.07231404959</v>
      </c>
      <c r="E168" s="154"/>
      <c r="F168" s="255">
        <v>45905.0</v>
      </c>
      <c r="G168" s="174">
        <v>10.5</v>
      </c>
      <c r="H168" s="256">
        <f t="shared" si="2"/>
        <v>0.01645692159</v>
      </c>
      <c r="I168" s="154"/>
      <c r="J168" s="255">
        <v>45905.0</v>
      </c>
      <c r="K168" s="174">
        <v>18.95</v>
      </c>
      <c r="L168" s="256">
        <f t="shared" si="3"/>
        <v>0.02543290043</v>
      </c>
      <c r="M168" s="154"/>
      <c r="N168" s="255">
        <v>45905.0</v>
      </c>
      <c r="O168" s="174">
        <v>1720.0</v>
      </c>
      <c r="P168" s="256">
        <f t="shared" si="4"/>
        <v>-0.001741149158</v>
      </c>
      <c r="Q168" s="154"/>
      <c r="R168" s="255">
        <v>45905.0</v>
      </c>
      <c r="S168" s="174">
        <v>22.65</v>
      </c>
      <c r="T168" s="256">
        <f t="shared" si="5"/>
        <v>-0.02747960498</v>
      </c>
      <c r="U168" s="154"/>
      <c r="V168" s="255">
        <v>45905.0</v>
      </c>
      <c r="W168" s="174">
        <v>1268.1</v>
      </c>
      <c r="X168" s="256">
        <f t="shared" si="6"/>
        <v>0.01205107741</v>
      </c>
      <c r="Y168" s="154"/>
      <c r="Z168" s="255">
        <v>45905.0</v>
      </c>
      <c r="AA168" s="174">
        <v>1553.4</v>
      </c>
      <c r="AB168" s="256">
        <f t="shared" si="7"/>
        <v>-0.01546457092</v>
      </c>
      <c r="AC168" s="154"/>
      <c r="AD168" s="255">
        <v>45905.0</v>
      </c>
      <c r="AE168" s="174">
        <v>8.33</v>
      </c>
      <c r="AF168" s="256">
        <f t="shared" si="8"/>
        <v>0.03606965174</v>
      </c>
      <c r="AG168" s="257"/>
      <c r="AH168" s="255">
        <v>45905.0</v>
      </c>
      <c r="AI168" s="174">
        <v>363.7</v>
      </c>
      <c r="AJ168" s="256">
        <f t="shared" si="9"/>
        <v>0.01919574051</v>
      </c>
      <c r="AK168" s="257"/>
      <c r="AL168" s="255">
        <v>45905.0</v>
      </c>
      <c r="AM168" s="174">
        <v>6481.5</v>
      </c>
      <c r="AN168" s="256">
        <f t="shared" si="10"/>
        <v>-0.003165141001</v>
      </c>
      <c r="AO168" s="154"/>
      <c r="AP168" s="154"/>
    </row>
    <row r="169">
      <c r="A169" s="154"/>
      <c r="B169" s="255">
        <v>45904.0</v>
      </c>
      <c r="C169" s="174">
        <v>9.68</v>
      </c>
      <c r="D169" s="256">
        <f t="shared" si="1"/>
        <v>-0.01525940997</v>
      </c>
      <c r="E169" s="154"/>
      <c r="F169" s="255">
        <v>45904.0</v>
      </c>
      <c r="G169" s="174">
        <v>10.33</v>
      </c>
      <c r="H169" s="256">
        <f t="shared" si="2"/>
        <v>-0.02085308057</v>
      </c>
      <c r="I169" s="154"/>
      <c r="J169" s="255">
        <v>45904.0</v>
      </c>
      <c r="K169" s="174">
        <v>18.48</v>
      </c>
      <c r="L169" s="256">
        <f t="shared" si="3"/>
        <v>-0.01492537313</v>
      </c>
      <c r="M169" s="154"/>
      <c r="N169" s="255">
        <v>45904.0</v>
      </c>
      <c r="O169" s="174">
        <v>1723.0</v>
      </c>
      <c r="P169" s="256">
        <f t="shared" si="4"/>
        <v>-0.0103388857</v>
      </c>
      <c r="Q169" s="154"/>
      <c r="R169" s="255">
        <v>45904.0</v>
      </c>
      <c r="S169" s="174">
        <v>23.29</v>
      </c>
      <c r="T169" s="256">
        <f t="shared" si="5"/>
        <v>-0.001714530647</v>
      </c>
      <c r="U169" s="154"/>
      <c r="V169" s="255">
        <v>45904.0</v>
      </c>
      <c r="W169" s="174">
        <v>1253.0</v>
      </c>
      <c r="X169" s="256">
        <f t="shared" si="6"/>
        <v>-0.007288860719</v>
      </c>
      <c r="Y169" s="154"/>
      <c r="Z169" s="255">
        <v>45904.0</v>
      </c>
      <c r="AA169" s="174">
        <v>1577.8</v>
      </c>
      <c r="AB169" s="256">
        <f t="shared" si="7"/>
        <v>-0.000380131779</v>
      </c>
      <c r="AC169" s="154"/>
      <c r="AD169" s="255">
        <v>45904.0</v>
      </c>
      <c r="AE169" s="174">
        <v>8.04</v>
      </c>
      <c r="AF169" s="256">
        <f t="shared" si="8"/>
        <v>0.01132075472</v>
      </c>
      <c r="AG169" s="257"/>
      <c r="AH169" s="255">
        <v>45904.0</v>
      </c>
      <c r="AI169" s="174">
        <v>356.85</v>
      </c>
      <c r="AJ169" s="256">
        <f t="shared" si="9"/>
        <v>-0.01299958512</v>
      </c>
      <c r="AK169" s="257"/>
      <c r="AL169" s="255">
        <v>45904.0</v>
      </c>
      <c r="AM169" s="174">
        <v>6502.08</v>
      </c>
      <c r="AN169" s="256">
        <f t="shared" si="10"/>
        <v>0.008346437644</v>
      </c>
      <c r="AO169" s="154"/>
      <c r="AP169" s="154"/>
    </row>
    <row r="170">
      <c r="A170" s="154"/>
      <c r="B170" s="255">
        <v>45903.0</v>
      </c>
      <c r="C170" s="174">
        <v>9.83</v>
      </c>
      <c r="D170" s="256">
        <f t="shared" si="1"/>
        <v>0.04352441614</v>
      </c>
      <c r="E170" s="154"/>
      <c r="F170" s="255">
        <v>45903.0</v>
      </c>
      <c r="G170" s="174">
        <v>10.55</v>
      </c>
      <c r="H170" s="256">
        <f t="shared" si="2"/>
        <v>-0.000946969697</v>
      </c>
      <c r="I170" s="154"/>
      <c r="J170" s="255">
        <v>45903.0</v>
      </c>
      <c r="K170" s="174">
        <v>18.76</v>
      </c>
      <c r="L170" s="256">
        <f t="shared" si="3"/>
        <v>0.0005333333333</v>
      </c>
      <c r="M170" s="154"/>
      <c r="N170" s="255">
        <v>45903.0</v>
      </c>
      <c r="O170" s="174">
        <v>1741.0</v>
      </c>
      <c r="P170" s="256">
        <f t="shared" si="4"/>
        <v>0.001726121979</v>
      </c>
      <c r="Q170" s="154"/>
      <c r="R170" s="255">
        <v>45903.0</v>
      </c>
      <c r="S170" s="174">
        <v>23.33</v>
      </c>
      <c r="T170" s="256">
        <f t="shared" si="5"/>
        <v>-0.00681140911</v>
      </c>
      <c r="U170" s="154"/>
      <c r="V170" s="255">
        <v>45903.0</v>
      </c>
      <c r="W170" s="174">
        <v>1262.2</v>
      </c>
      <c r="X170" s="256">
        <f t="shared" si="6"/>
        <v>0.006779931403</v>
      </c>
      <c r="Y170" s="154"/>
      <c r="Z170" s="255">
        <v>45903.0</v>
      </c>
      <c r="AA170" s="174">
        <v>1578.4</v>
      </c>
      <c r="AB170" s="256">
        <f t="shared" si="7"/>
        <v>0.005862860056</v>
      </c>
      <c r="AC170" s="154"/>
      <c r="AD170" s="255">
        <v>45903.0</v>
      </c>
      <c r="AE170" s="174">
        <v>7.95</v>
      </c>
      <c r="AF170" s="256">
        <f t="shared" si="8"/>
        <v>0</v>
      </c>
      <c r="AG170" s="257"/>
      <c r="AH170" s="255">
        <v>45903.0</v>
      </c>
      <c r="AI170" s="174">
        <v>361.55</v>
      </c>
      <c r="AJ170" s="256">
        <f t="shared" si="9"/>
        <v>0.01530468969</v>
      </c>
      <c r="AK170" s="257"/>
      <c r="AL170" s="255">
        <v>45903.0</v>
      </c>
      <c r="AM170" s="174">
        <v>6448.26</v>
      </c>
      <c r="AN170" s="256">
        <f t="shared" si="10"/>
        <v>0.00510011628</v>
      </c>
      <c r="AO170" s="154"/>
      <c r="AP170" s="154"/>
    </row>
    <row r="171">
      <c r="A171" s="154"/>
      <c r="B171" s="255">
        <v>45902.0</v>
      </c>
      <c r="C171" s="174">
        <v>9.42</v>
      </c>
      <c r="D171" s="256">
        <f t="shared" si="1"/>
        <v>0</v>
      </c>
      <c r="E171" s="154"/>
      <c r="F171" s="255">
        <v>45902.0</v>
      </c>
      <c r="G171" s="174">
        <v>10.56</v>
      </c>
      <c r="H171" s="256">
        <f t="shared" si="2"/>
        <v>0.0009478672986</v>
      </c>
      <c r="I171" s="154"/>
      <c r="J171" s="255">
        <v>45902.0</v>
      </c>
      <c r="K171" s="174">
        <v>18.75</v>
      </c>
      <c r="L171" s="256">
        <f t="shared" si="3"/>
        <v>0.02013057671</v>
      </c>
      <c r="M171" s="154"/>
      <c r="N171" s="255">
        <v>45902.0</v>
      </c>
      <c r="O171" s="174">
        <v>1738.0</v>
      </c>
      <c r="P171" s="256">
        <f t="shared" si="4"/>
        <v>-0.02633053221</v>
      </c>
      <c r="Q171" s="154"/>
      <c r="R171" s="255">
        <v>45902.0</v>
      </c>
      <c r="S171" s="174">
        <v>23.49</v>
      </c>
      <c r="T171" s="256">
        <f t="shared" si="5"/>
        <v>-0.01053074979</v>
      </c>
      <c r="U171" s="154"/>
      <c r="V171" s="255">
        <v>45902.0</v>
      </c>
      <c r="W171" s="174">
        <v>1253.7</v>
      </c>
      <c r="X171" s="256">
        <f t="shared" si="6"/>
        <v>-0.02047034925</v>
      </c>
      <c r="Y171" s="154"/>
      <c r="Z171" s="255">
        <v>45902.0</v>
      </c>
      <c r="AA171" s="174">
        <v>1569.2</v>
      </c>
      <c r="AB171" s="256">
        <f t="shared" si="7"/>
        <v>-0.01134072581</v>
      </c>
      <c r="AC171" s="154"/>
      <c r="AD171" s="255">
        <v>45902.0</v>
      </c>
      <c r="AE171" s="174">
        <v>7.95</v>
      </c>
      <c r="AF171" s="256">
        <f t="shared" si="8"/>
        <v>-0.01486988848</v>
      </c>
      <c r="AG171" s="257"/>
      <c r="AH171" s="255">
        <v>45902.0</v>
      </c>
      <c r="AI171" s="174">
        <v>356.1</v>
      </c>
      <c r="AJ171" s="256">
        <f t="shared" si="9"/>
        <v>0.01006949369</v>
      </c>
      <c r="AK171" s="257"/>
      <c r="AL171" s="255">
        <v>45902.0</v>
      </c>
      <c r="AM171" s="174">
        <v>6415.54</v>
      </c>
      <c r="AN171" s="256">
        <f t="shared" si="10"/>
        <v>-0.006922322012</v>
      </c>
      <c r="AO171" s="154"/>
      <c r="AP171" s="154"/>
    </row>
    <row r="172">
      <c r="A172" s="154"/>
      <c r="B172" s="255">
        <v>45898.0</v>
      </c>
      <c r="C172" s="174">
        <v>9.42</v>
      </c>
      <c r="D172" s="256">
        <f t="shared" si="1"/>
        <v>0.02614379085</v>
      </c>
      <c r="E172" s="154"/>
      <c r="F172" s="255">
        <v>45898.0</v>
      </c>
      <c r="G172" s="174">
        <v>10.55</v>
      </c>
      <c r="H172" s="256">
        <f t="shared" si="2"/>
        <v>0.01344860711</v>
      </c>
      <c r="I172" s="154"/>
      <c r="J172" s="255">
        <v>45898.0</v>
      </c>
      <c r="K172" s="174">
        <v>18.38</v>
      </c>
      <c r="L172" s="256">
        <f t="shared" si="3"/>
        <v>0.01884700665</v>
      </c>
      <c r="M172" s="154"/>
      <c r="N172" s="255">
        <v>45898.0</v>
      </c>
      <c r="O172" s="174">
        <v>1785.0</v>
      </c>
      <c r="P172" s="256">
        <f t="shared" si="4"/>
        <v>-0.01652892562</v>
      </c>
      <c r="Q172" s="154"/>
      <c r="R172" s="255">
        <v>45898.0</v>
      </c>
      <c r="S172" s="174">
        <v>23.74</v>
      </c>
      <c r="T172" s="256">
        <f t="shared" si="5"/>
        <v>-0.0008417508418</v>
      </c>
      <c r="U172" s="154"/>
      <c r="V172" s="255">
        <v>45901.0</v>
      </c>
      <c r="W172" s="174">
        <v>1279.9</v>
      </c>
      <c r="X172" s="256">
        <f t="shared" si="6"/>
        <v>0.01571303865</v>
      </c>
      <c r="Y172" s="154"/>
      <c r="Z172" s="255">
        <v>45901.0</v>
      </c>
      <c r="AA172" s="174">
        <v>1587.2</v>
      </c>
      <c r="AB172" s="256">
        <f t="shared" si="7"/>
        <v>-0.001384170127</v>
      </c>
      <c r="AC172" s="154"/>
      <c r="AD172" s="255">
        <v>45898.0</v>
      </c>
      <c r="AE172" s="174">
        <v>8.07</v>
      </c>
      <c r="AF172" s="256">
        <f t="shared" si="8"/>
        <v>0.00248447205</v>
      </c>
      <c r="AG172" s="257"/>
      <c r="AH172" s="255">
        <v>45901.0</v>
      </c>
      <c r="AI172" s="174">
        <v>352.55</v>
      </c>
      <c r="AJ172" s="256">
        <f t="shared" si="9"/>
        <v>0.01205683939</v>
      </c>
      <c r="AK172" s="257"/>
      <c r="AL172" s="255">
        <v>45898.0</v>
      </c>
      <c r="AM172" s="174">
        <v>6460.26</v>
      </c>
      <c r="AN172" s="256">
        <f t="shared" si="10"/>
        <v>-0.006398169139</v>
      </c>
      <c r="AO172" s="154"/>
      <c r="AP172" s="154"/>
    </row>
    <row r="173">
      <c r="A173" s="154"/>
      <c r="B173" s="255">
        <v>45897.0</v>
      </c>
      <c r="C173" s="174">
        <v>9.18</v>
      </c>
      <c r="D173" s="256">
        <f t="shared" si="1"/>
        <v>-0.002173913043</v>
      </c>
      <c r="E173" s="154"/>
      <c r="F173" s="255">
        <v>45897.0</v>
      </c>
      <c r="G173" s="174">
        <v>10.41</v>
      </c>
      <c r="H173" s="256">
        <f t="shared" si="2"/>
        <v>-0.0009596928983</v>
      </c>
      <c r="I173" s="154"/>
      <c r="J173" s="255">
        <v>45897.0</v>
      </c>
      <c r="K173" s="174">
        <v>18.04</v>
      </c>
      <c r="L173" s="256">
        <f t="shared" si="3"/>
        <v>-0.0005540166205</v>
      </c>
      <c r="M173" s="154"/>
      <c r="N173" s="255">
        <v>45897.0</v>
      </c>
      <c r="O173" s="174">
        <v>1815.0</v>
      </c>
      <c r="P173" s="256">
        <f t="shared" si="4"/>
        <v>-0.01519262073</v>
      </c>
      <c r="Q173" s="154"/>
      <c r="R173" s="255">
        <v>45897.0</v>
      </c>
      <c r="S173" s="174">
        <v>23.76</v>
      </c>
      <c r="T173" s="256">
        <f t="shared" si="5"/>
        <v>-0.005441607367</v>
      </c>
      <c r="U173" s="154"/>
      <c r="V173" s="255">
        <v>45898.0</v>
      </c>
      <c r="W173" s="174">
        <v>1260.1</v>
      </c>
      <c r="X173" s="256">
        <f t="shared" si="6"/>
        <v>0.000238133037</v>
      </c>
      <c r="Y173" s="154"/>
      <c r="Z173" s="255">
        <v>45898.0</v>
      </c>
      <c r="AA173" s="174">
        <v>1589.4</v>
      </c>
      <c r="AB173" s="256">
        <f t="shared" si="7"/>
        <v>0.005758400304</v>
      </c>
      <c r="AC173" s="154"/>
      <c r="AD173" s="255">
        <v>45897.0</v>
      </c>
      <c r="AE173" s="174">
        <v>8.05</v>
      </c>
      <c r="AF173" s="256">
        <f t="shared" si="8"/>
        <v>0.002490660025</v>
      </c>
      <c r="AG173" s="257"/>
      <c r="AH173" s="255">
        <v>45898.0</v>
      </c>
      <c r="AI173" s="174">
        <v>348.35</v>
      </c>
      <c r="AJ173" s="256">
        <f t="shared" si="9"/>
        <v>-0.01387119604</v>
      </c>
      <c r="AK173" s="257"/>
      <c r="AL173" s="255">
        <v>45897.0</v>
      </c>
      <c r="AM173" s="174">
        <v>6501.86</v>
      </c>
      <c r="AN173" s="256">
        <f t="shared" si="10"/>
        <v>0.003156725399</v>
      </c>
      <c r="AO173" s="154"/>
      <c r="AP173" s="154"/>
    </row>
    <row r="174">
      <c r="A174" s="154"/>
      <c r="B174" s="255">
        <v>45896.0</v>
      </c>
      <c r="C174" s="174">
        <v>9.2</v>
      </c>
      <c r="D174" s="256">
        <f t="shared" si="1"/>
        <v>0.01433296582</v>
      </c>
      <c r="E174" s="154"/>
      <c r="F174" s="255">
        <v>45896.0</v>
      </c>
      <c r="G174" s="174">
        <v>10.42</v>
      </c>
      <c r="H174" s="256">
        <f t="shared" si="2"/>
        <v>0.0009606147935</v>
      </c>
      <c r="I174" s="154"/>
      <c r="J174" s="255">
        <v>45896.0</v>
      </c>
      <c r="K174" s="174">
        <v>18.05</v>
      </c>
      <c r="L174" s="256">
        <f t="shared" si="3"/>
        <v>-0.005509641873</v>
      </c>
      <c r="M174" s="154"/>
      <c r="N174" s="255">
        <v>45896.0</v>
      </c>
      <c r="O174" s="174">
        <v>1843.0</v>
      </c>
      <c r="P174" s="256">
        <f t="shared" si="4"/>
        <v>0.01263736264</v>
      </c>
      <c r="Q174" s="154"/>
      <c r="R174" s="255">
        <v>45896.0</v>
      </c>
      <c r="S174" s="174">
        <v>23.89</v>
      </c>
      <c r="T174" s="256">
        <f t="shared" si="5"/>
        <v>0.006742520017</v>
      </c>
      <c r="U174" s="154"/>
      <c r="V174" s="255">
        <v>45897.0</v>
      </c>
      <c r="W174" s="174">
        <v>1259.8</v>
      </c>
      <c r="X174" s="256">
        <f t="shared" si="6"/>
        <v>-0.002691576947</v>
      </c>
      <c r="Y174" s="154"/>
      <c r="Z174" s="255">
        <v>45897.0</v>
      </c>
      <c r="AA174" s="174">
        <v>1580.3</v>
      </c>
      <c r="AB174" s="256">
        <f t="shared" si="7"/>
        <v>0.000316495759</v>
      </c>
      <c r="AC174" s="154"/>
      <c r="AD174" s="255">
        <v>45896.0</v>
      </c>
      <c r="AE174" s="174">
        <v>8.03</v>
      </c>
      <c r="AF174" s="256">
        <f t="shared" si="8"/>
        <v>-0.01108374384</v>
      </c>
      <c r="AG174" s="257"/>
      <c r="AH174" s="255">
        <v>45897.0</v>
      </c>
      <c r="AI174" s="174">
        <v>353.25</v>
      </c>
      <c r="AJ174" s="256">
        <f t="shared" si="9"/>
        <v>-0.01409433436</v>
      </c>
      <c r="AK174" s="257"/>
      <c r="AL174" s="255">
        <v>45896.0</v>
      </c>
      <c r="AM174" s="174">
        <v>6481.4</v>
      </c>
      <c r="AN174" s="256">
        <f t="shared" si="10"/>
        <v>0.002390990328</v>
      </c>
      <c r="AO174" s="154"/>
      <c r="AP174" s="154"/>
    </row>
    <row r="175">
      <c r="A175" s="154"/>
      <c r="B175" s="255">
        <v>45895.0</v>
      </c>
      <c r="C175" s="174">
        <v>9.07</v>
      </c>
      <c r="D175" s="256">
        <f t="shared" si="1"/>
        <v>0.001103752759</v>
      </c>
      <c r="E175" s="154"/>
      <c r="F175" s="255">
        <v>45895.0</v>
      </c>
      <c r="G175" s="174">
        <v>10.41</v>
      </c>
      <c r="H175" s="256">
        <f t="shared" si="2"/>
        <v>-0.01327014218</v>
      </c>
      <c r="I175" s="154"/>
      <c r="J175" s="255">
        <v>45895.0</v>
      </c>
      <c r="K175" s="174">
        <v>18.15</v>
      </c>
      <c r="L175" s="256">
        <f t="shared" si="3"/>
        <v>0.001655629139</v>
      </c>
      <c r="M175" s="154"/>
      <c r="N175" s="255">
        <v>45895.0</v>
      </c>
      <c r="O175" s="174">
        <v>1820.0</v>
      </c>
      <c r="P175" s="256">
        <f t="shared" si="4"/>
        <v>-0.004376367615</v>
      </c>
      <c r="Q175" s="154"/>
      <c r="R175" s="255">
        <v>45895.0</v>
      </c>
      <c r="S175" s="174">
        <v>23.73</v>
      </c>
      <c r="T175" s="256">
        <f t="shared" si="5"/>
        <v>-0.002102607233</v>
      </c>
      <c r="U175" s="154"/>
      <c r="V175" s="255">
        <v>45895.0</v>
      </c>
      <c r="W175" s="174">
        <v>1263.2</v>
      </c>
      <c r="X175" s="256">
        <f t="shared" si="6"/>
        <v>-0.01612275099</v>
      </c>
      <c r="Y175" s="154"/>
      <c r="Z175" s="255">
        <v>45895.0</v>
      </c>
      <c r="AA175" s="174">
        <v>1579.8</v>
      </c>
      <c r="AB175" s="256">
        <f t="shared" si="7"/>
        <v>-0.01336497627</v>
      </c>
      <c r="AC175" s="154"/>
      <c r="AD175" s="255">
        <v>45895.0</v>
      </c>
      <c r="AE175" s="174">
        <v>8.12</v>
      </c>
      <c r="AF175" s="256">
        <f t="shared" si="8"/>
        <v>-0.02403846154</v>
      </c>
      <c r="AG175" s="257"/>
      <c r="AH175" s="255">
        <v>45895.0</v>
      </c>
      <c r="AI175" s="174">
        <v>358.3</v>
      </c>
      <c r="AJ175" s="256">
        <f t="shared" si="9"/>
        <v>-0.004583969996</v>
      </c>
      <c r="AK175" s="257"/>
      <c r="AL175" s="255">
        <v>45895.0</v>
      </c>
      <c r="AM175" s="174">
        <v>6465.94</v>
      </c>
      <c r="AN175" s="256">
        <f t="shared" si="10"/>
        <v>0.00413397688</v>
      </c>
      <c r="AO175" s="154"/>
      <c r="AP175" s="154"/>
    </row>
    <row r="176">
      <c r="A176" s="154"/>
      <c r="B176" s="255">
        <v>45894.0</v>
      </c>
      <c r="C176" s="174">
        <v>9.06</v>
      </c>
      <c r="D176" s="256">
        <f t="shared" si="1"/>
        <v>-0.03923647932</v>
      </c>
      <c r="E176" s="154"/>
      <c r="F176" s="255">
        <v>45894.0</v>
      </c>
      <c r="G176" s="174">
        <v>10.55</v>
      </c>
      <c r="H176" s="256">
        <f t="shared" si="2"/>
        <v>-0.009389671362</v>
      </c>
      <c r="I176" s="154"/>
      <c r="J176" s="255">
        <v>45894.0</v>
      </c>
      <c r="K176" s="174">
        <v>18.12</v>
      </c>
      <c r="L176" s="256">
        <f t="shared" si="3"/>
        <v>-0.01841820152</v>
      </c>
      <c r="M176" s="154"/>
      <c r="N176" s="255">
        <v>45894.0</v>
      </c>
      <c r="O176" s="258">
        <v>1828.0</v>
      </c>
      <c r="P176" s="256">
        <f t="shared" si="4"/>
        <v>-0.004357298475</v>
      </c>
      <c r="Q176" s="154"/>
      <c r="R176" s="255">
        <v>45894.0</v>
      </c>
      <c r="S176" s="174">
        <v>23.78</v>
      </c>
      <c r="T176" s="256">
        <f t="shared" si="5"/>
        <v>-0.02899142507</v>
      </c>
      <c r="U176" s="154"/>
      <c r="V176" s="255">
        <v>45894.0</v>
      </c>
      <c r="W176" s="174">
        <v>1283.9</v>
      </c>
      <c r="X176" s="256">
        <f t="shared" si="6"/>
        <v>0.004931120852</v>
      </c>
      <c r="Y176" s="154"/>
      <c r="Z176" s="255">
        <v>45894.0</v>
      </c>
      <c r="AA176" s="174">
        <v>1601.2</v>
      </c>
      <c r="AB176" s="256">
        <f t="shared" si="7"/>
        <v>0.005273731793</v>
      </c>
      <c r="AC176" s="154"/>
      <c r="AD176" s="255">
        <v>45894.0</v>
      </c>
      <c r="AE176" s="174">
        <v>8.32</v>
      </c>
      <c r="AF176" s="256">
        <f t="shared" si="8"/>
        <v>-0.01538461538</v>
      </c>
      <c r="AG176" s="257"/>
      <c r="AH176" s="255">
        <v>45894.0</v>
      </c>
      <c r="AI176" s="174">
        <v>359.95</v>
      </c>
      <c r="AJ176" s="256">
        <f t="shared" si="9"/>
        <v>0.001251738526</v>
      </c>
      <c r="AK176" s="257"/>
      <c r="AL176" s="255">
        <v>45894.0</v>
      </c>
      <c r="AM176" s="174">
        <v>6439.32</v>
      </c>
      <c r="AN176" s="256">
        <f t="shared" si="10"/>
        <v>-0.004266334308</v>
      </c>
      <c r="AO176" s="154"/>
      <c r="AP176" s="154"/>
    </row>
    <row r="177">
      <c r="A177" s="154"/>
      <c r="B177" s="255">
        <v>45891.0</v>
      </c>
      <c r="C177" s="174">
        <v>9.43</v>
      </c>
      <c r="D177" s="256">
        <f t="shared" si="1"/>
        <v>0.0161637931</v>
      </c>
      <c r="E177" s="154"/>
      <c r="F177" s="255">
        <v>45891.0</v>
      </c>
      <c r="G177" s="174">
        <v>10.65</v>
      </c>
      <c r="H177" s="256">
        <f t="shared" si="2"/>
        <v>-0.00374181478</v>
      </c>
      <c r="I177" s="154"/>
      <c r="J177" s="255">
        <v>45891.0</v>
      </c>
      <c r="K177" s="174">
        <v>18.46</v>
      </c>
      <c r="L177" s="256">
        <f t="shared" si="3"/>
        <v>-0.01808510638</v>
      </c>
      <c r="M177" s="154"/>
      <c r="N177" s="255">
        <v>45891.0</v>
      </c>
      <c r="O177" s="174">
        <v>1836.0</v>
      </c>
      <c r="P177" s="256">
        <f t="shared" si="4"/>
        <v>0.00823723229</v>
      </c>
      <c r="Q177" s="154"/>
      <c r="R177" s="255">
        <v>45891.0</v>
      </c>
      <c r="S177" s="174">
        <v>24.49</v>
      </c>
      <c r="T177" s="256">
        <f t="shared" si="5"/>
        <v>0.04524114383</v>
      </c>
      <c r="U177" s="154"/>
      <c r="V177" s="255">
        <v>45891.0</v>
      </c>
      <c r="W177" s="174">
        <v>1277.6</v>
      </c>
      <c r="X177" s="256">
        <f t="shared" si="6"/>
        <v>0.0007833307222</v>
      </c>
      <c r="Y177" s="154"/>
      <c r="Z177" s="255">
        <v>45891.0</v>
      </c>
      <c r="AA177" s="174">
        <v>1592.8</v>
      </c>
      <c r="AB177" s="256">
        <f t="shared" si="7"/>
        <v>0</v>
      </c>
      <c r="AC177" s="154"/>
      <c r="AD177" s="255">
        <v>45891.0</v>
      </c>
      <c r="AE177" s="174">
        <v>8.45</v>
      </c>
      <c r="AF177" s="256">
        <f t="shared" si="8"/>
        <v>-0.002361275089</v>
      </c>
      <c r="AG177" s="257"/>
      <c r="AH177" s="255">
        <v>45891.0</v>
      </c>
      <c r="AI177" s="174">
        <v>359.5</v>
      </c>
      <c r="AJ177" s="256">
        <f t="shared" si="9"/>
        <v>0.004891684137</v>
      </c>
      <c r="AK177" s="257"/>
      <c r="AL177" s="255">
        <v>45891.0</v>
      </c>
      <c r="AM177" s="174">
        <v>6466.91</v>
      </c>
      <c r="AN177" s="256">
        <f t="shared" si="10"/>
        <v>0.0151864079</v>
      </c>
      <c r="AO177" s="154"/>
      <c r="AP177" s="154"/>
    </row>
    <row r="178">
      <c r="A178" s="154"/>
      <c r="B178" s="255">
        <v>45890.0</v>
      </c>
      <c r="C178" s="174">
        <v>9.28</v>
      </c>
      <c r="D178" s="256">
        <f t="shared" si="1"/>
        <v>-0.009605122732</v>
      </c>
      <c r="E178" s="154"/>
      <c r="F178" s="255">
        <v>45890.0</v>
      </c>
      <c r="G178" s="174">
        <v>10.69</v>
      </c>
      <c r="H178" s="256">
        <f t="shared" si="2"/>
        <v>0.003755868545</v>
      </c>
      <c r="I178" s="154"/>
      <c r="J178" s="255">
        <v>45890.0</v>
      </c>
      <c r="K178" s="174">
        <v>18.8</v>
      </c>
      <c r="L178" s="256">
        <f t="shared" si="3"/>
        <v>0.06757524134</v>
      </c>
      <c r="M178" s="154"/>
      <c r="N178" s="255">
        <v>45890.0</v>
      </c>
      <c r="O178" s="174">
        <v>1821.0</v>
      </c>
      <c r="P178" s="256">
        <f t="shared" si="4"/>
        <v>0.005521811154</v>
      </c>
      <c r="Q178" s="154"/>
      <c r="R178" s="255">
        <v>45890.0</v>
      </c>
      <c r="S178" s="174">
        <v>23.43</v>
      </c>
      <c r="T178" s="256">
        <f t="shared" si="5"/>
        <v>-0.009721048183</v>
      </c>
      <c r="U178" s="154"/>
      <c r="V178" s="255">
        <v>45890.0</v>
      </c>
      <c r="W178" s="174">
        <v>1276.6</v>
      </c>
      <c r="X178" s="256">
        <f t="shared" si="6"/>
        <v>0.02505219207</v>
      </c>
      <c r="Y178" s="154"/>
      <c r="Z178" s="255">
        <v>45890.0</v>
      </c>
      <c r="AA178" s="174">
        <v>1592.8</v>
      </c>
      <c r="AB178" s="256">
        <f t="shared" si="7"/>
        <v>0.03020503202</v>
      </c>
      <c r="AC178" s="154"/>
      <c r="AD178" s="255">
        <v>45890.0</v>
      </c>
      <c r="AE178" s="174">
        <v>8.47</v>
      </c>
      <c r="AF178" s="256">
        <f t="shared" si="8"/>
        <v>0.0304136253</v>
      </c>
      <c r="AG178" s="257"/>
      <c r="AH178" s="255">
        <v>45890.0</v>
      </c>
      <c r="AI178" s="174">
        <v>357.75</v>
      </c>
      <c r="AJ178" s="256">
        <f t="shared" si="9"/>
        <v>-0.004729447767</v>
      </c>
      <c r="AK178" s="257"/>
      <c r="AL178" s="255">
        <v>45890.0</v>
      </c>
      <c r="AM178" s="174">
        <v>6370.17</v>
      </c>
      <c r="AN178" s="256">
        <f t="shared" si="10"/>
        <v>-0.004004202771</v>
      </c>
      <c r="AO178" s="154"/>
      <c r="AP178" s="154"/>
    </row>
    <row r="179">
      <c r="A179" s="154"/>
      <c r="B179" s="255">
        <v>45889.0</v>
      </c>
      <c r="C179" s="174">
        <v>9.37</v>
      </c>
      <c r="D179" s="256">
        <f t="shared" si="1"/>
        <v>0.01187904968</v>
      </c>
      <c r="E179" s="154"/>
      <c r="F179" s="255">
        <v>45889.0</v>
      </c>
      <c r="G179" s="174">
        <v>10.65</v>
      </c>
      <c r="H179" s="256">
        <f t="shared" si="2"/>
        <v>-0.002808988764</v>
      </c>
      <c r="I179" s="154"/>
      <c r="J179" s="255">
        <v>45889.0</v>
      </c>
      <c r="K179" s="174">
        <v>17.61</v>
      </c>
      <c r="L179" s="256">
        <f t="shared" si="3"/>
        <v>0.00284738041</v>
      </c>
      <c r="M179" s="154"/>
      <c r="N179" s="255">
        <v>45889.0</v>
      </c>
      <c r="O179" s="174">
        <v>1811.0</v>
      </c>
      <c r="P179" s="256">
        <f t="shared" si="4"/>
        <v>-0.002203856749</v>
      </c>
      <c r="Q179" s="154"/>
      <c r="R179" s="255">
        <v>45889.0</v>
      </c>
      <c r="S179" s="174">
        <v>23.66</v>
      </c>
      <c r="T179" s="256">
        <f t="shared" si="5"/>
        <v>0.002542372881</v>
      </c>
      <c r="U179" s="154"/>
      <c r="V179" s="255">
        <v>45889.0</v>
      </c>
      <c r="W179" s="174">
        <v>1245.4</v>
      </c>
      <c r="X179" s="256">
        <f t="shared" si="6"/>
        <v>0.0009644751648</v>
      </c>
      <c r="Y179" s="154"/>
      <c r="Z179" s="255">
        <v>45889.0</v>
      </c>
      <c r="AA179" s="174">
        <v>1546.1</v>
      </c>
      <c r="AB179" s="256">
        <f t="shared" si="7"/>
        <v>-0.001807734521</v>
      </c>
      <c r="AC179" s="154"/>
      <c r="AD179" s="255">
        <v>45889.0</v>
      </c>
      <c r="AE179" s="174">
        <v>8.22</v>
      </c>
      <c r="AF179" s="256">
        <f t="shared" si="8"/>
        <v>-0.05408515535</v>
      </c>
      <c r="AG179" s="257"/>
      <c r="AH179" s="255">
        <v>45889.0</v>
      </c>
      <c r="AI179" s="174">
        <v>359.45</v>
      </c>
      <c r="AJ179" s="256">
        <f t="shared" si="9"/>
        <v>-0.01209289542</v>
      </c>
      <c r="AK179" s="257"/>
      <c r="AL179" s="255">
        <v>45889.0</v>
      </c>
      <c r="AM179" s="174">
        <v>6395.78</v>
      </c>
      <c r="AN179" s="256">
        <f t="shared" si="10"/>
        <v>-0.002431617579</v>
      </c>
      <c r="AO179" s="154"/>
      <c r="AP179" s="154"/>
    </row>
    <row r="180">
      <c r="A180" s="154"/>
      <c r="B180" s="255">
        <v>45888.0</v>
      </c>
      <c r="C180" s="174">
        <v>9.26</v>
      </c>
      <c r="D180" s="256">
        <f t="shared" si="1"/>
        <v>-0.002155172414</v>
      </c>
      <c r="E180" s="154"/>
      <c r="F180" s="255">
        <v>45888.0</v>
      </c>
      <c r="G180" s="174">
        <v>10.68</v>
      </c>
      <c r="H180" s="256">
        <f t="shared" si="2"/>
        <v>0.004703668862</v>
      </c>
      <c r="I180" s="154"/>
      <c r="J180" s="255">
        <v>45888.0</v>
      </c>
      <c r="K180" s="174">
        <v>17.56</v>
      </c>
      <c r="L180" s="256">
        <f t="shared" si="3"/>
        <v>-0.0276854928</v>
      </c>
      <c r="M180" s="154"/>
      <c r="N180" s="255">
        <v>45888.0</v>
      </c>
      <c r="O180" s="174">
        <v>1815.0</v>
      </c>
      <c r="P180" s="256">
        <f t="shared" si="4"/>
        <v>0.007214206437</v>
      </c>
      <c r="Q180" s="154"/>
      <c r="R180" s="255">
        <v>45888.0</v>
      </c>
      <c r="S180" s="174">
        <v>23.6</v>
      </c>
      <c r="T180" s="256">
        <f t="shared" si="5"/>
        <v>0.02475032566</v>
      </c>
      <c r="U180" s="154"/>
      <c r="V180" s="255">
        <v>45888.0</v>
      </c>
      <c r="W180" s="174">
        <v>1244.2</v>
      </c>
      <c r="X180" s="256">
        <f t="shared" si="6"/>
        <v>-0.01465114437</v>
      </c>
      <c r="Y180" s="154"/>
      <c r="Z180" s="255">
        <v>45888.0</v>
      </c>
      <c r="AA180" s="174">
        <v>1548.9</v>
      </c>
      <c r="AB180" s="256">
        <f t="shared" si="7"/>
        <v>-0.0104140046</v>
      </c>
      <c r="AC180" s="154"/>
      <c r="AD180" s="255">
        <v>45888.0</v>
      </c>
      <c r="AE180" s="174">
        <v>8.69</v>
      </c>
      <c r="AF180" s="256">
        <f t="shared" si="8"/>
        <v>-0.03444444444</v>
      </c>
      <c r="AG180" s="257"/>
      <c r="AH180" s="255">
        <v>45888.0</v>
      </c>
      <c r="AI180" s="174">
        <v>363.85</v>
      </c>
      <c r="AJ180" s="256">
        <f t="shared" si="9"/>
        <v>-0.001235245677</v>
      </c>
      <c r="AK180" s="257"/>
      <c r="AL180" s="255">
        <v>45888.0</v>
      </c>
      <c r="AM180" s="174">
        <v>6411.37</v>
      </c>
      <c r="AN180" s="256">
        <f t="shared" si="10"/>
        <v>-0.005858136344</v>
      </c>
      <c r="AO180" s="154"/>
      <c r="AP180" s="154"/>
    </row>
    <row r="181">
      <c r="A181" s="154"/>
      <c r="B181" s="255">
        <v>45887.0</v>
      </c>
      <c r="C181" s="174">
        <v>9.28</v>
      </c>
      <c r="D181" s="256">
        <f t="shared" si="1"/>
        <v>-0.01694915254</v>
      </c>
      <c r="E181" s="154"/>
      <c r="F181" s="255">
        <v>45887.0</v>
      </c>
      <c r="G181" s="174">
        <v>10.63</v>
      </c>
      <c r="H181" s="256">
        <f t="shared" si="2"/>
        <v>0.001885014138</v>
      </c>
      <c r="I181" s="154"/>
      <c r="J181" s="255">
        <v>45887.0</v>
      </c>
      <c r="K181" s="174">
        <v>18.06</v>
      </c>
      <c r="L181" s="256">
        <f t="shared" si="3"/>
        <v>0.01119820829</v>
      </c>
      <c r="M181" s="154"/>
      <c r="N181" s="255">
        <v>45887.0</v>
      </c>
      <c r="O181" s="174">
        <v>1802.0</v>
      </c>
      <c r="P181" s="256">
        <f t="shared" si="4"/>
        <v>0.005580357143</v>
      </c>
      <c r="Q181" s="154"/>
      <c r="R181" s="255">
        <v>45887.0</v>
      </c>
      <c r="S181" s="174">
        <v>23.03</v>
      </c>
      <c r="T181" s="256">
        <f t="shared" si="5"/>
        <v>0.01453744493</v>
      </c>
      <c r="U181" s="154"/>
      <c r="V181" s="255">
        <v>45887.0</v>
      </c>
      <c r="W181" s="174">
        <v>1262.7</v>
      </c>
      <c r="X181" s="256">
        <f t="shared" si="6"/>
        <v>0.0013481364</v>
      </c>
      <c r="Y181" s="154"/>
      <c r="Z181" s="255">
        <v>45887.0</v>
      </c>
      <c r="AA181" s="174">
        <v>1565.2</v>
      </c>
      <c r="AB181" s="256">
        <f t="shared" si="7"/>
        <v>0.0001277955272</v>
      </c>
      <c r="AC181" s="154"/>
      <c r="AD181" s="255">
        <v>45887.0</v>
      </c>
      <c r="AE181" s="174">
        <v>9.0</v>
      </c>
      <c r="AF181" s="256">
        <f t="shared" si="8"/>
        <v>0.1221945137</v>
      </c>
      <c r="AG181" s="257"/>
      <c r="AH181" s="255">
        <v>45887.0</v>
      </c>
      <c r="AI181" s="174">
        <v>364.3</v>
      </c>
      <c r="AJ181" s="256">
        <f t="shared" si="9"/>
        <v>0.00635359116</v>
      </c>
      <c r="AK181" s="257"/>
      <c r="AL181" s="255">
        <v>45887.0</v>
      </c>
      <c r="AM181" s="174">
        <v>6449.15</v>
      </c>
      <c r="AN181" s="256">
        <f t="shared" si="10"/>
        <v>-0.0001007783187</v>
      </c>
      <c r="AO181" s="154"/>
      <c r="AP181" s="154"/>
    </row>
    <row r="182">
      <c r="A182" s="154"/>
      <c r="B182" s="255">
        <v>45884.0</v>
      </c>
      <c r="C182" s="174">
        <v>9.44</v>
      </c>
      <c r="D182" s="256">
        <f t="shared" si="1"/>
        <v>0.005324813632</v>
      </c>
      <c r="E182" s="154"/>
      <c r="F182" s="255">
        <v>45884.0</v>
      </c>
      <c r="G182" s="174">
        <v>10.61</v>
      </c>
      <c r="H182" s="256">
        <f t="shared" si="2"/>
        <v>-0.00748362956</v>
      </c>
      <c r="I182" s="154"/>
      <c r="J182" s="255">
        <v>45884.0</v>
      </c>
      <c r="K182" s="174">
        <v>17.86</v>
      </c>
      <c r="L182" s="256">
        <f t="shared" si="3"/>
        <v>0.01824401368</v>
      </c>
      <c r="M182" s="154"/>
      <c r="N182" s="255">
        <v>45884.0</v>
      </c>
      <c r="O182" s="174">
        <v>1792.0</v>
      </c>
      <c r="P182" s="256">
        <f t="shared" si="4"/>
        <v>0.001676914477</v>
      </c>
      <c r="Q182" s="154"/>
      <c r="R182" s="255">
        <v>45884.0</v>
      </c>
      <c r="S182" s="174">
        <v>22.7</v>
      </c>
      <c r="T182" s="256">
        <f t="shared" si="5"/>
        <v>-0.01432913591</v>
      </c>
      <c r="U182" s="154"/>
      <c r="V182" s="255">
        <v>45884.0</v>
      </c>
      <c r="W182" s="258">
        <v>1261.0</v>
      </c>
      <c r="X182" s="256">
        <f t="shared" si="6"/>
        <v>0.0004760393526</v>
      </c>
      <c r="Y182" s="154"/>
      <c r="Z182" s="255">
        <v>45884.0</v>
      </c>
      <c r="AA182" s="258">
        <v>1565.0</v>
      </c>
      <c r="AB182" s="256">
        <f t="shared" si="7"/>
        <v>0.0006393861893</v>
      </c>
      <c r="AC182" s="154"/>
      <c r="AD182" s="255">
        <v>45884.0</v>
      </c>
      <c r="AE182" s="174">
        <v>8.02</v>
      </c>
      <c r="AF182" s="256">
        <f t="shared" si="8"/>
        <v>-0.05424528302</v>
      </c>
      <c r="AG182" s="257"/>
      <c r="AH182" s="255">
        <v>45884.0</v>
      </c>
      <c r="AI182" s="258">
        <v>362.0</v>
      </c>
      <c r="AJ182" s="256">
        <f t="shared" si="9"/>
        <v>0.007654836465</v>
      </c>
      <c r="AK182" s="257"/>
      <c r="AL182" s="255">
        <v>45884.0</v>
      </c>
      <c r="AM182" s="174">
        <v>6449.8</v>
      </c>
      <c r="AN182" s="256">
        <f t="shared" si="10"/>
        <v>-0.002897098882</v>
      </c>
      <c r="AO182" s="154"/>
      <c r="AP182" s="154"/>
    </row>
    <row r="183">
      <c r="A183" s="154"/>
      <c r="B183" s="255">
        <v>45883.0</v>
      </c>
      <c r="C183" s="174">
        <v>9.39</v>
      </c>
      <c r="D183" s="256">
        <f t="shared" si="1"/>
        <v>0.003205128205</v>
      </c>
      <c r="E183" s="154"/>
      <c r="F183" s="255">
        <v>45883.0</v>
      </c>
      <c r="G183" s="174">
        <v>10.69</v>
      </c>
      <c r="H183" s="256">
        <f t="shared" si="2"/>
        <v>0.02689721422</v>
      </c>
      <c r="I183" s="154"/>
      <c r="J183" s="255">
        <v>45883.0</v>
      </c>
      <c r="K183" s="174">
        <v>17.54</v>
      </c>
      <c r="L183" s="256">
        <f t="shared" si="3"/>
        <v>0.01917489831</v>
      </c>
      <c r="M183" s="154"/>
      <c r="N183" s="255">
        <v>45883.0</v>
      </c>
      <c r="O183" s="174">
        <v>1789.0</v>
      </c>
      <c r="P183" s="256">
        <f t="shared" si="4"/>
        <v>-0.01214798454</v>
      </c>
      <c r="Q183" s="154"/>
      <c r="R183" s="255">
        <v>45883.0</v>
      </c>
      <c r="S183" s="174">
        <v>23.03</v>
      </c>
      <c r="T183" s="256">
        <f t="shared" si="5"/>
        <v>-0.02662721893</v>
      </c>
      <c r="U183" s="154"/>
      <c r="V183" s="255">
        <v>45883.0</v>
      </c>
      <c r="W183" s="174">
        <v>1260.4</v>
      </c>
      <c r="X183" s="256">
        <f t="shared" si="6"/>
        <v>0.005584809319</v>
      </c>
      <c r="Y183" s="154"/>
      <c r="Z183" s="255">
        <v>45883.0</v>
      </c>
      <c r="AA183" s="174">
        <v>1564.0</v>
      </c>
      <c r="AB183" s="256">
        <f t="shared" si="7"/>
        <v>0.001921844971</v>
      </c>
      <c r="AC183" s="154"/>
      <c r="AD183" s="255">
        <v>45883.0</v>
      </c>
      <c r="AE183" s="174">
        <v>8.48</v>
      </c>
      <c r="AF183" s="256">
        <f t="shared" si="8"/>
        <v>-0.05357142857</v>
      </c>
      <c r="AG183" s="257"/>
      <c r="AH183" s="255">
        <v>45883.0</v>
      </c>
      <c r="AI183" s="174">
        <v>359.25</v>
      </c>
      <c r="AJ183" s="256">
        <f t="shared" si="9"/>
        <v>-0.002775850104</v>
      </c>
      <c r="AK183" s="257"/>
      <c r="AL183" s="255">
        <v>45883.0</v>
      </c>
      <c r="AM183" s="174">
        <v>6468.54</v>
      </c>
      <c r="AN183" s="256">
        <f t="shared" si="10"/>
        <v>0.0003030968456</v>
      </c>
      <c r="AO183" s="154"/>
      <c r="AP183" s="154"/>
    </row>
    <row r="184">
      <c r="A184" s="154"/>
      <c r="B184" s="255">
        <v>45882.0</v>
      </c>
      <c r="C184" s="174">
        <v>9.36</v>
      </c>
      <c r="D184" s="256">
        <f t="shared" si="1"/>
        <v>0.03425414365</v>
      </c>
      <c r="E184" s="154"/>
      <c r="F184" s="255">
        <v>45882.0</v>
      </c>
      <c r="G184" s="174">
        <v>10.41</v>
      </c>
      <c r="H184" s="256">
        <f t="shared" si="2"/>
        <v>0.02865612648</v>
      </c>
      <c r="I184" s="154"/>
      <c r="J184" s="255">
        <v>45882.0</v>
      </c>
      <c r="K184" s="174">
        <v>17.21</v>
      </c>
      <c r="L184" s="256">
        <f t="shared" si="3"/>
        <v>0.03674698795</v>
      </c>
      <c r="M184" s="154"/>
      <c r="N184" s="255">
        <v>45882.0</v>
      </c>
      <c r="O184" s="174">
        <v>1811.0</v>
      </c>
      <c r="P184" s="256">
        <f t="shared" si="4"/>
        <v>0.01456582633</v>
      </c>
      <c r="Q184" s="154"/>
      <c r="R184" s="255">
        <v>45882.0</v>
      </c>
      <c r="S184" s="174">
        <v>23.66</v>
      </c>
      <c r="T184" s="256">
        <f t="shared" si="5"/>
        <v>0.02557433897</v>
      </c>
      <c r="U184" s="154"/>
      <c r="V184" s="255">
        <v>45882.0</v>
      </c>
      <c r="W184" s="174">
        <v>1253.4</v>
      </c>
      <c r="X184" s="256">
        <f t="shared" si="6"/>
        <v>0.02712447759</v>
      </c>
      <c r="Y184" s="154"/>
      <c r="Z184" s="255">
        <v>45882.0</v>
      </c>
      <c r="AA184" s="174">
        <v>1561.0</v>
      </c>
      <c r="AB184" s="256">
        <f t="shared" si="7"/>
        <v>0.025893796</v>
      </c>
      <c r="AC184" s="154"/>
      <c r="AD184" s="255">
        <v>45882.0</v>
      </c>
      <c r="AE184" s="174">
        <v>8.96</v>
      </c>
      <c r="AF184" s="256">
        <f t="shared" si="8"/>
        <v>0.03583815029</v>
      </c>
      <c r="AG184" s="257"/>
      <c r="AH184" s="255">
        <v>45882.0</v>
      </c>
      <c r="AI184" s="174">
        <v>360.25</v>
      </c>
      <c r="AJ184" s="256">
        <f t="shared" si="9"/>
        <v>0.01507466892</v>
      </c>
      <c r="AK184" s="257"/>
      <c r="AL184" s="255">
        <v>45882.0</v>
      </c>
      <c r="AM184" s="174">
        <v>6466.58</v>
      </c>
      <c r="AN184" s="256">
        <f t="shared" si="10"/>
        <v>0.003230030283</v>
      </c>
      <c r="AO184" s="154"/>
      <c r="AP184" s="154"/>
    </row>
    <row r="185">
      <c r="A185" s="154"/>
      <c r="B185" s="255">
        <v>45881.0</v>
      </c>
      <c r="C185" s="174">
        <v>9.05</v>
      </c>
      <c r="D185" s="256">
        <f t="shared" si="1"/>
        <v>0.004439511654</v>
      </c>
      <c r="E185" s="154"/>
      <c r="F185" s="255">
        <v>45881.0</v>
      </c>
      <c r="G185" s="174">
        <v>10.12</v>
      </c>
      <c r="H185" s="256">
        <f t="shared" si="2"/>
        <v>0.02636916836</v>
      </c>
      <c r="I185" s="154"/>
      <c r="J185" s="255">
        <v>45881.0</v>
      </c>
      <c r="K185" s="174">
        <v>16.6</v>
      </c>
      <c r="L185" s="256">
        <f t="shared" si="3"/>
        <v>0.01096224117</v>
      </c>
      <c r="M185" s="154"/>
      <c r="N185" s="255">
        <v>45881.0</v>
      </c>
      <c r="O185" s="174">
        <v>1785.0</v>
      </c>
      <c r="P185" s="256">
        <f t="shared" si="4"/>
        <v>0.001683501684</v>
      </c>
      <c r="Q185" s="154"/>
      <c r="R185" s="255">
        <v>45881.0</v>
      </c>
      <c r="S185" s="174">
        <v>23.07</v>
      </c>
      <c r="T185" s="256">
        <f t="shared" si="5"/>
        <v>0.04768392371</v>
      </c>
      <c r="U185" s="154"/>
      <c r="V185" s="255">
        <v>45881.0</v>
      </c>
      <c r="W185" s="174">
        <v>1220.3</v>
      </c>
      <c r="X185" s="256">
        <f t="shared" si="6"/>
        <v>0.0006560065601</v>
      </c>
      <c r="Y185" s="154"/>
      <c r="Z185" s="255">
        <v>45881.0</v>
      </c>
      <c r="AA185" s="174">
        <v>1521.6</v>
      </c>
      <c r="AB185" s="256">
        <f t="shared" si="7"/>
        <v>0.01116427432</v>
      </c>
      <c r="AC185" s="154"/>
      <c r="AD185" s="255">
        <v>45881.0</v>
      </c>
      <c r="AE185" s="174">
        <v>8.65</v>
      </c>
      <c r="AF185" s="256">
        <f t="shared" si="8"/>
        <v>0.01525821596</v>
      </c>
      <c r="AG185" s="257"/>
      <c r="AH185" s="255">
        <v>45881.0</v>
      </c>
      <c r="AI185" s="174">
        <v>354.9</v>
      </c>
      <c r="AJ185" s="256">
        <f t="shared" si="9"/>
        <v>0.03741596025</v>
      </c>
      <c r="AK185" s="257"/>
      <c r="AL185" s="255">
        <v>45881.0</v>
      </c>
      <c r="AM185" s="174">
        <v>6445.76</v>
      </c>
      <c r="AN185" s="256">
        <f t="shared" si="10"/>
        <v>0.01134550361</v>
      </c>
      <c r="AO185" s="154"/>
      <c r="AP185" s="154"/>
    </row>
    <row r="186">
      <c r="A186" s="154"/>
      <c r="B186" s="255">
        <v>45880.0</v>
      </c>
      <c r="C186" s="174">
        <v>9.01</v>
      </c>
      <c r="D186" s="256">
        <f t="shared" si="1"/>
        <v>-0.02277657267</v>
      </c>
      <c r="E186" s="154"/>
      <c r="F186" s="255">
        <v>45880.0</v>
      </c>
      <c r="G186" s="174">
        <v>9.86</v>
      </c>
      <c r="H186" s="256">
        <f t="shared" si="2"/>
        <v>0.01649484536</v>
      </c>
      <c r="I186" s="154"/>
      <c r="J186" s="255">
        <v>45880.0</v>
      </c>
      <c r="K186" s="174">
        <v>16.42</v>
      </c>
      <c r="L186" s="256">
        <f t="shared" si="3"/>
        <v>0.003054367746</v>
      </c>
      <c r="M186" s="154"/>
      <c r="N186" s="255">
        <v>45880.0</v>
      </c>
      <c r="O186" s="174">
        <v>1782.0</v>
      </c>
      <c r="P186" s="256">
        <f t="shared" si="4"/>
        <v>0.02413793103</v>
      </c>
      <c r="Q186" s="154"/>
      <c r="R186" s="255">
        <v>45880.0</v>
      </c>
      <c r="S186" s="174">
        <v>22.02</v>
      </c>
      <c r="T186" s="256">
        <f t="shared" si="5"/>
        <v>-0.02350332594</v>
      </c>
      <c r="U186" s="154"/>
      <c r="V186" s="255">
        <v>45880.0</v>
      </c>
      <c r="W186" s="174">
        <v>1219.5</v>
      </c>
      <c r="X186" s="256">
        <f t="shared" si="6"/>
        <v>0.006686478455</v>
      </c>
      <c r="Y186" s="154"/>
      <c r="Z186" s="255">
        <v>45880.0</v>
      </c>
      <c r="AA186" s="174">
        <v>1504.8</v>
      </c>
      <c r="AB186" s="256">
        <f t="shared" si="7"/>
        <v>0.01278772379</v>
      </c>
      <c r="AC186" s="154"/>
      <c r="AD186" s="255">
        <v>45880.0</v>
      </c>
      <c r="AE186" s="174">
        <v>8.52</v>
      </c>
      <c r="AF186" s="256">
        <f t="shared" si="8"/>
        <v>0.007092198582</v>
      </c>
      <c r="AG186" s="257"/>
      <c r="AH186" s="255">
        <v>45880.0</v>
      </c>
      <c r="AI186" s="174">
        <v>342.1</v>
      </c>
      <c r="AJ186" s="256">
        <f t="shared" si="9"/>
        <v>-0.003640599971</v>
      </c>
      <c r="AK186" s="257"/>
      <c r="AL186" s="255">
        <v>45880.0</v>
      </c>
      <c r="AM186" s="174">
        <v>6373.45</v>
      </c>
      <c r="AN186" s="256">
        <f t="shared" si="10"/>
        <v>-0.002504127898</v>
      </c>
      <c r="AO186" s="154"/>
      <c r="AP186" s="154"/>
    </row>
    <row r="187">
      <c r="A187" s="154"/>
      <c r="B187" s="255">
        <v>45877.0</v>
      </c>
      <c r="C187" s="174">
        <v>9.22</v>
      </c>
      <c r="D187" s="256">
        <f t="shared" si="1"/>
        <v>0.01207464325</v>
      </c>
      <c r="E187" s="154"/>
      <c r="F187" s="255">
        <v>45877.0</v>
      </c>
      <c r="G187" s="174">
        <v>9.7</v>
      </c>
      <c r="H187" s="256">
        <f t="shared" si="2"/>
        <v>0.03301384452</v>
      </c>
      <c r="I187" s="154"/>
      <c r="J187" s="255">
        <v>45877.0</v>
      </c>
      <c r="K187" s="174">
        <v>16.37</v>
      </c>
      <c r="L187" s="256">
        <f t="shared" si="3"/>
        <v>0.004910988336</v>
      </c>
      <c r="M187" s="154"/>
      <c r="N187" s="255">
        <v>45877.0</v>
      </c>
      <c r="O187" s="174">
        <v>1740.0</v>
      </c>
      <c r="P187" s="256">
        <f t="shared" si="4"/>
        <v>-0.005714285714</v>
      </c>
      <c r="Q187" s="154"/>
      <c r="R187" s="255">
        <v>45877.0</v>
      </c>
      <c r="S187" s="174">
        <v>22.55</v>
      </c>
      <c r="T187" s="256">
        <f t="shared" si="5"/>
        <v>-0.01226456417</v>
      </c>
      <c r="U187" s="154"/>
      <c r="V187" s="255">
        <v>45877.0</v>
      </c>
      <c r="W187" s="174">
        <v>1211.4</v>
      </c>
      <c r="X187" s="256">
        <f t="shared" si="6"/>
        <v>0.008827448368</v>
      </c>
      <c r="Y187" s="154"/>
      <c r="Z187" s="255">
        <v>45877.0</v>
      </c>
      <c r="AA187" s="174">
        <v>1485.8</v>
      </c>
      <c r="AB187" s="256">
        <f t="shared" si="7"/>
        <v>-0.00348759222</v>
      </c>
      <c r="AC187" s="154"/>
      <c r="AD187" s="255">
        <v>45877.0</v>
      </c>
      <c r="AE187" s="174">
        <v>8.46</v>
      </c>
      <c r="AF187" s="256">
        <f t="shared" si="8"/>
        <v>0.002369668246</v>
      </c>
      <c r="AG187" s="257"/>
      <c r="AH187" s="255">
        <v>45877.0</v>
      </c>
      <c r="AI187" s="174">
        <v>343.35</v>
      </c>
      <c r="AJ187" s="256">
        <f t="shared" si="9"/>
        <v>-0.05724876442</v>
      </c>
      <c r="AK187" s="257"/>
      <c r="AL187" s="255">
        <v>45877.0</v>
      </c>
      <c r="AM187" s="174">
        <v>6389.45</v>
      </c>
      <c r="AN187" s="256">
        <f t="shared" si="10"/>
        <v>0.007799684543</v>
      </c>
      <c r="AO187" s="154"/>
      <c r="AP187" s="154"/>
    </row>
    <row r="188">
      <c r="A188" s="154"/>
      <c r="B188" s="255">
        <v>45876.0</v>
      </c>
      <c r="C188" s="174">
        <v>9.11</v>
      </c>
      <c r="D188" s="256">
        <f t="shared" si="1"/>
        <v>0.04472477064</v>
      </c>
      <c r="E188" s="154"/>
      <c r="F188" s="255">
        <v>45876.0</v>
      </c>
      <c r="G188" s="174">
        <v>9.39</v>
      </c>
      <c r="H188" s="256">
        <f t="shared" si="2"/>
        <v>0.07314285714</v>
      </c>
      <c r="I188" s="154"/>
      <c r="J188" s="255">
        <v>45876.0</v>
      </c>
      <c r="K188" s="174">
        <v>16.29</v>
      </c>
      <c r="L188" s="256">
        <f t="shared" si="3"/>
        <v>0.01748906933</v>
      </c>
      <c r="M188" s="154"/>
      <c r="N188" s="255">
        <v>45876.0</v>
      </c>
      <c r="O188" s="174">
        <v>1750.0</v>
      </c>
      <c r="P188" s="256">
        <f t="shared" si="4"/>
        <v>-0.07112526539</v>
      </c>
      <c r="Q188" s="154"/>
      <c r="R188" s="255">
        <v>45876.0</v>
      </c>
      <c r="S188" s="174">
        <v>22.83</v>
      </c>
      <c r="T188" s="256">
        <f t="shared" si="5"/>
        <v>-0.03303684879</v>
      </c>
      <c r="U188" s="154"/>
      <c r="V188" s="255">
        <v>45876.0</v>
      </c>
      <c r="W188" s="174">
        <v>1200.8</v>
      </c>
      <c r="X188" s="256">
        <f t="shared" si="6"/>
        <v>0.00342608841</v>
      </c>
      <c r="Y188" s="154"/>
      <c r="Z188" s="255">
        <v>45876.0</v>
      </c>
      <c r="AA188" s="174">
        <v>1491.0</v>
      </c>
      <c r="AB188" s="256">
        <f t="shared" si="7"/>
        <v>0.002892311832</v>
      </c>
      <c r="AC188" s="154"/>
      <c r="AD188" s="255">
        <v>45876.0</v>
      </c>
      <c r="AE188" s="174">
        <v>8.44</v>
      </c>
      <c r="AF188" s="256">
        <f t="shared" si="8"/>
        <v>-0.002364066194</v>
      </c>
      <c r="AG188" s="257"/>
      <c r="AH188" s="255">
        <v>45876.0</v>
      </c>
      <c r="AI188" s="174">
        <v>364.2</v>
      </c>
      <c r="AJ188" s="256">
        <f t="shared" si="9"/>
        <v>0.01054384018</v>
      </c>
      <c r="AK188" s="257"/>
      <c r="AL188" s="255">
        <v>45876.0</v>
      </c>
      <c r="AM188" s="174">
        <v>6340.0</v>
      </c>
      <c r="AN188" s="256">
        <f t="shared" si="10"/>
        <v>-0.0007974707883</v>
      </c>
      <c r="AO188" s="154"/>
      <c r="AP188" s="154"/>
    </row>
    <row r="189">
      <c r="A189" s="154"/>
      <c r="B189" s="255">
        <v>45875.0</v>
      </c>
      <c r="C189" s="174">
        <v>8.72</v>
      </c>
      <c r="D189" s="256">
        <f t="shared" si="1"/>
        <v>0.0380952381</v>
      </c>
      <c r="E189" s="154"/>
      <c r="F189" s="255">
        <v>45875.0</v>
      </c>
      <c r="G189" s="174">
        <v>8.75</v>
      </c>
      <c r="H189" s="256">
        <f t="shared" si="2"/>
        <v>-0.02561247216</v>
      </c>
      <c r="I189" s="154"/>
      <c r="J189" s="255">
        <v>45875.0</v>
      </c>
      <c r="K189" s="174">
        <v>16.01</v>
      </c>
      <c r="L189" s="256">
        <f t="shared" si="3"/>
        <v>0.01909611712</v>
      </c>
      <c r="M189" s="154"/>
      <c r="N189" s="255">
        <v>45875.0</v>
      </c>
      <c r="O189" s="174">
        <v>1884.0</v>
      </c>
      <c r="P189" s="256">
        <f t="shared" si="4"/>
        <v>-0.01670146138</v>
      </c>
      <c r="Q189" s="154"/>
      <c r="R189" s="255">
        <v>45875.0</v>
      </c>
      <c r="S189" s="174">
        <v>23.61</v>
      </c>
      <c r="T189" s="256">
        <f t="shared" si="5"/>
        <v>-0.1130728775</v>
      </c>
      <c r="U189" s="154"/>
      <c r="V189" s="255">
        <v>45875.0</v>
      </c>
      <c r="W189" s="174">
        <v>1196.7</v>
      </c>
      <c r="X189" s="256">
        <f t="shared" si="6"/>
        <v>-0.01489957195</v>
      </c>
      <c r="Y189" s="154"/>
      <c r="Z189" s="255">
        <v>45875.0</v>
      </c>
      <c r="AA189" s="174">
        <v>1486.7</v>
      </c>
      <c r="AB189" s="256">
        <f t="shared" si="7"/>
        <v>-0.008734497933</v>
      </c>
      <c r="AC189" s="154"/>
      <c r="AD189" s="255">
        <v>45875.0</v>
      </c>
      <c r="AE189" s="174">
        <v>8.46</v>
      </c>
      <c r="AF189" s="256">
        <f t="shared" si="8"/>
        <v>-0.01856148492</v>
      </c>
      <c r="AG189" s="257"/>
      <c r="AH189" s="255">
        <v>45875.0</v>
      </c>
      <c r="AI189" s="174">
        <v>360.4</v>
      </c>
      <c r="AJ189" s="256">
        <f t="shared" si="9"/>
        <v>-0.03209346045</v>
      </c>
      <c r="AK189" s="257"/>
      <c r="AL189" s="255">
        <v>45875.0</v>
      </c>
      <c r="AM189" s="174">
        <v>6345.06</v>
      </c>
      <c r="AN189" s="256">
        <f t="shared" si="10"/>
        <v>0.007281888624</v>
      </c>
      <c r="AO189" s="154"/>
      <c r="AP189" s="154"/>
    </row>
    <row r="190">
      <c r="A190" s="154"/>
      <c r="B190" s="255">
        <v>45874.0</v>
      </c>
      <c r="C190" s="174">
        <v>8.4</v>
      </c>
      <c r="D190" s="256">
        <f t="shared" si="1"/>
        <v>-0.1313340228</v>
      </c>
      <c r="E190" s="154"/>
      <c r="F190" s="255">
        <v>45874.0</v>
      </c>
      <c r="G190" s="174">
        <v>8.98</v>
      </c>
      <c r="H190" s="256">
        <f t="shared" si="2"/>
        <v>0.004474272931</v>
      </c>
      <c r="I190" s="154"/>
      <c r="J190" s="255">
        <v>45874.0</v>
      </c>
      <c r="K190" s="174">
        <v>15.71</v>
      </c>
      <c r="L190" s="256">
        <f t="shared" si="3"/>
        <v>0.001274697259</v>
      </c>
      <c r="M190" s="154"/>
      <c r="N190" s="255">
        <v>45874.0</v>
      </c>
      <c r="O190" s="174">
        <v>1916.0</v>
      </c>
      <c r="P190" s="256">
        <f t="shared" si="4"/>
        <v>-0.00725388601</v>
      </c>
      <c r="Q190" s="154"/>
      <c r="R190" s="255">
        <v>45874.0</v>
      </c>
      <c r="S190" s="174">
        <v>26.62</v>
      </c>
      <c r="T190" s="256">
        <f t="shared" si="5"/>
        <v>-0.01261127596</v>
      </c>
      <c r="U190" s="154"/>
      <c r="V190" s="255">
        <v>45874.0</v>
      </c>
      <c r="W190" s="174">
        <v>1214.8</v>
      </c>
      <c r="X190" s="256">
        <f t="shared" si="6"/>
        <v>-0.008326530612</v>
      </c>
      <c r="Y190" s="154"/>
      <c r="Z190" s="255">
        <v>45874.0</v>
      </c>
      <c r="AA190" s="174">
        <v>1499.8</v>
      </c>
      <c r="AB190" s="256">
        <f t="shared" si="7"/>
        <v>-0.01009834334</v>
      </c>
      <c r="AC190" s="154"/>
      <c r="AD190" s="255">
        <v>45874.0</v>
      </c>
      <c r="AE190" s="174">
        <v>8.62</v>
      </c>
      <c r="AF190" s="256">
        <f t="shared" si="8"/>
        <v>-0.0281848929</v>
      </c>
      <c r="AG190" s="257"/>
      <c r="AH190" s="255">
        <v>45874.0</v>
      </c>
      <c r="AI190" s="174">
        <v>372.35</v>
      </c>
      <c r="AJ190" s="256">
        <f t="shared" si="9"/>
        <v>-0.02628138075</v>
      </c>
      <c r="AK190" s="257"/>
      <c r="AL190" s="255">
        <v>45874.0</v>
      </c>
      <c r="AM190" s="174">
        <v>6299.19</v>
      </c>
      <c r="AN190" s="256">
        <f t="shared" si="10"/>
        <v>-0.004857865951</v>
      </c>
      <c r="AO190" s="154"/>
      <c r="AP190" s="154"/>
    </row>
    <row r="191">
      <c r="A191" s="154"/>
      <c r="B191" s="255">
        <v>45873.0</v>
      </c>
      <c r="C191" s="174">
        <v>9.67</v>
      </c>
      <c r="D191" s="256">
        <f t="shared" si="1"/>
        <v>-0.008205128205</v>
      </c>
      <c r="E191" s="154"/>
      <c r="F191" s="255">
        <v>45873.0</v>
      </c>
      <c r="G191" s="174">
        <v>8.94</v>
      </c>
      <c r="H191" s="256">
        <f t="shared" si="2"/>
        <v>0.01475595914</v>
      </c>
      <c r="I191" s="154"/>
      <c r="J191" s="255">
        <v>45873.0</v>
      </c>
      <c r="K191" s="174">
        <v>15.69</v>
      </c>
      <c r="L191" s="256">
        <f t="shared" si="3"/>
        <v>0.02015604681</v>
      </c>
      <c r="M191" s="154"/>
      <c r="N191" s="255">
        <v>45873.0</v>
      </c>
      <c r="O191" s="174">
        <v>1930.0</v>
      </c>
      <c r="P191" s="256">
        <f t="shared" si="4"/>
        <v>-0.004641567818</v>
      </c>
      <c r="Q191" s="154"/>
      <c r="R191" s="255">
        <v>45873.0</v>
      </c>
      <c r="S191" s="174">
        <v>26.96</v>
      </c>
      <c r="T191" s="256">
        <f t="shared" si="5"/>
        <v>0.01201201201</v>
      </c>
      <c r="U191" s="154"/>
      <c r="V191" s="255">
        <v>45873.0</v>
      </c>
      <c r="W191" s="174">
        <v>1225.0</v>
      </c>
      <c r="X191" s="256">
        <f t="shared" si="6"/>
        <v>0.003604784532</v>
      </c>
      <c r="Y191" s="154"/>
      <c r="Z191" s="255">
        <v>45873.0</v>
      </c>
      <c r="AA191" s="174">
        <v>1515.1</v>
      </c>
      <c r="AB191" s="256">
        <f t="shared" si="7"/>
        <v>0.008184721853</v>
      </c>
      <c r="AC191" s="154"/>
      <c r="AD191" s="255">
        <v>45873.0</v>
      </c>
      <c r="AE191" s="174">
        <v>8.87</v>
      </c>
      <c r="AF191" s="256">
        <f t="shared" si="8"/>
        <v>0.009101251422</v>
      </c>
      <c r="AG191" s="257"/>
      <c r="AH191" s="255">
        <v>45873.0</v>
      </c>
      <c r="AI191" s="174">
        <v>382.4</v>
      </c>
      <c r="AJ191" s="256">
        <f t="shared" si="9"/>
        <v>-0.001827199165</v>
      </c>
      <c r="AK191" s="257"/>
      <c r="AL191" s="255">
        <v>45873.0</v>
      </c>
      <c r="AM191" s="174">
        <v>6329.94</v>
      </c>
      <c r="AN191" s="256">
        <f t="shared" si="10"/>
        <v>0.0147370716</v>
      </c>
      <c r="AO191" s="154"/>
      <c r="AP191" s="154"/>
    </row>
    <row r="192">
      <c r="A192" s="154"/>
      <c r="B192" s="255">
        <v>45870.0</v>
      </c>
      <c r="C192" s="174">
        <v>9.75</v>
      </c>
      <c r="D192" s="256">
        <f t="shared" si="1"/>
        <v>0.005154639175</v>
      </c>
      <c r="E192" s="154"/>
      <c r="F192" s="255">
        <v>45870.0</v>
      </c>
      <c r="G192" s="174">
        <v>8.81</v>
      </c>
      <c r="H192" s="256">
        <f t="shared" si="2"/>
        <v>0.008009153318</v>
      </c>
      <c r="I192" s="154"/>
      <c r="J192" s="255">
        <v>45870.0</v>
      </c>
      <c r="K192" s="174">
        <v>15.38</v>
      </c>
      <c r="L192" s="256">
        <f t="shared" si="3"/>
        <v>-0.004530744337</v>
      </c>
      <c r="M192" s="154"/>
      <c r="N192" s="255">
        <v>45870.0</v>
      </c>
      <c r="O192" s="174">
        <v>1939.0</v>
      </c>
      <c r="P192" s="256">
        <f t="shared" si="4"/>
        <v>-0.01272912424</v>
      </c>
      <c r="Q192" s="154"/>
      <c r="R192" s="255">
        <v>45870.0</v>
      </c>
      <c r="S192" s="174">
        <v>26.64</v>
      </c>
      <c r="T192" s="256">
        <f t="shared" si="5"/>
        <v>-0.001124859393</v>
      </c>
      <c r="U192" s="154"/>
      <c r="V192" s="255">
        <v>45870.0</v>
      </c>
      <c r="W192" s="174">
        <v>1220.6</v>
      </c>
      <c r="X192" s="256">
        <f t="shared" si="6"/>
        <v>-0.03912461623</v>
      </c>
      <c r="Y192" s="154"/>
      <c r="Z192" s="255">
        <v>45870.0</v>
      </c>
      <c r="AA192" s="174">
        <v>1502.8</v>
      </c>
      <c r="AB192" s="256">
        <f t="shared" si="7"/>
        <v>-0.03332046829</v>
      </c>
      <c r="AC192" s="154"/>
      <c r="AD192" s="255">
        <v>45870.0</v>
      </c>
      <c r="AE192" s="174">
        <v>8.79</v>
      </c>
      <c r="AF192" s="256">
        <f t="shared" si="8"/>
        <v>-0.0298013245</v>
      </c>
      <c r="AG192" s="257"/>
      <c r="AH192" s="255">
        <v>45870.0</v>
      </c>
      <c r="AI192" s="174">
        <v>383.1</v>
      </c>
      <c r="AJ192" s="256">
        <f t="shared" si="9"/>
        <v>-0.02120592744</v>
      </c>
      <c r="AK192" s="257"/>
      <c r="AL192" s="255">
        <v>45870.0</v>
      </c>
      <c r="AM192" s="174">
        <v>6238.01</v>
      </c>
      <c r="AN192" s="256">
        <f t="shared" si="10"/>
        <v>-0.01599207495</v>
      </c>
      <c r="AO192" s="154"/>
      <c r="AP192" s="154"/>
    </row>
    <row r="193">
      <c r="A193" s="154"/>
      <c r="B193" s="255">
        <v>45869.0</v>
      </c>
      <c r="C193" s="174">
        <v>9.7</v>
      </c>
      <c r="D193" s="256">
        <f t="shared" si="1"/>
        <v>-0.03386454183</v>
      </c>
      <c r="E193" s="154"/>
      <c r="F193" s="255">
        <v>45869.0</v>
      </c>
      <c r="G193" s="174">
        <v>8.74</v>
      </c>
      <c r="H193" s="256">
        <f t="shared" si="2"/>
        <v>-0.02888888889</v>
      </c>
      <c r="I193" s="154"/>
      <c r="J193" s="255">
        <v>45869.0</v>
      </c>
      <c r="K193" s="174">
        <v>15.45</v>
      </c>
      <c r="L193" s="256">
        <f t="shared" si="3"/>
        <v>-0.08199643494</v>
      </c>
      <c r="M193" s="154"/>
      <c r="N193" s="255">
        <v>45869.0</v>
      </c>
      <c r="O193" s="174">
        <v>1964.0</v>
      </c>
      <c r="P193" s="256">
        <f t="shared" si="4"/>
        <v>-0.01553884712</v>
      </c>
      <c r="Q193" s="154"/>
      <c r="R193" s="255">
        <v>45869.0</v>
      </c>
      <c r="S193" s="174">
        <v>26.67</v>
      </c>
      <c r="T193" s="256">
        <f t="shared" si="5"/>
        <v>-0.03018181818</v>
      </c>
      <c r="U193" s="154"/>
      <c r="V193" s="255">
        <v>45869.0</v>
      </c>
      <c r="W193" s="174">
        <v>1270.3</v>
      </c>
      <c r="X193" s="256">
        <f t="shared" si="6"/>
        <v>-0.01687175915</v>
      </c>
      <c r="Y193" s="154"/>
      <c r="Z193" s="255">
        <v>45869.0</v>
      </c>
      <c r="AA193" s="174">
        <v>1554.6</v>
      </c>
      <c r="AB193" s="256">
        <f t="shared" si="7"/>
        <v>-0.003078106964</v>
      </c>
      <c r="AC193" s="154"/>
      <c r="AD193" s="255">
        <v>45869.0</v>
      </c>
      <c r="AE193" s="174">
        <v>9.06</v>
      </c>
      <c r="AF193" s="256">
        <f t="shared" si="8"/>
        <v>-0.02370689655</v>
      </c>
      <c r="AG193" s="257"/>
      <c r="AH193" s="255">
        <v>45869.0</v>
      </c>
      <c r="AI193" s="174">
        <v>391.4</v>
      </c>
      <c r="AJ193" s="256">
        <f t="shared" si="9"/>
        <v>-0.01485023911</v>
      </c>
      <c r="AK193" s="257"/>
      <c r="AL193" s="255">
        <v>45869.0</v>
      </c>
      <c r="AM193" s="174">
        <v>6339.39</v>
      </c>
      <c r="AN193" s="256">
        <f t="shared" si="10"/>
        <v>-0.003694856119</v>
      </c>
      <c r="AO193" s="154"/>
      <c r="AP193" s="154"/>
    </row>
    <row r="194">
      <c r="A194" s="154"/>
      <c r="B194" s="255">
        <v>45868.0</v>
      </c>
      <c r="C194" s="174">
        <v>10.04</v>
      </c>
      <c r="D194" s="256">
        <f t="shared" si="1"/>
        <v>-0.009861932939</v>
      </c>
      <c r="E194" s="154"/>
      <c r="F194" s="255">
        <v>45868.0</v>
      </c>
      <c r="G194" s="174">
        <v>9.0</v>
      </c>
      <c r="H194" s="256">
        <f t="shared" si="2"/>
        <v>-0.02067464635</v>
      </c>
      <c r="I194" s="154"/>
      <c r="J194" s="255">
        <v>45868.0</v>
      </c>
      <c r="K194" s="174">
        <v>16.83</v>
      </c>
      <c r="L194" s="256">
        <f t="shared" si="3"/>
        <v>0.01753325272</v>
      </c>
      <c r="M194" s="154"/>
      <c r="N194" s="255">
        <v>45868.0</v>
      </c>
      <c r="O194" s="174">
        <v>1995.0</v>
      </c>
      <c r="P194" s="256">
        <f t="shared" si="4"/>
        <v>0.009615384615</v>
      </c>
      <c r="Q194" s="154"/>
      <c r="R194" s="255">
        <v>45868.0</v>
      </c>
      <c r="S194" s="174">
        <v>27.5</v>
      </c>
      <c r="T194" s="256">
        <f t="shared" si="5"/>
        <v>-0.02030637691</v>
      </c>
      <c r="U194" s="154"/>
      <c r="V194" s="255">
        <v>45868.0</v>
      </c>
      <c r="W194" s="174">
        <v>1292.1</v>
      </c>
      <c r="X194" s="256">
        <f t="shared" si="6"/>
        <v>-0.005923988306</v>
      </c>
      <c r="Y194" s="154"/>
      <c r="Z194" s="255">
        <v>45868.0</v>
      </c>
      <c r="AA194" s="174">
        <v>1559.4</v>
      </c>
      <c r="AB194" s="256">
        <f t="shared" si="7"/>
        <v>-0.009275730623</v>
      </c>
      <c r="AC194" s="154"/>
      <c r="AD194" s="255">
        <v>45868.0</v>
      </c>
      <c r="AE194" s="174">
        <v>9.28</v>
      </c>
      <c r="AF194" s="256">
        <f t="shared" si="8"/>
        <v>-0.04526748971</v>
      </c>
      <c r="AG194" s="257"/>
      <c r="AH194" s="255">
        <v>45868.0</v>
      </c>
      <c r="AI194" s="174">
        <v>397.3</v>
      </c>
      <c r="AJ194" s="256">
        <f t="shared" si="9"/>
        <v>-0.002134873791</v>
      </c>
      <c r="AK194" s="257"/>
      <c r="AL194" s="255">
        <v>45868.0</v>
      </c>
      <c r="AM194" s="174">
        <v>6362.9</v>
      </c>
      <c r="AN194" s="256">
        <f t="shared" si="10"/>
        <v>-0.001249438851</v>
      </c>
      <c r="AO194" s="154"/>
      <c r="AP194" s="154"/>
    </row>
    <row r="195">
      <c r="A195" s="154"/>
      <c r="B195" s="255">
        <v>45867.0</v>
      </c>
      <c r="C195" s="174">
        <v>10.14</v>
      </c>
      <c r="D195" s="256">
        <f t="shared" si="1"/>
        <v>0.01705115346</v>
      </c>
      <c r="E195" s="154"/>
      <c r="F195" s="255">
        <v>45867.0</v>
      </c>
      <c r="G195" s="174">
        <v>9.19</v>
      </c>
      <c r="H195" s="256">
        <f t="shared" si="2"/>
        <v>-0.007559395248</v>
      </c>
      <c r="I195" s="154"/>
      <c r="J195" s="255">
        <v>45867.0</v>
      </c>
      <c r="K195" s="174">
        <v>16.54</v>
      </c>
      <c r="L195" s="256">
        <f t="shared" si="3"/>
        <v>0.001817080557</v>
      </c>
      <c r="M195" s="154"/>
      <c r="N195" s="255">
        <v>45867.0</v>
      </c>
      <c r="O195" s="174">
        <v>1976.0</v>
      </c>
      <c r="P195" s="256">
        <f t="shared" si="4"/>
        <v>-0.008032128514</v>
      </c>
      <c r="Q195" s="154"/>
      <c r="R195" s="255">
        <v>45867.0</v>
      </c>
      <c r="S195" s="174">
        <v>28.07</v>
      </c>
      <c r="T195" s="256">
        <f t="shared" si="5"/>
        <v>-0.002132954141</v>
      </c>
      <c r="U195" s="154"/>
      <c r="V195" s="255">
        <v>45867.0</v>
      </c>
      <c r="W195" s="174">
        <v>1299.8</v>
      </c>
      <c r="X195" s="256">
        <f t="shared" si="6"/>
        <v>0.009631816063</v>
      </c>
      <c r="Y195" s="154"/>
      <c r="Z195" s="255">
        <v>45867.0</v>
      </c>
      <c r="AA195" s="174">
        <v>1574.0</v>
      </c>
      <c r="AB195" s="256">
        <f t="shared" si="7"/>
        <v>0.001272264631</v>
      </c>
      <c r="AC195" s="154"/>
      <c r="AD195" s="255">
        <v>45867.0</v>
      </c>
      <c r="AE195" s="174">
        <v>9.72</v>
      </c>
      <c r="AF195" s="256">
        <f t="shared" si="8"/>
        <v>-0.009174311927</v>
      </c>
      <c r="AG195" s="257"/>
      <c r="AH195" s="255">
        <v>45867.0</v>
      </c>
      <c r="AI195" s="174">
        <v>398.15</v>
      </c>
      <c r="AJ195" s="256">
        <f t="shared" si="9"/>
        <v>0.02761646664</v>
      </c>
      <c r="AK195" s="257"/>
      <c r="AL195" s="255">
        <v>45867.0</v>
      </c>
      <c r="AM195" s="174">
        <v>6370.86</v>
      </c>
      <c r="AN195" s="256">
        <f t="shared" si="10"/>
        <v>-0.002959417945</v>
      </c>
      <c r="AO195" s="154"/>
      <c r="AP195" s="154"/>
    </row>
    <row r="196">
      <c r="A196" s="154"/>
      <c r="B196" s="255">
        <v>45866.0</v>
      </c>
      <c r="C196" s="174">
        <v>9.97</v>
      </c>
      <c r="D196" s="256">
        <f t="shared" si="1"/>
        <v>-0.02350636631</v>
      </c>
      <c r="E196" s="154"/>
      <c r="F196" s="255">
        <v>45866.0</v>
      </c>
      <c r="G196" s="174">
        <v>9.26</v>
      </c>
      <c r="H196" s="256">
        <f t="shared" si="2"/>
        <v>-0.01594048884</v>
      </c>
      <c r="I196" s="154"/>
      <c r="J196" s="255">
        <v>45866.0</v>
      </c>
      <c r="K196" s="174">
        <v>16.51</v>
      </c>
      <c r="L196" s="256">
        <f t="shared" si="3"/>
        <v>-0.001813784764</v>
      </c>
      <c r="M196" s="154"/>
      <c r="N196" s="255">
        <v>45866.0</v>
      </c>
      <c r="O196" s="174">
        <v>1992.0</v>
      </c>
      <c r="P196" s="256">
        <f t="shared" si="4"/>
        <v>-0.005988023952</v>
      </c>
      <c r="Q196" s="154"/>
      <c r="R196" s="255">
        <v>45866.0</v>
      </c>
      <c r="S196" s="174">
        <v>28.13</v>
      </c>
      <c r="T196" s="256">
        <f t="shared" si="5"/>
        <v>-0.01055223356</v>
      </c>
      <c r="U196" s="154"/>
      <c r="V196" s="255">
        <v>45866.0</v>
      </c>
      <c r="W196" s="174">
        <v>1287.4</v>
      </c>
      <c r="X196" s="256">
        <f t="shared" si="6"/>
        <v>0.007434071524</v>
      </c>
      <c r="Y196" s="154"/>
      <c r="Z196" s="255">
        <v>45866.0</v>
      </c>
      <c r="AA196" s="174">
        <v>1572.0</v>
      </c>
      <c r="AB196" s="256">
        <f t="shared" si="7"/>
        <v>0.02577487765</v>
      </c>
      <c r="AC196" s="154"/>
      <c r="AD196" s="255">
        <v>45866.0</v>
      </c>
      <c r="AE196" s="174">
        <v>9.81</v>
      </c>
      <c r="AF196" s="256">
        <f t="shared" si="8"/>
        <v>0.02081165453</v>
      </c>
      <c r="AG196" s="257"/>
      <c r="AH196" s="255">
        <v>45866.0</v>
      </c>
      <c r="AI196" s="174">
        <v>387.45</v>
      </c>
      <c r="AJ196" s="256">
        <f t="shared" si="9"/>
        <v>-0.01699860459</v>
      </c>
      <c r="AK196" s="257"/>
      <c r="AL196" s="255">
        <v>45866.0</v>
      </c>
      <c r="AM196" s="174">
        <v>6389.77</v>
      </c>
      <c r="AN196" s="256">
        <f t="shared" si="10"/>
        <v>0.0001768764557</v>
      </c>
      <c r="AO196" s="154"/>
      <c r="AP196" s="154"/>
    </row>
    <row r="197">
      <c r="A197" s="154"/>
      <c r="B197" s="255">
        <v>45863.0</v>
      </c>
      <c r="C197" s="174">
        <v>10.21</v>
      </c>
      <c r="D197" s="256">
        <f t="shared" si="1"/>
        <v>0.01390268123</v>
      </c>
      <c r="E197" s="154"/>
      <c r="F197" s="255">
        <v>45863.0</v>
      </c>
      <c r="G197" s="174">
        <v>9.41</v>
      </c>
      <c r="H197" s="256">
        <f t="shared" si="2"/>
        <v>0.006417112299</v>
      </c>
      <c r="I197" s="154"/>
      <c r="J197" s="255">
        <v>45863.0</v>
      </c>
      <c r="K197" s="174">
        <v>16.54</v>
      </c>
      <c r="L197" s="256">
        <f t="shared" si="3"/>
        <v>0.0128597673</v>
      </c>
      <c r="M197" s="154"/>
      <c r="N197" s="255">
        <v>45863.0</v>
      </c>
      <c r="O197" s="174">
        <v>2004.0</v>
      </c>
      <c r="P197" s="256">
        <f t="shared" si="4"/>
        <v>-0.01183431953</v>
      </c>
      <c r="Q197" s="154"/>
      <c r="R197" s="255">
        <v>45863.0</v>
      </c>
      <c r="S197" s="174">
        <v>28.43</v>
      </c>
      <c r="T197" s="256">
        <f t="shared" si="5"/>
        <v>0.01138384916</v>
      </c>
      <c r="U197" s="154"/>
      <c r="V197" s="255">
        <v>45863.0</v>
      </c>
      <c r="W197" s="174">
        <v>1277.9</v>
      </c>
      <c r="X197" s="256">
        <f t="shared" si="6"/>
        <v>0.009798498617</v>
      </c>
      <c r="Y197" s="154"/>
      <c r="Z197" s="255">
        <v>45863.0</v>
      </c>
      <c r="AA197" s="174">
        <v>1532.5</v>
      </c>
      <c r="AB197" s="256">
        <f t="shared" si="7"/>
        <v>0.02997513274</v>
      </c>
      <c r="AC197" s="154"/>
      <c r="AD197" s="255">
        <v>45863.0</v>
      </c>
      <c r="AE197" s="174">
        <v>9.61</v>
      </c>
      <c r="AF197" s="256">
        <f t="shared" si="8"/>
        <v>0.04912663755</v>
      </c>
      <c r="AG197" s="257"/>
      <c r="AH197" s="255">
        <v>45863.0</v>
      </c>
      <c r="AI197" s="174">
        <v>394.15</v>
      </c>
      <c r="AJ197" s="256">
        <f t="shared" si="9"/>
        <v>-0.008677062374</v>
      </c>
      <c r="AK197" s="257"/>
      <c r="AL197" s="255">
        <v>45863.0</v>
      </c>
      <c r="AM197" s="174">
        <v>6388.64</v>
      </c>
      <c r="AN197" s="256">
        <f t="shared" si="10"/>
        <v>0.003974321702</v>
      </c>
      <c r="AO197" s="154"/>
      <c r="AP197" s="154"/>
    </row>
    <row r="198">
      <c r="A198" s="154"/>
      <c r="B198" s="255">
        <v>45862.0</v>
      </c>
      <c r="C198" s="174">
        <v>10.07</v>
      </c>
      <c r="D198" s="256">
        <f t="shared" si="1"/>
        <v>-0.00297029703</v>
      </c>
      <c r="E198" s="154"/>
      <c r="F198" s="255">
        <v>45862.0</v>
      </c>
      <c r="G198" s="174">
        <v>9.35</v>
      </c>
      <c r="H198" s="256">
        <f t="shared" si="2"/>
        <v>-0.002134471718</v>
      </c>
      <c r="I198" s="154"/>
      <c r="J198" s="255">
        <v>45862.0</v>
      </c>
      <c r="K198" s="174">
        <v>16.33</v>
      </c>
      <c r="L198" s="256">
        <f t="shared" si="3"/>
        <v>-0.01507840772</v>
      </c>
      <c r="M198" s="154"/>
      <c r="N198" s="255">
        <v>45862.0</v>
      </c>
      <c r="O198" s="174">
        <v>2028.0</v>
      </c>
      <c r="P198" s="256">
        <f t="shared" si="4"/>
        <v>0.01654135338</v>
      </c>
      <c r="Q198" s="154"/>
      <c r="R198" s="255">
        <v>45862.0</v>
      </c>
      <c r="S198" s="174">
        <v>28.11</v>
      </c>
      <c r="T198" s="256">
        <f t="shared" si="5"/>
        <v>-0.0003556187767</v>
      </c>
      <c r="U198" s="154"/>
      <c r="V198" s="255">
        <v>45862.0</v>
      </c>
      <c r="W198" s="174">
        <v>1265.5</v>
      </c>
      <c r="X198" s="256">
        <f t="shared" si="6"/>
        <v>0.01451018118</v>
      </c>
      <c r="Y198" s="154"/>
      <c r="Z198" s="255">
        <v>45862.0</v>
      </c>
      <c r="AA198" s="174">
        <v>1487.9</v>
      </c>
      <c r="AB198" s="256">
        <f t="shared" si="7"/>
        <v>0.009772650153</v>
      </c>
      <c r="AC198" s="154"/>
      <c r="AD198" s="255">
        <v>45862.0</v>
      </c>
      <c r="AE198" s="174">
        <v>9.16</v>
      </c>
      <c r="AF198" s="256">
        <f t="shared" si="8"/>
        <v>0</v>
      </c>
      <c r="AG198" s="257"/>
      <c r="AH198" s="255">
        <v>45862.0</v>
      </c>
      <c r="AI198" s="174">
        <v>397.6</v>
      </c>
      <c r="AJ198" s="256">
        <f t="shared" si="9"/>
        <v>0.001637485829</v>
      </c>
      <c r="AK198" s="257"/>
      <c r="AL198" s="255">
        <v>45862.0</v>
      </c>
      <c r="AM198" s="174">
        <v>6363.35</v>
      </c>
      <c r="AN198" s="256">
        <f t="shared" si="10"/>
        <v>0.0006982328732</v>
      </c>
      <c r="AO198" s="154"/>
      <c r="AP198" s="154"/>
    </row>
    <row r="199">
      <c r="A199" s="154"/>
      <c r="B199" s="255">
        <v>45861.0</v>
      </c>
      <c r="C199" s="174">
        <v>10.1</v>
      </c>
      <c r="D199" s="256">
        <f t="shared" si="1"/>
        <v>0.02851323829</v>
      </c>
      <c r="E199" s="154"/>
      <c r="F199" s="255">
        <v>45861.0</v>
      </c>
      <c r="G199" s="174">
        <v>9.37</v>
      </c>
      <c r="H199" s="256">
        <f t="shared" si="2"/>
        <v>0.01406926407</v>
      </c>
      <c r="I199" s="154"/>
      <c r="J199" s="255">
        <v>45861.0</v>
      </c>
      <c r="K199" s="174">
        <v>16.58</v>
      </c>
      <c r="L199" s="256">
        <f t="shared" si="3"/>
        <v>0.01780233272</v>
      </c>
      <c r="M199" s="154"/>
      <c r="N199" s="255">
        <v>45861.0</v>
      </c>
      <c r="O199" s="174">
        <v>1995.0</v>
      </c>
      <c r="P199" s="256">
        <f t="shared" si="4"/>
        <v>0.005037783375</v>
      </c>
      <c r="Q199" s="154"/>
      <c r="R199" s="255">
        <v>45861.0</v>
      </c>
      <c r="S199" s="174">
        <v>28.12</v>
      </c>
      <c r="T199" s="256">
        <f t="shared" si="5"/>
        <v>0.02068965517</v>
      </c>
      <c r="U199" s="154"/>
      <c r="V199" s="255">
        <v>45861.0</v>
      </c>
      <c r="W199" s="174">
        <v>1247.4</v>
      </c>
      <c r="X199" s="256">
        <f t="shared" si="6"/>
        <v>0.005967741935</v>
      </c>
      <c r="Y199" s="154"/>
      <c r="Z199" s="255">
        <v>45861.0</v>
      </c>
      <c r="AA199" s="174">
        <v>1473.5</v>
      </c>
      <c r="AB199" s="256">
        <f t="shared" si="7"/>
        <v>0.00621414914</v>
      </c>
      <c r="AC199" s="154"/>
      <c r="AD199" s="255">
        <v>45861.0</v>
      </c>
      <c r="AE199" s="174">
        <v>9.16</v>
      </c>
      <c r="AF199" s="256">
        <f t="shared" si="8"/>
        <v>0.05529953917</v>
      </c>
      <c r="AG199" s="257"/>
      <c r="AH199" s="255">
        <v>45861.0</v>
      </c>
      <c r="AI199" s="174">
        <v>396.95</v>
      </c>
      <c r="AJ199" s="256">
        <f t="shared" si="9"/>
        <v>0.02518078512</v>
      </c>
      <c r="AK199" s="257"/>
      <c r="AL199" s="255">
        <v>45861.0</v>
      </c>
      <c r="AM199" s="174">
        <v>6358.91</v>
      </c>
      <c r="AN199" s="256">
        <f t="shared" si="10"/>
        <v>0.007811880906</v>
      </c>
      <c r="AO199" s="154"/>
      <c r="AP199" s="154"/>
    </row>
    <row r="200">
      <c r="A200" s="154"/>
      <c r="B200" s="255">
        <v>45860.0</v>
      </c>
      <c r="C200" s="174">
        <v>9.82</v>
      </c>
      <c r="D200" s="256">
        <f t="shared" si="1"/>
        <v>0.03915343915</v>
      </c>
      <c r="E200" s="154"/>
      <c r="F200" s="255">
        <v>45860.0</v>
      </c>
      <c r="G200" s="174">
        <v>9.24</v>
      </c>
      <c r="H200" s="256">
        <f t="shared" si="2"/>
        <v>0.03820224719</v>
      </c>
      <c r="I200" s="154"/>
      <c r="J200" s="255">
        <v>45860.0</v>
      </c>
      <c r="K200" s="174">
        <v>16.29</v>
      </c>
      <c r="L200" s="256">
        <f t="shared" si="3"/>
        <v>-0.00122624157</v>
      </c>
      <c r="M200" s="154"/>
      <c r="N200" s="255">
        <v>45860.0</v>
      </c>
      <c r="O200" s="174">
        <v>1985.0</v>
      </c>
      <c r="P200" s="256">
        <f t="shared" si="4"/>
        <v>-0.006506506507</v>
      </c>
      <c r="Q200" s="154"/>
      <c r="R200" s="255">
        <v>45860.0</v>
      </c>
      <c r="S200" s="174">
        <v>27.55</v>
      </c>
      <c r="T200" s="256">
        <f t="shared" si="5"/>
        <v>0.02264291017</v>
      </c>
      <c r="U200" s="154"/>
      <c r="V200" s="255">
        <v>45860.0</v>
      </c>
      <c r="W200" s="174">
        <v>1240.0</v>
      </c>
      <c r="X200" s="256">
        <f t="shared" si="6"/>
        <v>-0.01532597475</v>
      </c>
      <c r="Y200" s="154"/>
      <c r="Z200" s="255">
        <v>45860.0</v>
      </c>
      <c r="AA200" s="174">
        <v>1464.4</v>
      </c>
      <c r="AB200" s="256">
        <f t="shared" si="7"/>
        <v>-0.006445484768</v>
      </c>
      <c r="AC200" s="154"/>
      <c r="AD200" s="255">
        <v>45860.0</v>
      </c>
      <c r="AE200" s="174">
        <v>8.68</v>
      </c>
      <c r="AF200" s="256">
        <f t="shared" si="8"/>
        <v>0.00462962963</v>
      </c>
      <c r="AG200" s="257"/>
      <c r="AH200" s="255">
        <v>45860.0</v>
      </c>
      <c r="AI200" s="174">
        <v>387.2</v>
      </c>
      <c r="AJ200" s="256">
        <f t="shared" si="9"/>
        <v>-0.01887748638</v>
      </c>
      <c r="AK200" s="257"/>
      <c r="AL200" s="255">
        <v>45860.0</v>
      </c>
      <c r="AM200" s="174">
        <v>6309.62</v>
      </c>
      <c r="AN200" s="256">
        <f t="shared" si="10"/>
        <v>0.0006375285461</v>
      </c>
      <c r="AO200" s="154"/>
      <c r="AP200" s="154"/>
    </row>
    <row r="201">
      <c r="A201" s="154"/>
      <c r="B201" s="255">
        <v>45859.0</v>
      </c>
      <c r="C201" s="174">
        <v>9.45</v>
      </c>
      <c r="D201" s="256">
        <f t="shared" si="1"/>
        <v>-0.001057082452</v>
      </c>
      <c r="E201" s="154"/>
      <c r="F201" s="255">
        <v>45859.0</v>
      </c>
      <c r="G201" s="174">
        <v>8.9</v>
      </c>
      <c r="H201" s="256">
        <f t="shared" si="2"/>
        <v>0.002252252252</v>
      </c>
      <c r="I201" s="154"/>
      <c r="J201" s="255">
        <v>45859.0</v>
      </c>
      <c r="K201" s="174">
        <v>16.31</v>
      </c>
      <c r="L201" s="256">
        <f t="shared" si="3"/>
        <v>0.01556662516</v>
      </c>
      <c r="M201" s="154"/>
      <c r="N201" s="255">
        <v>45859.0</v>
      </c>
      <c r="O201" s="174">
        <v>1998.0</v>
      </c>
      <c r="P201" s="256">
        <f t="shared" si="4"/>
        <v>-0.005970149254</v>
      </c>
      <c r="Q201" s="154"/>
      <c r="R201" s="255">
        <v>45859.0</v>
      </c>
      <c r="S201" s="174">
        <v>26.94</v>
      </c>
      <c r="T201" s="256">
        <f t="shared" si="5"/>
        <v>-0.0007418397626</v>
      </c>
      <c r="U201" s="154"/>
      <c r="V201" s="255">
        <v>45859.0</v>
      </c>
      <c r="W201" s="174">
        <v>1259.3</v>
      </c>
      <c r="X201" s="256">
        <f t="shared" si="6"/>
        <v>0.001431411531</v>
      </c>
      <c r="Y201" s="154"/>
      <c r="Z201" s="255">
        <v>45859.0</v>
      </c>
      <c r="AA201" s="174">
        <v>1473.9</v>
      </c>
      <c r="AB201" s="256">
        <f t="shared" si="7"/>
        <v>-0.005666869055</v>
      </c>
      <c r="AC201" s="154"/>
      <c r="AD201" s="255">
        <v>45859.0</v>
      </c>
      <c r="AE201" s="174">
        <v>8.64</v>
      </c>
      <c r="AF201" s="256">
        <f t="shared" si="8"/>
        <v>0.001158748552</v>
      </c>
      <c r="AG201" s="257"/>
      <c r="AH201" s="255">
        <v>45859.0</v>
      </c>
      <c r="AI201" s="174">
        <v>394.65</v>
      </c>
      <c r="AJ201" s="256">
        <f t="shared" si="9"/>
        <v>-0.01028213166</v>
      </c>
      <c r="AK201" s="257"/>
      <c r="AL201" s="255">
        <v>45859.0</v>
      </c>
      <c r="AM201" s="174">
        <v>6305.6</v>
      </c>
      <c r="AN201" s="256">
        <f t="shared" si="10"/>
        <v>0.001399125586</v>
      </c>
      <c r="AO201" s="154"/>
      <c r="AP201" s="154"/>
    </row>
    <row r="202">
      <c r="A202" s="154"/>
      <c r="B202" s="255">
        <v>45856.0</v>
      </c>
      <c r="C202" s="174">
        <v>9.46</v>
      </c>
      <c r="D202" s="256">
        <f t="shared" si="1"/>
        <v>-0.01867219917</v>
      </c>
      <c r="E202" s="154"/>
      <c r="F202" s="255">
        <v>45856.0</v>
      </c>
      <c r="G202" s="174">
        <v>8.88</v>
      </c>
      <c r="H202" s="256">
        <f t="shared" si="2"/>
        <v>-0.04207119741</v>
      </c>
      <c r="I202" s="154"/>
      <c r="J202" s="255">
        <v>45856.0</v>
      </c>
      <c r="K202" s="174">
        <v>16.06</v>
      </c>
      <c r="L202" s="256">
        <f t="shared" si="3"/>
        <v>-0.01532801962</v>
      </c>
      <c r="M202" s="154"/>
      <c r="N202" s="255">
        <v>45856.0</v>
      </c>
      <c r="O202" s="174">
        <v>2010.0</v>
      </c>
      <c r="P202" s="256">
        <f t="shared" si="4"/>
        <v>0.007518796992</v>
      </c>
      <c r="Q202" s="154"/>
      <c r="R202" s="255">
        <v>45856.0</v>
      </c>
      <c r="S202" s="174">
        <v>26.96</v>
      </c>
      <c r="T202" s="256">
        <f t="shared" si="5"/>
        <v>-0.006998158379</v>
      </c>
      <c r="U202" s="154"/>
      <c r="V202" s="255">
        <v>45856.0</v>
      </c>
      <c r="W202" s="174">
        <v>1257.5</v>
      </c>
      <c r="X202" s="256">
        <f t="shared" si="6"/>
        <v>-0.004433536537</v>
      </c>
      <c r="Y202" s="154"/>
      <c r="Z202" s="255">
        <v>45856.0</v>
      </c>
      <c r="AA202" s="174">
        <v>1482.3</v>
      </c>
      <c r="AB202" s="256">
        <f t="shared" si="7"/>
        <v>-0.00006745817593</v>
      </c>
      <c r="AC202" s="154"/>
      <c r="AD202" s="255">
        <v>45856.0</v>
      </c>
      <c r="AE202" s="174">
        <v>8.63</v>
      </c>
      <c r="AF202" s="256">
        <f t="shared" si="8"/>
        <v>-0.01145475372</v>
      </c>
      <c r="AG202" s="257"/>
      <c r="AH202" s="255">
        <v>45856.0</v>
      </c>
      <c r="AI202" s="174">
        <v>398.75</v>
      </c>
      <c r="AJ202" s="256">
        <f t="shared" si="9"/>
        <v>0.004408060453</v>
      </c>
      <c r="AK202" s="257"/>
      <c r="AL202" s="255">
        <v>45856.0</v>
      </c>
      <c r="AM202" s="174">
        <v>6296.79</v>
      </c>
      <c r="AN202" s="256">
        <f t="shared" si="10"/>
        <v>-0.0000905141202</v>
      </c>
      <c r="AO202" s="154"/>
      <c r="AP202" s="154"/>
    </row>
    <row r="203">
      <c r="A203" s="154"/>
      <c r="B203" s="255">
        <v>45855.0</v>
      </c>
      <c r="C203" s="174">
        <v>9.64</v>
      </c>
      <c r="D203" s="256">
        <f t="shared" si="1"/>
        <v>0.001038421599</v>
      </c>
      <c r="E203" s="154"/>
      <c r="F203" s="255">
        <v>45855.0</v>
      </c>
      <c r="G203" s="174">
        <v>9.27</v>
      </c>
      <c r="H203" s="256">
        <f t="shared" si="2"/>
        <v>0.02092511013</v>
      </c>
      <c r="I203" s="154"/>
      <c r="J203" s="255">
        <v>45855.0</v>
      </c>
      <c r="K203" s="174">
        <v>16.31</v>
      </c>
      <c r="L203" s="256">
        <f t="shared" si="3"/>
        <v>0.01873828857</v>
      </c>
      <c r="M203" s="154"/>
      <c r="N203" s="255">
        <v>45855.0</v>
      </c>
      <c r="O203" s="174">
        <v>1995.0</v>
      </c>
      <c r="P203" s="256">
        <f t="shared" si="4"/>
        <v>0.01063829787</v>
      </c>
      <c r="Q203" s="154"/>
      <c r="R203" s="255">
        <v>45855.0</v>
      </c>
      <c r="S203" s="174">
        <v>27.15</v>
      </c>
      <c r="T203" s="256">
        <f t="shared" si="5"/>
        <v>0.002214839424</v>
      </c>
      <c r="U203" s="154"/>
      <c r="V203" s="255">
        <v>45855.0</v>
      </c>
      <c r="W203" s="174">
        <v>1263.1</v>
      </c>
      <c r="X203" s="256">
        <f t="shared" si="6"/>
        <v>0.00293790694</v>
      </c>
      <c r="Y203" s="154"/>
      <c r="Z203" s="255">
        <v>45855.0</v>
      </c>
      <c r="AA203" s="174">
        <v>1482.4</v>
      </c>
      <c r="AB203" s="256">
        <f t="shared" si="7"/>
        <v>0.004472150698</v>
      </c>
      <c r="AC203" s="154"/>
      <c r="AD203" s="255">
        <v>45855.0</v>
      </c>
      <c r="AE203" s="174">
        <v>8.73</v>
      </c>
      <c r="AF203" s="256">
        <f t="shared" si="8"/>
        <v>0.03681710214</v>
      </c>
      <c r="AG203" s="257"/>
      <c r="AH203" s="255">
        <v>45855.0</v>
      </c>
      <c r="AI203" s="174">
        <v>397.0</v>
      </c>
      <c r="AJ203" s="256">
        <f t="shared" si="9"/>
        <v>0.005954643355</v>
      </c>
      <c r="AK203" s="257"/>
      <c r="AL203" s="255">
        <v>45855.0</v>
      </c>
      <c r="AM203" s="174">
        <v>6297.36</v>
      </c>
      <c r="AN203" s="256">
        <f t="shared" si="10"/>
        <v>0.005373820585</v>
      </c>
      <c r="AO203" s="154"/>
      <c r="AP203" s="154"/>
    </row>
    <row r="204">
      <c r="A204" s="154"/>
      <c r="B204" s="255">
        <v>45854.0</v>
      </c>
      <c r="C204" s="174">
        <v>9.63</v>
      </c>
      <c r="D204" s="256">
        <f t="shared" si="1"/>
        <v>0.007322175732</v>
      </c>
      <c r="E204" s="154"/>
      <c r="F204" s="255">
        <v>45854.0</v>
      </c>
      <c r="G204" s="174">
        <v>9.08</v>
      </c>
      <c r="H204" s="256">
        <f t="shared" si="2"/>
        <v>0.01679731243</v>
      </c>
      <c r="I204" s="154"/>
      <c r="J204" s="255">
        <v>45854.0</v>
      </c>
      <c r="K204" s="174">
        <v>16.01</v>
      </c>
      <c r="L204" s="256">
        <f t="shared" si="3"/>
        <v>-0.00187032419</v>
      </c>
      <c r="M204" s="154"/>
      <c r="N204" s="255">
        <v>45854.0</v>
      </c>
      <c r="O204" s="174">
        <v>1974.0</v>
      </c>
      <c r="P204" s="256">
        <f t="shared" si="4"/>
        <v>-0.008538422903</v>
      </c>
      <c r="Q204" s="154"/>
      <c r="R204" s="255">
        <v>45854.0</v>
      </c>
      <c r="S204" s="174">
        <v>27.09</v>
      </c>
      <c r="T204" s="256">
        <f t="shared" si="5"/>
        <v>0.001478743068</v>
      </c>
      <c r="U204" s="154"/>
      <c r="V204" s="255">
        <v>45854.0</v>
      </c>
      <c r="W204" s="174">
        <v>1259.4</v>
      </c>
      <c r="X204" s="256">
        <f t="shared" si="6"/>
        <v>-0.001189626457</v>
      </c>
      <c r="Y204" s="154"/>
      <c r="Z204" s="255">
        <v>45854.0</v>
      </c>
      <c r="AA204" s="174">
        <v>1475.8</v>
      </c>
      <c r="AB204" s="256">
        <f t="shared" si="7"/>
        <v>-0.01012811054</v>
      </c>
      <c r="AC204" s="154"/>
      <c r="AD204" s="255">
        <v>45854.0</v>
      </c>
      <c r="AE204" s="174">
        <v>8.42</v>
      </c>
      <c r="AF204" s="256">
        <f t="shared" si="8"/>
        <v>0.001189060642</v>
      </c>
      <c r="AG204" s="257"/>
      <c r="AH204" s="255">
        <v>45854.0</v>
      </c>
      <c r="AI204" s="174">
        <v>394.65</v>
      </c>
      <c r="AJ204" s="256">
        <f t="shared" si="9"/>
        <v>0.01075681905</v>
      </c>
      <c r="AK204" s="257"/>
      <c r="AL204" s="255">
        <v>45854.0</v>
      </c>
      <c r="AM204" s="174">
        <v>6263.7</v>
      </c>
      <c r="AN204" s="256">
        <f t="shared" si="10"/>
        <v>0.003193588479</v>
      </c>
      <c r="AO204" s="154"/>
      <c r="AP204" s="154"/>
    </row>
    <row r="205">
      <c r="A205" s="154"/>
      <c r="B205" s="255">
        <v>45853.0</v>
      </c>
      <c r="C205" s="174">
        <v>9.56</v>
      </c>
      <c r="D205" s="256">
        <f t="shared" si="1"/>
        <v>-0.0254841998</v>
      </c>
      <c r="E205" s="154"/>
      <c r="F205" s="255">
        <v>45853.0</v>
      </c>
      <c r="G205" s="174">
        <v>8.93</v>
      </c>
      <c r="H205" s="256">
        <f t="shared" si="2"/>
        <v>-0.02297592998</v>
      </c>
      <c r="I205" s="154"/>
      <c r="J205" s="255">
        <v>45853.0</v>
      </c>
      <c r="K205" s="174">
        <v>16.04</v>
      </c>
      <c r="L205" s="256">
        <f t="shared" si="3"/>
        <v>-0.02314250914</v>
      </c>
      <c r="M205" s="154"/>
      <c r="N205" s="255">
        <v>45853.0</v>
      </c>
      <c r="O205" s="174">
        <v>1991.0</v>
      </c>
      <c r="P205" s="256">
        <f t="shared" si="4"/>
        <v>0.008101265823</v>
      </c>
      <c r="Q205" s="154"/>
      <c r="R205" s="255">
        <v>45853.0</v>
      </c>
      <c r="S205" s="174">
        <v>27.05</v>
      </c>
      <c r="T205" s="256">
        <f t="shared" si="5"/>
        <v>-0.01313389274</v>
      </c>
      <c r="U205" s="154"/>
      <c r="V205" s="255">
        <v>45853.0</v>
      </c>
      <c r="W205" s="174">
        <v>1260.9</v>
      </c>
      <c r="X205" s="256">
        <f t="shared" si="6"/>
        <v>0.008236046698</v>
      </c>
      <c r="Y205" s="154"/>
      <c r="Z205" s="255">
        <v>45853.0</v>
      </c>
      <c r="AA205" s="174">
        <v>1490.9</v>
      </c>
      <c r="AB205" s="256">
        <f t="shared" si="7"/>
        <v>0.004649595687</v>
      </c>
      <c r="AC205" s="154"/>
      <c r="AD205" s="255">
        <v>45853.0</v>
      </c>
      <c r="AE205" s="174">
        <v>8.41</v>
      </c>
      <c r="AF205" s="256">
        <f t="shared" si="8"/>
        <v>-0.05505617978</v>
      </c>
      <c r="AG205" s="257"/>
      <c r="AH205" s="255">
        <v>45853.0</v>
      </c>
      <c r="AI205" s="174">
        <v>390.45</v>
      </c>
      <c r="AJ205" s="256">
        <f t="shared" si="9"/>
        <v>0.02993932999</v>
      </c>
      <c r="AK205" s="257"/>
      <c r="AL205" s="255">
        <v>45853.0</v>
      </c>
      <c r="AM205" s="174">
        <v>6243.76</v>
      </c>
      <c r="AN205" s="256">
        <f t="shared" si="10"/>
        <v>-0.003956251515</v>
      </c>
      <c r="AO205" s="154"/>
      <c r="AP205" s="154"/>
    </row>
    <row r="206">
      <c r="A206" s="154"/>
      <c r="B206" s="255">
        <v>45852.0</v>
      </c>
      <c r="C206" s="174">
        <v>9.81</v>
      </c>
      <c r="D206" s="256">
        <f t="shared" si="1"/>
        <v>-0.01307847082</v>
      </c>
      <c r="E206" s="154"/>
      <c r="F206" s="255">
        <v>45852.0</v>
      </c>
      <c r="G206" s="174">
        <v>9.14</v>
      </c>
      <c r="H206" s="256">
        <f t="shared" si="2"/>
        <v>0.002192982456</v>
      </c>
      <c r="I206" s="154"/>
      <c r="J206" s="255">
        <v>45852.0</v>
      </c>
      <c r="K206" s="174">
        <v>16.42</v>
      </c>
      <c r="L206" s="256">
        <f t="shared" si="3"/>
        <v>0.001219512195</v>
      </c>
      <c r="M206" s="154"/>
      <c r="N206" s="255">
        <v>45852.0</v>
      </c>
      <c r="O206" s="174">
        <v>1975.0</v>
      </c>
      <c r="P206" s="256">
        <f t="shared" si="4"/>
        <v>0.006625891947</v>
      </c>
      <c r="Q206" s="154"/>
      <c r="R206" s="255">
        <v>45852.0</v>
      </c>
      <c r="S206" s="174">
        <v>27.41</v>
      </c>
      <c r="T206" s="256">
        <f t="shared" si="5"/>
        <v>-0.00435888122</v>
      </c>
      <c r="U206" s="154"/>
      <c r="V206" s="255">
        <v>45852.0</v>
      </c>
      <c r="W206" s="174">
        <v>1250.6</v>
      </c>
      <c r="X206" s="256">
        <f t="shared" si="6"/>
        <v>-0.003267713398</v>
      </c>
      <c r="Y206" s="154"/>
      <c r="Z206" s="255">
        <v>45852.0</v>
      </c>
      <c r="AA206" s="174">
        <v>1484.0</v>
      </c>
      <c r="AB206" s="256">
        <f t="shared" si="7"/>
        <v>-0.0006734006734</v>
      </c>
      <c r="AC206" s="154"/>
      <c r="AD206" s="255">
        <v>45852.0</v>
      </c>
      <c r="AE206" s="174">
        <v>8.9</v>
      </c>
      <c r="AF206" s="256">
        <f t="shared" si="8"/>
        <v>0.04460093897</v>
      </c>
      <c r="AG206" s="257"/>
      <c r="AH206" s="255">
        <v>45852.0</v>
      </c>
      <c r="AI206" s="174">
        <v>379.1</v>
      </c>
      <c r="AJ206" s="256">
        <f t="shared" si="9"/>
        <v>0.01309460182</v>
      </c>
      <c r="AK206" s="257"/>
      <c r="AL206" s="255">
        <v>45852.0</v>
      </c>
      <c r="AM206" s="174">
        <v>6268.56</v>
      </c>
      <c r="AN206" s="256">
        <f t="shared" si="10"/>
        <v>0.001407404449</v>
      </c>
      <c r="AO206" s="154"/>
      <c r="AP206" s="154"/>
    </row>
    <row r="207">
      <c r="A207" s="154"/>
      <c r="B207" s="255">
        <v>45849.0</v>
      </c>
      <c r="C207" s="174">
        <v>9.94</v>
      </c>
      <c r="D207" s="256">
        <f t="shared" si="1"/>
        <v>-0.007984031936</v>
      </c>
      <c r="E207" s="154"/>
      <c r="F207" s="255">
        <v>45849.0</v>
      </c>
      <c r="G207" s="174">
        <v>9.12</v>
      </c>
      <c r="H207" s="256">
        <f t="shared" si="2"/>
        <v>-0.01405405405</v>
      </c>
      <c r="I207" s="154"/>
      <c r="J207" s="255">
        <v>45849.0</v>
      </c>
      <c r="K207" s="174">
        <v>16.4</v>
      </c>
      <c r="L207" s="256">
        <f t="shared" si="3"/>
        <v>-0.007864488808</v>
      </c>
      <c r="M207" s="154"/>
      <c r="N207" s="255">
        <v>45849.0</v>
      </c>
      <c r="O207" s="174">
        <v>1962.0</v>
      </c>
      <c r="P207" s="256">
        <f t="shared" si="4"/>
        <v>-0.01752628943</v>
      </c>
      <c r="Q207" s="154"/>
      <c r="R207" s="255">
        <v>45849.0</v>
      </c>
      <c r="S207" s="174">
        <v>27.53</v>
      </c>
      <c r="T207" s="256">
        <f t="shared" si="5"/>
        <v>0.009534286762</v>
      </c>
      <c r="U207" s="154"/>
      <c r="V207" s="255">
        <v>45849.0</v>
      </c>
      <c r="W207" s="174">
        <v>1254.7</v>
      </c>
      <c r="X207" s="256">
        <f t="shared" si="6"/>
        <v>-0.006256930144</v>
      </c>
      <c r="Y207" s="154"/>
      <c r="Z207" s="255">
        <v>45849.0</v>
      </c>
      <c r="AA207" s="174">
        <v>1485.0</v>
      </c>
      <c r="AB207" s="256">
        <f t="shared" si="7"/>
        <v>0.004872107186</v>
      </c>
      <c r="AC207" s="154"/>
      <c r="AD207" s="255">
        <v>45849.0</v>
      </c>
      <c r="AE207" s="174">
        <v>8.52</v>
      </c>
      <c r="AF207" s="256">
        <f t="shared" si="8"/>
        <v>-0.02405498282</v>
      </c>
      <c r="AG207" s="257"/>
      <c r="AH207" s="255">
        <v>45849.0</v>
      </c>
      <c r="AI207" s="174">
        <v>374.2</v>
      </c>
      <c r="AJ207" s="256">
        <f t="shared" si="9"/>
        <v>0.004833512352</v>
      </c>
      <c r="AK207" s="257"/>
      <c r="AL207" s="255">
        <v>45849.0</v>
      </c>
      <c r="AM207" s="174">
        <v>6259.75</v>
      </c>
      <c r="AN207" s="256">
        <f t="shared" si="10"/>
        <v>-0.003297529162</v>
      </c>
      <c r="AO207" s="154"/>
      <c r="AP207" s="154"/>
    </row>
    <row r="208">
      <c r="A208" s="154"/>
      <c r="B208" s="255">
        <v>45848.0</v>
      </c>
      <c r="C208" s="174">
        <v>10.02</v>
      </c>
      <c r="D208" s="256">
        <f t="shared" si="1"/>
        <v>0.01109989909</v>
      </c>
      <c r="E208" s="154"/>
      <c r="F208" s="255">
        <v>45848.0</v>
      </c>
      <c r="G208" s="174">
        <v>9.25</v>
      </c>
      <c r="H208" s="256">
        <f t="shared" si="2"/>
        <v>0.002166847237</v>
      </c>
      <c r="I208" s="154"/>
      <c r="J208" s="255">
        <v>45848.0</v>
      </c>
      <c r="K208" s="174">
        <v>16.53</v>
      </c>
      <c r="L208" s="256">
        <f t="shared" si="3"/>
        <v>-0.01077199282</v>
      </c>
      <c r="M208" s="154"/>
      <c r="N208" s="255">
        <v>45848.0</v>
      </c>
      <c r="O208" s="174">
        <v>1997.0</v>
      </c>
      <c r="P208" s="256">
        <f t="shared" si="4"/>
        <v>0.01216421693</v>
      </c>
      <c r="Q208" s="154"/>
      <c r="R208" s="255">
        <v>45848.0</v>
      </c>
      <c r="S208" s="174">
        <v>27.27</v>
      </c>
      <c r="T208" s="256">
        <f t="shared" si="5"/>
        <v>0.001836884644</v>
      </c>
      <c r="U208" s="154"/>
      <c r="V208" s="255">
        <v>45848.0</v>
      </c>
      <c r="W208" s="174">
        <v>1262.6</v>
      </c>
      <c r="X208" s="256">
        <f t="shared" si="6"/>
        <v>-0.005356861509</v>
      </c>
      <c r="Y208" s="154"/>
      <c r="Z208" s="255">
        <v>45848.0</v>
      </c>
      <c r="AA208" s="174">
        <v>1477.8</v>
      </c>
      <c r="AB208" s="256">
        <f t="shared" si="7"/>
        <v>-0.009318227526</v>
      </c>
      <c r="AC208" s="154"/>
      <c r="AD208" s="255">
        <v>45848.0</v>
      </c>
      <c r="AE208" s="174">
        <v>8.73</v>
      </c>
      <c r="AF208" s="256">
        <f t="shared" si="8"/>
        <v>-0.00114416476</v>
      </c>
      <c r="AG208" s="257"/>
      <c r="AH208" s="255">
        <v>45848.0</v>
      </c>
      <c r="AI208" s="174">
        <v>372.4</v>
      </c>
      <c r="AJ208" s="256">
        <f t="shared" si="9"/>
        <v>-0.003078570472</v>
      </c>
      <c r="AK208" s="257"/>
      <c r="AL208" s="255">
        <v>45848.0</v>
      </c>
      <c r="AM208" s="174">
        <v>6280.46</v>
      </c>
      <c r="AN208" s="256">
        <f t="shared" si="10"/>
        <v>0.002746173718</v>
      </c>
      <c r="AO208" s="154"/>
      <c r="AP208" s="154"/>
    </row>
    <row r="209">
      <c r="A209" s="154"/>
      <c r="B209" s="255">
        <v>45847.0</v>
      </c>
      <c r="C209" s="174">
        <v>9.91</v>
      </c>
      <c r="D209" s="256">
        <f t="shared" si="1"/>
        <v>-0.004020100503</v>
      </c>
      <c r="E209" s="154"/>
      <c r="F209" s="255">
        <v>45847.0</v>
      </c>
      <c r="G209" s="174">
        <v>9.23</v>
      </c>
      <c r="H209" s="256">
        <f t="shared" si="2"/>
        <v>-0.003239740821</v>
      </c>
      <c r="I209" s="154"/>
      <c r="J209" s="255">
        <v>45847.0</v>
      </c>
      <c r="K209" s="174">
        <v>16.71</v>
      </c>
      <c r="L209" s="256">
        <f t="shared" si="3"/>
        <v>0.004810583283</v>
      </c>
      <c r="M209" s="154"/>
      <c r="N209" s="255">
        <v>45847.0</v>
      </c>
      <c r="O209" s="174">
        <v>1973.0</v>
      </c>
      <c r="P209" s="256">
        <f t="shared" si="4"/>
        <v>-0.001518218623</v>
      </c>
      <c r="Q209" s="154"/>
      <c r="R209" s="255">
        <v>45847.0</v>
      </c>
      <c r="S209" s="174">
        <v>27.22</v>
      </c>
      <c r="T209" s="256">
        <f t="shared" si="5"/>
        <v>0.002947678703</v>
      </c>
      <c r="U209" s="154"/>
      <c r="V209" s="255">
        <v>45847.0</v>
      </c>
      <c r="W209" s="174">
        <v>1269.4</v>
      </c>
      <c r="X209" s="256">
        <f t="shared" si="6"/>
        <v>-0.01121670042</v>
      </c>
      <c r="Y209" s="154"/>
      <c r="Z209" s="255">
        <v>45847.0</v>
      </c>
      <c r="AA209" s="174">
        <v>1491.7</v>
      </c>
      <c r="AB209" s="256">
        <f t="shared" si="7"/>
        <v>0.002284485655</v>
      </c>
      <c r="AC209" s="154"/>
      <c r="AD209" s="255">
        <v>45847.0</v>
      </c>
      <c r="AE209" s="174">
        <v>8.74</v>
      </c>
      <c r="AF209" s="256">
        <f t="shared" si="8"/>
        <v>-0.007945516459</v>
      </c>
      <c r="AG209" s="257"/>
      <c r="AH209" s="255">
        <v>45847.0</v>
      </c>
      <c r="AI209" s="174">
        <v>373.55</v>
      </c>
      <c r="AJ209" s="256">
        <f t="shared" si="9"/>
        <v>0.01137132801</v>
      </c>
      <c r="AK209" s="257"/>
      <c r="AL209" s="255">
        <v>45847.0</v>
      </c>
      <c r="AM209" s="174">
        <v>6263.26</v>
      </c>
      <c r="AN209" s="256">
        <f t="shared" si="10"/>
        <v>0.006062144206</v>
      </c>
      <c r="AO209" s="154"/>
      <c r="AP209" s="154"/>
    </row>
    <row r="210">
      <c r="A210" s="154"/>
      <c r="B210" s="255">
        <v>45846.0</v>
      </c>
      <c r="C210" s="174">
        <v>9.95</v>
      </c>
      <c r="D210" s="256">
        <f t="shared" si="1"/>
        <v>0.02366255144</v>
      </c>
      <c r="E210" s="154"/>
      <c r="F210" s="255">
        <v>45846.0</v>
      </c>
      <c r="G210" s="174">
        <v>9.26</v>
      </c>
      <c r="H210" s="256">
        <f t="shared" si="2"/>
        <v>0.00652173913</v>
      </c>
      <c r="I210" s="154"/>
      <c r="J210" s="255">
        <v>45846.0</v>
      </c>
      <c r="K210" s="174">
        <v>16.63</v>
      </c>
      <c r="L210" s="256">
        <f t="shared" si="3"/>
        <v>-0.01305637982</v>
      </c>
      <c r="M210" s="154"/>
      <c r="N210" s="255">
        <v>45846.0</v>
      </c>
      <c r="O210" s="174">
        <v>1976.0</v>
      </c>
      <c r="P210" s="256">
        <f t="shared" si="4"/>
        <v>-0.002523977789</v>
      </c>
      <c r="Q210" s="154"/>
      <c r="R210" s="255">
        <v>45846.0</v>
      </c>
      <c r="S210" s="174">
        <v>27.14</v>
      </c>
      <c r="T210" s="256">
        <f t="shared" si="5"/>
        <v>0.01495886313</v>
      </c>
      <c r="U210" s="154"/>
      <c r="V210" s="255">
        <v>45846.0</v>
      </c>
      <c r="W210" s="174">
        <v>1283.8</v>
      </c>
      <c r="X210" s="256">
        <f t="shared" si="6"/>
        <v>-0.02037390309</v>
      </c>
      <c r="Y210" s="154"/>
      <c r="Z210" s="255">
        <v>45846.0</v>
      </c>
      <c r="AA210" s="174">
        <v>1488.3</v>
      </c>
      <c r="AB210" s="256">
        <f t="shared" si="7"/>
        <v>-0.01469712016</v>
      </c>
      <c r="AC210" s="154"/>
      <c r="AD210" s="255">
        <v>45846.0</v>
      </c>
      <c r="AE210" s="174">
        <v>8.81</v>
      </c>
      <c r="AF210" s="256">
        <f t="shared" si="8"/>
        <v>-0.02328159645</v>
      </c>
      <c r="AG210" s="257"/>
      <c r="AH210" s="255">
        <v>45846.0</v>
      </c>
      <c r="AI210" s="174">
        <v>369.35</v>
      </c>
      <c r="AJ210" s="256">
        <f t="shared" si="9"/>
        <v>-0.007390486428</v>
      </c>
      <c r="AK210" s="257"/>
      <c r="AL210" s="255">
        <v>45846.0</v>
      </c>
      <c r="AM210" s="174">
        <v>6225.52</v>
      </c>
      <c r="AN210" s="256">
        <f t="shared" si="10"/>
        <v>-0.0007158931489</v>
      </c>
      <c r="AO210" s="154"/>
      <c r="AP210" s="154"/>
    </row>
    <row r="211">
      <c r="A211" s="154"/>
      <c r="B211" s="255">
        <v>45845.0</v>
      </c>
      <c r="C211" s="174">
        <v>9.72</v>
      </c>
      <c r="D211" s="256">
        <f t="shared" si="1"/>
        <v>-0.02409638554</v>
      </c>
      <c r="E211" s="154"/>
      <c r="F211" s="255">
        <v>45845.0</v>
      </c>
      <c r="G211" s="174">
        <v>9.2</v>
      </c>
      <c r="H211" s="256">
        <f t="shared" si="2"/>
        <v>-0.01287553648</v>
      </c>
      <c r="I211" s="154"/>
      <c r="J211" s="255">
        <v>45845.0</v>
      </c>
      <c r="K211" s="174">
        <v>16.85</v>
      </c>
      <c r="L211" s="256">
        <f t="shared" si="3"/>
        <v>-0.009406231628</v>
      </c>
      <c r="M211" s="154"/>
      <c r="N211" s="255">
        <v>45845.0</v>
      </c>
      <c r="O211" s="174">
        <v>1981.0</v>
      </c>
      <c r="P211" s="256">
        <f t="shared" si="4"/>
        <v>-0.002517623364</v>
      </c>
      <c r="Q211" s="154"/>
      <c r="R211" s="255">
        <v>45845.0</v>
      </c>
      <c r="S211" s="174">
        <v>26.74</v>
      </c>
      <c r="T211" s="256">
        <f t="shared" si="5"/>
        <v>-0.01691176471</v>
      </c>
      <c r="U211" s="154"/>
      <c r="V211" s="255">
        <v>45845.0</v>
      </c>
      <c r="W211" s="174">
        <v>1310.5</v>
      </c>
      <c r="X211" s="256">
        <f t="shared" si="6"/>
        <v>0.01486873693</v>
      </c>
      <c r="Y211" s="154"/>
      <c r="Z211" s="255">
        <v>45845.0</v>
      </c>
      <c r="AA211" s="174">
        <v>1510.5</v>
      </c>
      <c r="AB211" s="256">
        <f t="shared" si="7"/>
        <v>0.001193080135</v>
      </c>
      <c r="AC211" s="154"/>
      <c r="AD211" s="255">
        <v>45845.0</v>
      </c>
      <c r="AE211" s="174">
        <v>9.02</v>
      </c>
      <c r="AF211" s="256">
        <f t="shared" si="8"/>
        <v>-0.01849836779</v>
      </c>
      <c r="AG211" s="257"/>
      <c r="AH211" s="255">
        <v>45845.0</v>
      </c>
      <c r="AI211" s="174">
        <v>372.1</v>
      </c>
      <c r="AJ211" s="256">
        <f t="shared" si="9"/>
        <v>-0.006275871278</v>
      </c>
      <c r="AK211" s="257"/>
      <c r="AL211" s="255">
        <v>45845.0</v>
      </c>
      <c r="AM211" s="174">
        <v>6229.98</v>
      </c>
      <c r="AN211" s="256">
        <f t="shared" si="10"/>
        <v>-0.007862278739</v>
      </c>
      <c r="AO211" s="154"/>
      <c r="AP211" s="154"/>
    </row>
    <row r="212">
      <c r="A212" s="154"/>
      <c r="B212" s="255">
        <v>45841.0</v>
      </c>
      <c r="C212" s="174">
        <v>9.96</v>
      </c>
      <c r="D212" s="256">
        <f t="shared" si="1"/>
        <v>-0.01871921182</v>
      </c>
      <c r="E212" s="154"/>
      <c r="F212" s="255">
        <v>45841.0</v>
      </c>
      <c r="G212" s="174">
        <v>9.32</v>
      </c>
      <c r="H212" s="256">
        <f t="shared" si="2"/>
        <v>-0.002141327623</v>
      </c>
      <c r="I212" s="154"/>
      <c r="J212" s="255">
        <v>45841.0</v>
      </c>
      <c r="K212" s="174">
        <v>17.01</v>
      </c>
      <c r="L212" s="256">
        <f t="shared" si="3"/>
        <v>-0.002346041056</v>
      </c>
      <c r="M212" s="154"/>
      <c r="N212" s="255">
        <v>45841.0</v>
      </c>
      <c r="O212" s="174">
        <v>1986.0</v>
      </c>
      <c r="P212" s="256">
        <f t="shared" si="4"/>
        <v>0.002523977789</v>
      </c>
      <c r="Q212" s="154"/>
      <c r="R212" s="255">
        <v>45841.0</v>
      </c>
      <c r="S212" s="174">
        <v>27.2</v>
      </c>
      <c r="T212" s="256">
        <f t="shared" si="5"/>
        <v>-0.002201027146</v>
      </c>
      <c r="U212" s="154"/>
      <c r="V212" s="255">
        <v>45841.0</v>
      </c>
      <c r="W212" s="174">
        <v>1291.3</v>
      </c>
      <c r="X212" s="256">
        <f t="shared" si="6"/>
        <v>0.01613157066</v>
      </c>
      <c r="Y212" s="154"/>
      <c r="Z212" s="255">
        <v>45841.0</v>
      </c>
      <c r="AA212" s="174">
        <v>1508.7</v>
      </c>
      <c r="AB212" s="256">
        <f t="shared" si="7"/>
        <v>0.007411858974</v>
      </c>
      <c r="AC212" s="154"/>
      <c r="AD212" s="255">
        <v>45841.0</v>
      </c>
      <c r="AE212" s="174">
        <v>9.19</v>
      </c>
      <c r="AF212" s="256">
        <f t="shared" si="8"/>
        <v>0.02911534155</v>
      </c>
      <c r="AG212" s="257"/>
      <c r="AH212" s="255">
        <v>45841.0</v>
      </c>
      <c r="AI212" s="174">
        <v>374.45</v>
      </c>
      <c r="AJ212" s="256">
        <f t="shared" si="9"/>
        <v>0.01600868268</v>
      </c>
      <c r="AK212" s="257"/>
      <c r="AL212" s="255">
        <v>45841.0</v>
      </c>
      <c r="AM212" s="174">
        <v>6279.35</v>
      </c>
      <c r="AN212" s="256">
        <f t="shared" si="10"/>
        <v>0.008338926875</v>
      </c>
      <c r="AO212" s="154"/>
      <c r="AP212" s="154"/>
    </row>
    <row r="213">
      <c r="A213" s="154"/>
      <c r="B213" s="255">
        <v>45840.0</v>
      </c>
      <c r="C213" s="174">
        <v>10.15</v>
      </c>
      <c r="D213" s="256">
        <f t="shared" si="1"/>
        <v>0.009950248756</v>
      </c>
      <c r="E213" s="154"/>
      <c r="F213" s="255">
        <v>45840.0</v>
      </c>
      <c r="G213" s="174">
        <v>9.34</v>
      </c>
      <c r="H213" s="256">
        <f t="shared" si="2"/>
        <v>0.0174291939</v>
      </c>
      <c r="I213" s="154"/>
      <c r="J213" s="255">
        <v>45840.0</v>
      </c>
      <c r="K213" s="174">
        <v>17.05</v>
      </c>
      <c r="L213" s="256">
        <f t="shared" si="3"/>
        <v>0.02463942308</v>
      </c>
      <c r="M213" s="154"/>
      <c r="N213" s="255">
        <v>45840.0</v>
      </c>
      <c r="O213" s="174">
        <v>1981.0</v>
      </c>
      <c r="P213" s="256">
        <f t="shared" si="4"/>
        <v>-0.005522088353</v>
      </c>
      <c r="Q213" s="154"/>
      <c r="R213" s="255">
        <v>45840.0</v>
      </c>
      <c r="S213" s="174">
        <v>27.26</v>
      </c>
      <c r="T213" s="256">
        <f t="shared" si="5"/>
        <v>-0.006197593875</v>
      </c>
      <c r="U213" s="154"/>
      <c r="V213" s="255">
        <v>45840.0</v>
      </c>
      <c r="W213" s="174">
        <v>1270.8</v>
      </c>
      <c r="X213" s="256">
        <f t="shared" si="6"/>
        <v>-0.00469924812</v>
      </c>
      <c r="Y213" s="154"/>
      <c r="Z213" s="255">
        <v>45840.0</v>
      </c>
      <c r="AA213" s="174">
        <v>1497.6</v>
      </c>
      <c r="AB213" s="256">
        <f t="shared" si="7"/>
        <v>-0.01194167711</v>
      </c>
      <c r="AC213" s="154"/>
      <c r="AD213" s="255">
        <v>45840.0</v>
      </c>
      <c r="AE213" s="174">
        <v>8.93</v>
      </c>
      <c r="AF213" s="256">
        <f t="shared" si="8"/>
        <v>-0.01543550165</v>
      </c>
      <c r="AG213" s="257"/>
      <c r="AH213" s="255">
        <v>45840.0</v>
      </c>
      <c r="AI213" s="174">
        <v>368.55</v>
      </c>
      <c r="AJ213" s="256">
        <f t="shared" si="9"/>
        <v>0.01668965517</v>
      </c>
      <c r="AK213" s="257"/>
      <c r="AL213" s="255">
        <v>45840.0</v>
      </c>
      <c r="AM213" s="174">
        <v>6227.42</v>
      </c>
      <c r="AN213" s="256">
        <f t="shared" si="10"/>
        <v>0.004745071402</v>
      </c>
      <c r="AO213" s="154"/>
      <c r="AP213" s="154"/>
    </row>
    <row r="214">
      <c r="A214" s="154"/>
      <c r="B214" s="255">
        <v>45839.0</v>
      </c>
      <c r="C214" s="174">
        <v>10.05</v>
      </c>
      <c r="D214" s="256">
        <f t="shared" si="1"/>
        <v>0.0382231405</v>
      </c>
      <c r="E214" s="154"/>
      <c r="F214" s="255">
        <v>45839.0</v>
      </c>
      <c r="G214" s="174">
        <v>9.18</v>
      </c>
      <c r="H214" s="256">
        <f t="shared" si="2"/>
        <v>0.02799552072</v>
      </c>
      <c r="I214" s="154"/>
      <c r="J214" s="255">
        <v>45839.0</v>
      </c>
      <c r="K214" s="174">
        <v>16.64</v>
      </c>
      <c r="L214" s="256">
        <f t="shared" si="3"/>
        <v>-0.007159904535</v>
      </c>
      <c r="M214" s="154"/>
      <c r="N214" s="255">
        <v>45839.0</v>
      </c>
      <c r="O214" s="174">
        <v>1992.0</v>
      </c>
      <c r="P214" s="256">
        <f t="shared" si="4"/>
        <v>0.002012072435</v>
      </c>
      <c r="Q214" s="154"/>
      <c r="R214" s="255">
        <v>45839.0</v>
      </c>
      <c r="S214" s="174">
        <v>27.43</v>
      </c>
      <c r="T214" s="256">
        <f t="shared" si="5"/>
        <v>0.02657185629</v>
      </c>
      <c r="U214" s="154"/>
      <c r="V214" s="255">
        <v>45839.0</v>
      </c>
      <c r="W214" s="174">
        <v>1276.8</v>
      </c>
      <c r="X214" s="256">
        <f t="shared" si="6"/>
        <v>-0.005065066625</v>
      </c>
      <c r="Y214" s="154"/>
      <c r="Z214" s="255">
        <v>45839.0</v>
      </c>
      <c r="AA214" s="174">
        <v>1515.7</v>
      </c>
      <c r="AB214" s="256">
        <f t="shared" si="7"/>
        <v>0.006507736237</v>
      </c>
      <c r="AC214" s="154"/>
      <c r="AD214" s="255">
        <v>45839.0</v>
      </c>
      <c r="AE214" s="174">
        <v>9.07</v>
      </c>
      <c r="AF214" s="256">
        <f t="shared" si="8"/>
        <v>-0.00548245614</v>
      </c>
      <c r="AG214" s="257"/>
      <c r="AH214" s="255">
        <v>45839.0</v>
      </c>
      <c r="AI214" s="174">
        <v>362.5</v>
      </c>
      <c r="AJ214" s="256">
        <f t="shared" si="9"/>
        <v>0.01911723362</v>
      </c>
      <c r="AK214" s="257"/>
      <c r="AL214" s="255">
        <v>45839.0</v>
      </c>
      <c r="AM214" s="174">
        <v>6198.01</v>
      </c>
      <c r="AN214" s="256">
        <f t="shared" si="10"/>
        <v>-0.001118461873</v>
      </c>
      <c r="AO214" s="154"/>
      <c r="AP214" s="154"/>
    </row>
    <row r="215">
      <c r="A215" s="154"/>
      <c r="B215" s="255">
        <v>45838.0</v>
      </c>
      <c r="C215" s="174">
        <v>9.68</v>
      </c>
      <c r="D215" s="256">
        <f t="shared" si="1"/>
        <v>-0.01825557809</v>
      </c>
      <c r="E215" s="154"/>
      <c r="F215" s="255">
        <v>45838.0</v>
      </c>
      <c r="G215" s="174">
        <v>8.93</v>
      </c>
      <c r="H215" s="256">
        <f t="shared" si="2"/>
        <v>-0.008879023307</v>
      </c>
      <c r="I215" s="154"/>
      <c r="J215" s="255">
        <v>45838.0</v>
      </c>
      <c r="K215" s="174">
        <v>16.76</v>
      </c>
      <c r="L215" s="256">
        <f t="shared" si="3"/>
        <v>0</v>
      </c>
      <c r="M215" s="154"/>
      <c r="N215" s="255">
        <v>45838.0</v>
      </c>
      <c r="O215" s="174">
        <v>1988.0</v>
      </c>
      <c r="P215" s="256">
        <f t="shared" si="4"/>
        <v>-0.01875616979</v>
      </c>
      <c r="Q215" s="154"/>
      <c r="R215" s="255">
        <v>45838.0</v>
      </c>
      <c r="S215" s="174">
        <v>26.72</v>
      </c>
      <c r="T215" s="256">
        <f t="shared" si="5"/>
        <v>0.006782215524</v>
      </c>
      <c r="U215" s="154"/>
      <c r="V215" s="255">
        <v>45838.0</v>
      </c>
      <c r="W215" s="174">
        <v>1283.3</v>
      </c>
      <c r="X215" s="256">
        <f t="shared" si="6"/>
        <v>-0.01360491929</v>
      </c>
      <c r="Y215" s="154"/>
      <c r="Z215" s="255">
        <v>45838.0</v>
      </c>
      <c r="AA215" s="174">
        <v>1505.9</v>
      </c>
      <c r="AB215" s="256">
        <f t="shared" si="7"/>
        <v>0.002329605964</v>
      </c>
      <c r="AC215" s="154"/>
      <c r="AD215" s="255">
        <v>45838.0</v>
      </c>
      <c r="AE215" s="174">
        <v>9.12</v>
      </c>
      <c r="AF215" s="256">
        <f t="shared" si="8"/>
        <v>-0.002188183807</v>
      </c>
      <c r="AG215" s="257"/>
      <c r="AH215" s="255">
        <v>45838.0</v>
      </c>
      <c r="AI215" s="174">
        <v>355.7</v>
      </c>
      <c r="AJ215" s="256">
        <f t="shared" si="9"/>
        <v>0.003668171558</v>
      </c>
      <c r="AK215" s="257"/>
      <c r="AL215" s="255">
        <v>45838.0</v>
      </c>
      <c r="AM215" s="174">
        <v>6204.95</v>
      </c>
      <c r="AN215" s="256">
        <f t="shared" si="10"/>
        <v>0.005164367163</v>
      </c>
      <c r="AO215" s="154"/>
      <c r="AP215" s="154"/>
    </row>
    <row r="216">
      <c r="A216" s="154"/>
      <c r="B216" s="255">
        <v>45835.0</v>
      </c>
      <c r="C216" s="174">
        <v>9.86</v>
      </c>
      <c r="D216" s="256">
        <f t="shared" si="1"/>
        <v>-0.0120240481</v>
      </c>
      <c r="E216" s="154"/>
      <c r="F216" s="255">
        <v>45835.0</v>
      </c>
      <c r="G216" s="174">
        <v>9.01</v>
      </c>
      <c r="H216" s="256">
        <f t="shared" si="2"/>
        <v>-0.01206140351</v>
      </c>
      <c r="I216" s="154"/>
      <c r="J216" s="255">
        <v>45835.0</v>
      </c>
      <c r="K216" s="174">
        <v>16.76</v>
      </c>
      <c r="L216" s="256">
        <f t="shared" si="3"/>
        <v>0.01207729469</v>
      </c>
      <c r="M216" s="154"/>
      <c r="N216" s="255">
        <v>45835.0</v>
      </c>
      <c r="O216" s="174">
        <v>2026.0</v>
      </c>
      <c r="P216" s="256">
        <f t="shared" si="4"/>
        <v>0.01350675338</v>
      </c>
      <c r="Q216" s="154"/>
      <c r="R216" s="255">
        <v>45835.0</v>
      </c>
      <c r="S216" s="174">
        <v>26.54</v>
      </c>
      <c r="T216" s="256">
        <f t="shared" si="5"/>
        <v>-0.001129092962</v>
      </c>
      <c r="U216" s="154"/>
      <c r="V216" s="255">
        <v>45835.0</v>
      </c>
      <c r="W216" s="174">
        <v>1301.0</v>
      </c>
      <c r="X216" s="256">
        <f t="shared" si="6"/>
        <v>-0.01551267499</v>
      </c>
      <c r="Y216" s="154"/>
      <c r="Z216" s="255">
        <v>45835.0</v>
      </c>
      <c r="AA216" s="174">
        <v>1502.4</v>
      </c>
      <c r="AB216" s="256">
        <f t="shared" si="7"/>
        <v>-0.005559968229</v>
      </c>
      <c r="AC216" s="154"/>
      <c r="AD216" s="255">
        <v>45835.0</v>
      </c>
      <c r="AE216" s="174">
        <v>9.14</v>
      </c>
      <c r="AF216" s="256">
        <f t="shared" si="8"/>
        <v>-0.02972399151</v>
      </c>
      <c r="AG216" s="257"/>
      <c r="AH216" s="255">
        <v>45835.0</v>
      </c>
      <c r="AI216" s="174">
        <v>354.4</v>
      </c>
      <c r="AJ216" s="256">
        <f t="shared" si="9"/>
        <v>0.01112696148</v>
      </c>
      <c r="AK216" s="257"/>
      <c r="AL216" s="255">
        <v>45835.0</v>
      </c>
      <c r="AM216" s="174">
        <v>6173.07</v>
      </c>
      <c r="AN216" s="256">
        <f t="shared" si="10"/>
        <v>0.005219002706</v>
      </c>
      <c r="AO216" s="154"/>
      <c r="AP216" s="154"/>
    </row>
    <row r="217">
      <c r="A217" s="154"/>
      <c r="B217" s="255">
        <v>45834.0</v>
      </c>
      <c r="C217" s="174">
        <v>9.98</v>
      </c>
      <c r="D217" s="256">
        <f t="shared" si="1"/>
        <v>-0.002</v>
      </c>
      <c r="E217" s="154"/>
      <c r="F217" s="255">
        <v>45834.0</v>
      </c>
      <c r="G217" s="174">
        <v>9.12</v>
      </c>
      <c r="H217" s="256">
        <f t="shared" si="2"/>
        <v>0.02587176603</v>
      </c>
      <c r="I217" s="154"/>
      <c r="J217" s="255">
        <v>45834.0</v>
      </c>
      <c r="K217" s="174">
        <v>16.56</v>
      </c>
      <c r="L217" s="256">
        <f t="shared" si="3"/>
        <v>-0.02588235294</v>
      </c>
      <c r="M217" s="154"/>
      <c r="N217" s="255">
        <v>45834.0</v>
      </c>
      <c r="O217" s="174">
        <v>1999.0</v>
      </c>
      <c r="P217" s="256">
        <f t="shared" si="4"/>
        <v>-0.01817288802</v>
      </c>
      <c r="Q217" s="154"/>
      <c r="R217" s="255">
        <v>45834.0</v>
      </c>
      <c r="S217" s="174">
        <v>26.57</v>
      </c>
      <c r="T217" s="256">
        <f t="shared" si="5"/>
        <v>-0.001878287002</v>
      </c>
      <c r="U217" s="154"/>
      <c r="V217" s="255">
        <v>45834.0</v>
      </c>
      <c r="W217" s="174">
        <v>1321.5</v>
      </c>
      <c r="X217" s="256">
        <f t="shared" si="6"/>
        <v>-0.01498211091</v>
      </c>
      <c r="Y217" s="154"/>
      <c r="Z217" s="255">
        <v>45834.0</v>
      </c>
      <c r="AA217" s="174">
        <v>1510.8</v>
      </c>
      <c r="AB217" s="256">
        <f t="shared" si="7"/>
        <v>0.002514913637</v>
      </c>
      <c r="AC217" s="154"/>
      <c r="AD217" s="255">
        <v>45834.0</v>
      </c>
      <c r="AE217" s="174">
        <v>9.42</v>
      </c>
      <c r="AF217" s="256">
        <f t="shared" si="8"/>
        <v>0.03176341731</v>
      </c>
      <c r="AG217" s="257"/>
      <c r="AH217" s="255">
        <v>45834.0</v>
      </c>
      <c r="AI217" s="174">
        <v>350.5</v>
      </c>
      <c r="AJ217" s="256">
        <f t="shared" si="9"/>
        <v>-0.002561183836</v>
      </c>
      <c r="AK217" s="257"/>
      <c r="AL217" s="255">
        <v>45834.0</v>
      </c>
      <c r="AM217" s="174">
        <v>6141.02</v>
      </c>
      <c r="AN217" s="256">
        <f t="shared" si="10"/>
        <v>0.008020143923</v>
      </c>
      <c r="AO217" s="154"/>
      <c r="AP217" s="154"/>
    </row>
    <row r="218">
      <c r="A218" s="154"/>
      <c r="B218" s="255">
        <v>45833.0</v>
      </c>
      <c r="C218" s="174">
        <v>10.0</v>
      </c>
      <c r="D218" s="256">
        <f t="shared" si="1"/>
        <v>0.005025125628</v>
      </c>
      <c r="E218" s="154"/>
      <c r="F218" s="255">
        <v>45833.0</v>
      </c>
      <c r="G218" s="174">
        <v>8.89</v>
      </c>
      <c r="H218" s="256">
        <f t="shared" si="2"/>
        <v>-0.006703910615</v>
      </c>
      <c r="I218" s="154"/>
      <c r="J218" s="255">
        <v>45833.0</v>
      </c>
      <c r="K218" s="174">
        <v>17.0</v>
      </c>
      <c r="L218" s="256">
        <f t="shared" si="3"/>
        <v>-0.005266237566</v>
      </c>
      <c r="M218" s="154"/>
      <c r="N218" s="255">
        <v>45833.0</v>
      </c>
      <c r="O218" s="174">
        <v>2036.0</v>
      </c>
      <c r="P218" s="256">
        <f t="shared" si="4"/>
        <v>-0.01260911736</v>
      </c>
      <c r="Q218" s="154"/>
      <c r="R218" s="255">
        <v>45833.0</v>
      </c>
      <c r="S218" s="174">
        <v>26.62</v>
      </c>
      <c r="T218" s="256">
        <f t="shared" si="5"/>
        <v>-0.004859813084</v>
      </c>
      <c r="U218" s="154"/>
      <c r="V218" s="255">
        <v>45833.0</v>
      </c>
      <c r="W218" s="174">
        <v>1341.6</v>
      </c>
      <c r="X218" s="256">
        <f t="shared" si="6"/>
        <v>0.003215434084</v>
      </c>
      <c r="Y218" s="154"/>
      <c r="Z218" s="255">
        <v>45833.0</v>
      </c>
      <c r="AA218" s="174">
        <v>1507.01</v>
      </c>
      <c r="AB218" s="256">
        <f t="shared" si="7"/>
        <v>0.00506195729</v>
      </c>
      <c r="AC218" s="154"/>
      <c r="AD218" s="255">
        <v>45833.0</v>
      </c>
      <c r="AE218" s="174">
        <v>9.13</v>
      </c>
      <c r="AF218" s="256">
        <f t="shared" si="8"/>
        <v>-0.009761388286</v>
      </c>
      <c r="AG218" s="257"/>
      <c r="AH218" s="255">
        <v>45833.0</v>
      </c>
      <c r="AI218" s="174">
        <v>351.4</v>
      </c>
      <c r="AJ218" s="256">
        <f t="shared" si="9"/>
        <v>0.006300114548</v>
      </c>
      <c r="AK218" s="257"/>
      <c r="AL218" s="255">
        <v>45833.0</v>
      </c>
      <c r="AM218" s="174">
        <v>6092.16</v>
      </c>
      <c r="AN218" s="256">
        <f t="shared" si="10"/>
        <v>-0.000003282897091</v>
      </c>
      <c r="AO218" s="154"/>
      <c r="AP218" s="154"/>
    </row>
    <row r="219">
      <c r="A219" s="154"/>
      <c r="B219" s="255">
        <v>45832.0</v>
      </c>
      <c r="C219" s="174">
        <v>9.95</v>
      </c>
      <c r="D219" s="256">
        <f t="shared" si="1"/>
        <v>0.01530612245</v>
      </c>
      <c r="E219" s="154"/>
      <c r="F219" s="255">
        <v>45832.0</v>
      </c>
      <c r="G219" s="174">
        <v>8.95</v>
      </c>
      <c r="H219" s="256">
        <f t="shared" si="2"/>
        <v>0.01129943503</v>
      </c>
      <c r="I219" s="154"/>
      <c r="J219" s="255">
        <v>45832.0</v>
      </c>
      <c r="K219" s="174">
        <v>17.09</v>
      </c>
      <c r="L219" s="256">
        <f t="shared" si="3"/>
        <v>0.007071302298</v>
      </c>
      <c r="M219" s="154"/>
      <c r="N219" s="255">
        <v>45832.0</v>
      </c>
      <c r="O219" s="174">
        <v>2062.0</v>
      </c>
      <c r="P219" s="256">
        <f t="shared" si="4"/>
        <v>0.0068359375</v>
      </c>
      <c r="Q219" s="154"/>
      <c r="R219" s="255">
        <v>45832.0</v>
      </c>
      <c r="S219" s="174">
        <v>26.75</v>
      </c>
      <c r="T219" s="256">
        <f t="shared" si="5"/>
        <v>0.01134215501</v>
      </c>
      <c r="U219" s="154"/>
      <c r="V219" s="255">
        <v>45832.0</v>
      </c>
      <c r="W219" s="174">
        <v>1337.3</v>
      </c>
      <c r="X219" s="256">
        <f t="shared" si="6"/>
        <v>0.0147203885</v>
      </c>
      <c r="Y219" s="154"/>
      <c r="Z219" s="255">
        <v>45832.0</v>
      </c>
      <c r="AA219" s="174">
        <v>1499.42</v>
      </c>
      <c r="AB219" s="256">
        <f t="shared" si="7"/>
        <v>0.002199006771</v>
      </c>
      <c r="AC219" s="154"/>
      <c r="AD219" s="255">
        <v>45832.0</v>
      </c>
      <c r="AE219" s="174">
        <v>9.22</v>
      </c>
      <c r="AF219" s="256">
        <f t="shared" si="8"/>
        <v>0.009857612267</v>
      </c>
      <c r="AG219" s="257"/>
      <c r="AH219" s="255">
        <v>45832.0</v>
      </c>
      <c r="AI219" s="174">
        <v>349.2</v>
      </c>
      <c r="AJ219" s="256">
        <f t="shared" si="9"/>
        <v>-0.008517887564</v>
      </c>
      <c r="AK219" s="257"/>
      <c r="AL219" s="255">
        <v>45832.0</v>
      </c>
      <c r="AM219" s="174">
        <v>6092.18</v>
      </c>
      <c r="AN219" s="256">
        <f t="shared" si="10"/>
        <v>0.01112167789</v>
      </c>
      <c r="AO219" s="154"/>
      <c r="AP219" s="154"/>
    </row>
    <row r="220">
      <c r="A220" s="154"/>
      <c r="B220" s="255">
        <v>45831.0</v>
      </c>
      <c r="C220" s="174">
        <v>9.8</v>
      </c>
      <c r="D220" s="256">
        <f t="shared" si="1"/>
        <v>0.005128205128</v>
      </c>
      <c r="E220" s="154"/>
      <c r="F220" s="255">
        <v>45831.0</v>
      </c>
      <c r="G220" s="174">
        <v>8.85</v>
      </c>
      <c r="H220" s="256">
        <f t="shared" si="2"/>
        <v>-0.002254791432</v>
      </c>
      <c r="I220" s="154"/>
      <c r="J220" s="255">
        <v>45831.0</v>
      </c>
      <c r="K220" s="174">
        <v>16.97</v>
      </c>
      <c r="L220" s="256">
        <f t="shared" si="3"/>
        <v>0.001179941003</v>
      </c>
      <c r="M220" s="154"/>
      <c r="N220" s="255">
        <v>45831.0</v>
      </c>
      <c r="O220" s="174">
        <v>2048.0</v>
      </c>
      <c r="P220" s="256">
        <f t="shared" si="4"/>
        <v>-0.01062801932</v>
      </c>
      <c r="Q220" s="154"/>
      <c r="R220" s="255">
        <v>45831.0</v>
      </c>
      <c r="S220" s="174">
        <v>26.45</v>
      </c>
      <c r="T220" s="256">
        <f t="shared" si="5"/>
        <v>-0.001886792453</v>
      </c>
      <c r="U220" s="154"/>
      <c r="V220" s="255">
        <v>45831.0</v>
      </c>
      <c r="W220" s="174">
        <v>1317.9</v>
      </c>
      <c r="X220" s="256">
        <f t="shared" si="6"/>
        <v>-0.00558364144</v>
      </c>
      <c r="Y220" s="154"/>
      <c r="Z220" s="255">
        <v>45831.0</v>
      </c>
      <c r="AA220" s="174">
        <v>1496.13</v>
      </c>
      <c r="AB220" s="256">
        <f t="shared" si="7"/>
        <v>-0.0004008739051</v>
      </c>
      <c r="AC220" s="154"/>
      <c r="AD220" s="255">
        <v>45831.0</v>
      </c>
      <c r="AE220" s="174">
        <v>9.13</v>
      </c>
      <c r="AF220" s="256">
        <f t="shared" si="8"/>
        <v>-0.02352941176</v>
      </c>
      <c r="AG220" s="257"/>
      <c r="AH220" s="255">
        <v>45831.0</v>
      </c>
      <c r="AI220" s="174">
        <v>352.2</v>
      </c>
      <c r="AJ220" s="256">
        <f t="shared" si="9"/>
        <v>0.002419240074</v>
      </c>
      <c r="AK220" s="257"/>
      <c r="AL220" s="255">
        <v>45831.0</v>
      </c>
      <c r="AM220" s="174">
        <v>6025.17</v>
      </c>
      <c r="AN220" s="256">
        <f t="shared" si="10"/>
        <v>0.009606490791</v>
      </c>
      <c r="AO220" s="154"/>
      <c r="AP220" s="154"/>
    </row>
    <row r="221">
      <c r="A221" s="154"/>
      <c r="B221" s="255">
        <v>45828.0</v>
      </c>
      <c r="C221" s="174">
        <v>9.75</v>
      </c>
      <c r="D221" s="256">
        <f t="shared" si="1"/>
        <v>-0.01315789474</v>
      </c>
      <c r="E221" s="154"/>
      <c r="F221" s="255">
        <v>45828.0</v>
      </c>
      <c r="G221" s="174">
        <v>8.87</v>
      </c>
      <c r="H221" s="256">
        <f t="shared" si="2"/>
        <v>0.01140250855</v>
      </c>
      <c r="I221" s="154"/>
      <c r="J221" s="255">
        <v>45828.0</v>
      </c>
      <c r="K221" s="174">
        <v>16.95</v>
      </c>
      <c r="L221" s="256">
        <f t="shared" si="3"/>
        <v>-0.006447831184</v>
      </c>
      <c r="M221" s="154"/>
      <c r="N221" s="255">
        <v>45828.0</v>
      </c>
      <c r="O221" s="174">
        <v>2070.0</v>
      </c>
      <c r="P221" s="256">
        <f t="shared" si="4"/>
        <v>0.001936108422</v>
      </c>
      <c r="Q221" s="154"/>
      <c r="R221" s="255">
        <v>45828.0</v>
      </c>
      <c r="S221" s="174">
        <v>26.5</v>
      </c>
      <c r="T221" s="256">
        <f t="shared" si="5"/>
        <v>0.006838905775</v>
      </c>
      <c r="U221" s="154"/>
      <c r="V221" s="255">
        <v>45828.0</v>
      </c>
      <c r="W221" s="174">
        <v>1325.3</v>
      </c>
      <c r="X221" s="256">
        <f t="shared" si="6"/>
        <v>0.009137287748</v>
      </c>
      <c r="Y221" s="154"/>
      <c r="Z221" s="255">
        <v>45828.0</v>
      </c>
      <c r="AA221" s="174">
        <v>1496.73</v>
      </c>
      <c r="AB221" s="256">
        <f t="shared" si="7"/>
        <v>-0.0009144916895</v>
      </c>
      <c r="AC221" s="154"/>
      <c r="AD221" s="255">
        <v>45828.0</v>
      </c>
      <c r="AE221" s="174">
        <v>9.35</v>
      </c>
      <c r="AF221" s="256">
        <f t="shared" si="8"/>
        <v>0.03773584906</v>
      </c>
      <c r="AG221" s="257"/>
      <c r="AH221" s="255">
        <v>45828.0</v>
      </c>
      <c r="AI221" s="174">
        <v>351.35</v>
      </c>
      <c r="AJ221" s="256">
        <f t="shared" si="9"/>
        <v>0.02733918129</v>
      </c>
      <c r="AK221" s="257"/>
      <c r="AL221" s="255">
        <v>45828.0</v>
      </c>
      <c r="AM221" s="174">
        <v>5967.84</v>
      </c>
      <c r="AN221" s="256">
        <f t="shared" si="10"/>
        <v>-0.002178612811</v>
      </c>
      <c r="AO221" s="154"/>
      <c r="AP221" s="154"/>
    </row>
    <row r="222">
      <c r="A222" s="154"/>
      <c r="B222" s="255">
        <v>45826.0</v>
      </c>
      <c r="C222" s="174">
        <v>9.88</v>
      </c>
      <c r="D222" s="256">
        <f t="shared" si="1"/>
        <v>0.003045685279</v>
      </c>
      <c r="E222" s="154"/>
      <c r="F222" s="255">
        <v>45826.0</v>
      </c>
      <c r="G222" s="174">
        <v>8.77</v>
      </c>
      <c r="H222" s="256">
        <f t="shared" si="2"/>
        <v>0.001141552511</v>
      </c>
      <c r="I222" s="154"/>
      <c r="J222" s="255">
        <v>45826.0</v>
      </c>
      <c r="K222" s="174">
        <v>17.06</v>
      </c>
      <c r="L222" s="256">
        <f t="shared" si="3"/>
        <v>0.01006512729</v>
      </c>
      <c r="M222" s="154"/>
      <c r="N222" s="255">
        <v>45826.0</v>
      </c>
      <c r="O222" s="174">
        <v>2066.0</v>
      </c>
      <c r="P222" s="256">
        <f t="shared" si="4"/>
        <v>-0.006730769231</v>
      </c>
      <c r="Q222" s="154"/>
      <c r="R222" s="255">
        <v>45826.0</v>
      </c>
      <c r="S222" s="174">
        <v>26.32</v>
      </c>
      <c r="T222" s="256">
        <f t="shared" si="5"/>
        <v>0.001903311762</v>
      </c>
      <c r="U222" s="154"/>
      <c r="V222" s="255">
        <v>45826.0</v>
      </c>
      <c r="W222" s="174">
        <v>1313.3</v>
      </c>
      <c r="X222" s="256">
        <f t="shared" si="6"/>
        <v>-0.004170457992</v>
      </c>
      <c r="Y222" s="154"/>
      <c r="Z222" s="255">
        <v>45826.0</v>
      </c>
      <c r="AA222" s="174">
        <v>1498.1</v>
      </c>
      <c r="AB222" s="256">
        <f t="shared" si="7"/>
        <v>-0.003591619554</v>
      </c>
      <c r="AC222" s="154"/>
      <c r="AD222" s="255">
        <v>45826.0</v>
      </c>
      <c r="AE222" s="174">
        <v>9.01</v>
      </c>
      <c r="AF222" s="256">
        <f t="shared" si="8"/>
        <v>-0.02277657267</v>
      </c>
      <c r="AG222" s="257"/>
      <c r="AH222" s="255">
        <v>45826.0</v>
      </c>
      <c r="AI222" s="174">
        <v>342.0</v>
      </c>
      <c r="AJ222" s="256">
        <f t="shared" si="9"/>
        <v>-0.03019991493</v>
      </c>
      <c r="AK222" s="257"/>
      <c r="AL222" s="255">
        <v>45826.0</v>
      </c>
      <c r="AM222" s="174">
        <v>5980.87</v>
      </c>
      <c r="AN222" s="256">
        <f t="shared" si="10"/>
        <v>-0.0003092238982</v>
      </c>
      <c r="AO222" s="154"/>
      <c r="AP222" s="154"/>
    </row>
    <row r="223">
      <c r="A223" s="154"/>
      <c r="B223" s="255">
        <v>45825.0</v>
      </c>
      <c r="C223" s="174">
        <v>9.85</v>
      </c>
      <c r="D223" s="256">
        <f t="shared" si="1"/>
        <v>-0.03336604514</v>
      </c>
      <c r="E223" s="154"/>
      <c r="F223" s="255">
        <v>45825.0</v>
      </c>
      <c r="G223" s="174">
        <v>8.76</v>
      </c>
      <c r="H223" s="256">
        <f t="shared" si="2"/>
        <v>-0.0255839822</v>
      </c>
      <c r="I223" s="154"/>
      <c r="J223" s="255">
        <v>45825.0</v>
      </c>
      <c r="K223" s="174">
        <v>16.89</v>
      </c>
      <c r="L223" s="256">
        <f t="shared" si="3"/>
        <v>-0.03485714286</v>
      </c>
      <c r="M223" s="154"/>
      <c r="N223" s="255">
        <v>45825.0</v>
      </c>
      <c r="O223" s="174">
        <v>2080.0</v>
      </c>
      <c r="P223" s="256">
        <f t="shared" si="4"/>
        <v>-0.008579599619</v>
      </c>
      <c r="Q223" s="154"/>
      <c r="R223" s="255">
        <v>45825.0</v>
      </c>
      <c r="S223" s="174">
        <v>26.27</v>
      </c>
      <c r="T223" s="256">
        <f t="shared" si="5"/>
        <v>-0.0157362308</v>
      </c>
      <c r="U223" s="154"/>
      <c r="V223" s="255">
        <v>45825.0</v>
      </c>
      <c r="W223" s="174">
        <v>1318.8</v>
      </c>
      <c r="X223" s="256">
        <f t="shared" si="6"/>
        <v>-0.02079002079</v>
      </c>
      <c r="Y223" s="154"/>
      <c r="Z223" s="255">
        <v>45825.0</v>
      </c>
      <c r="AA223" s="174">
        <v>1503.5</v>
      </c>
      <c r="AB223" s="256">
        <f t="shared" si="7"/>
        <v>-0.01538965291</v>
      </c>
      <c r="AC223" s="154"/>
      <c r="AD223" s="255">
        <v>45825.0</v>
      </c>
      <c r="AE223" s="174">
        <v>9.22</v>
      </c>
      <c r="AF223" s="256">
        <f t="shared" si="8"/>
        <v>-0.01284796574</v>
      </c>
      <c r="AG223" s="257"/>
      <c r="AH223" s="255">
        <v>45825.0</v>
      </c>
      <c r="AI223" s="174">
        <v>352.65</v>
      </c>
      <c r="AJ223" s="256">
        <f t="shared" si="9"/>
        <v>-0.01287613716</v>
      </c>
      <c r="AK223" s="257"/>
      <c r="AL223" s="255">
        <v>45825.0</v>
      </c>
      <c r="AM223" s="174">
        <v>5982.72</v>
      </c>
      <c r="AN223" s="256">
        <f t="shared" si="10"/>
        <v>-0.008352242873</v>
      </c>
      <c r="AO223" s="154"/>
      <c r="AP223" s="154"/>
    </row>
    <row r="224">
      <c r="A224" s="154"/>
      <c r="B224" s="255">
        <v>45824.0</v>
      </c>
      <c r="C224" s="174">
        <v>10.19</v>
      </c>
      <c r="D224" s="256">
        <f t="shared" si="1"/>
        <v>0.01494023904</v>
      </c>
      <c r="E224" s="154"/>
      <c r="F224" s="255">
        <v>45824.0</v>
      </c>
      <c r="G224" s="174">
        <v>8.99</v>
      </c>
      <c r="H224" s="256">
        <f t="shared" si="2"/>
        <v>0.007847533632</v>
      </c>
      <c r="I224" s="154"/>
      <c r="J224" s="255">
        <v>45824.0</v>
      </c>
      <c r="K224" s="174">
        <v>17.5</v>
      </c>
      <c r="L224" s="256">
        <f t="shared" si="3"/>
        <v>0.03001765745</v>
      </c>
      <c r="M224" s="154"/>
      <c r="N224" s="255">
        <v>45824.0</v>
      </c>
      <c r="O224" s="174">
        <v>2098.0</v>
      </c>
      <c r="P224" s="256">
        <f t="shared" si="4"/>
        <v>-0.01409774436</v>
      </c>
      <c r="Q224" s="154"/>
      <c r="R224" s="255">
        <v>45824.0</v>
      </c>
      <c r="S224" s="174">
        <v>26.69</v>
      </c>
      <c r="T224" s="256">
        <f t="shared" si="5"/>
        <v>0.001500938086</v>
      </c>
      <c r="U224" s="154"/>
      <c r="V224" s="255">
        <v>45824.0</v>
      </c>
      <c r="W224" s="174">
        <v>1346.8</v>
      </c>
      <c r="X224" s="256">
        <f t="shared" si="6"/>
        <v>-0.01152293578</v>
      </c>
      <c r="Y224" s="154"/>
      <c r="Z224" s="255">
        <v>45824.0</v>
      </c>
      <c r="AA224" s="174">
        <v>1527.0</v>
      </c>
      <c r="AB224" s="256">
        <f t="shared" si="7"/>
        <v>0.01448312517</v>
      </c>
      <c r="AC224" s="154"/>
      <c r="AD224" s="255">
        <v>45824.0</v>
      </c>
      <c r="AE224" s="174">
        <v>9.34</v>
      </c>
      <c r="AF224" s="256">
        <f t="shared" si="8"/>
        <v>-0.04106776181</v>
      </c>
      <c r="AG224" s="257"/>
      <c r="AH224" s="255">
        <v>45824.0</v>
      </c>
      <c r="AI224" s="174">
        <v>357.25</v>
      </c>
      <c r="AJ224" s="256">
        <f t="shared" si="9"/>
        <v>0.005205402364</v>
      </c>
      <c r="AK224" s="257"/>
      <c r="AL224" s="255">
        <v>45824.0</v>
      </c>
      <c r="AM224" s="174">
        <v>6033.11</v>
      </c>
      <c r="AN224" s="256">
        <f t="shared" si="10"/>
        <v>0.009392719053</v>
      </c>
      <c r="AO224" s="154"/>
      <c r="AP224" s="154"/>
    </row>
    <row r="225">
      <c r="A225" s="154"/>
      <c r="B225" s="255">
        <v>45821.0</v>
      </c>
      <c r="C225" s="174">
        <v>10.04</v>
      </c>
      <c r="D225" s="256">
        <f t="shared" si="1"/>
        <v>-0.002979145978</v>
      </c>
      <c r="E225" s="154"/>
      <c r="F225" s="255">
        <v>45821.0</v>
      </c>
      <c r="G225" s="174">
        <v>8.92</v>
      </c>
      <c r="H225" s="256">
        <f t="shared" si="2"/>
        <v>-0.01870187019</v>
      </c>
      <c r="I225" s="154"/>
      <c r="J225" s="255">
        <v>45821.0</v>
      </c>
      <c r="K225" s="174">
        <v>16.99</v>
      </c>
      <c r="L225" s="256">
        <f t="shared" si="3"/>
        <v>-0.04065499718</v>
      </c>
      <c r="M225" s="154"/>
      <c r="N225" s="255">
        <v>45821.0</v>
      </c>
      <c r="O225" s="174">
        <v>2128.0</v>
      </c>
      <c r="P225" s="256">
        <f t="shared" si="4"/>
        <v>-0.008387698043</v>
      </c>
      <c r="Q225" s="154"/>
      <c r="R225" s="255">
        <v>45821.0</v>
      </c>
      <c r="S225" s="174">
        <v>26.65</v>
      </c>
      <c r="T225" s="256">
        <f t="shared" si="5"/>
        <v>-0.02201834862</v>
      </c>
      <c r="U225" s="154"/>
      <c r="V225" s="255">
        <v>45821.0</v>
      </c>
      <c r="W225" s="174">
        <v>1362.5</v>
      </c>
      <c r="X225" s="256">
        <f t="shared" si="6"/>
        <v>-0.000146767447</v>
      </c>
      <c r="Y225" s="154"/>
      <c r="Z225" s="255">
        <v>45821.0</v>
      </c>
      <c r="AA225" s="174">
        <v>1505.2</v>
      </c>
      <c r="AB225" s="256">
        <f t="shared" si="7"/>
        <v>0.001597018898</v>
      </c>
      <c r="AC225" s="154"/>
      <c r="AD225" s="255">
        <v>45821.0</v>
      </c>
      <c r="AE225" s="174">
        <v>9.74</v>
      </c>
      <c r="AF225" s="256">
        <f t="shared" si="8"/>
        <v>-0.01016260163</v>
      </c>
      <c r="AG225" s="257"/>
      <c r="AH225" s="255">
        <v>45821.0</v>
      </c>
      <c r="AI225" s="174">
        <v>355.4</v>
      </c>
      <c r="AJ225" s="256">
        <f t="shared" si="9"/>
        <v>0.00894251242</v>
      </c>
      <c r="AK225" s="257"/>
      <c r="AL225" s="255">
        <v>45821.0</v>
      </c>
      <c r="AM225" s="174">
        <v>5976.97</v>
      </c>
      <c r="AN225" s="256">
        <f t="shared" si="10"/>
        <v>-0.01129645375</v>
      </c>
      <c r="AO225" s="154"/>
      <c r="AP225" s="154"/>
    </row>
    <row r="226">
      <c r="A226" s="154"/>
      <c r="B226" s="255">
        <v>45820.0</v>
      </c>
      <c r="C226" s="174">
        <v>10.07</v>
      </c>
      <c r="D226" s="256">
        <f t="shared" si="1"/>
        <v>-0.0009920634921</v>
      </c>
      <c r="E226" s="154"/>
      <c r="F226" s="255">
        <v>45820.0</v>
      </c>
      <c r="G226" s="174">
        <v>9.09</v>
      </c>
      <c r="H226" s="256">
        <f t="shared" si="2"/>
        <v>0.01224944321</v>
      </c>
      <c r="I226" s="154"/>
      <c r="J226" s="255">
        <v>45820.0</v>
      </c>
      <c r="K226" s="174">
        <v>17.71</v>
      </c>
      <c r="L226" s="256">
        <f t="shared" si="3"/>
        <v>0.02251732102</v>
      </c>
      <c r="M226" s="154"/>
      <c r="N226" s="255">
        <v>45820.0</v>
      </c>
      <c r="O226" s="174">
        <v>2146.0</v>
      </c>
      <c r="P226" s="256">
        <f t="shared" si="4"/>
        <v>0.02679425837</v>
      </c>
      <c r="Q226" s="154"/>
      <c r="R226" s="255">
        <v>45820.0</v>
      </c>
      <c r="S226" s="174">
        <v>27.25</v>
      </c>
      <c r="T226" s="256">
        <f t="shared" si="5"/>
        <v>-0.004384362441</v>
      </c>
      <c r="U226" s="154"/>
      <c r="V226" s="255">
        <v>45820.0</v>
      </c>
      <c r="W226" s="174">
        <v>1362.7</v>
      </c>
      <c r="X226" s="256">
        <f t="shared" si="6"/>
        <v>0.008585596921</v>
      </c>
      <c r="Y226" s="154"/>
      <c r="Z226" s="255">
        <v>45820.0</v>
      </c>
      <c r="AA226" s="174">
        <v>1502.8</v>
      </c>
      <c r="AB226" s="256">
        <f t="shared" si="7"/>
        <v>-0.01242031938</v>
      </c>
      <c r="AC226" s="154"/>
      <c r="AD226" s="255">
        <v>45820.0</v>
      </c>
      <c r="AE226" s="174">
        <v>9.84</v>
      </c>
      <c r="AF226" s="256">
        <f t="shared" si="8"/>
        <v>-0.02670623145</v>
      </c>
      <c r="AG226" s="257"/>
      <c r="AH226" s="255">
        <v>45820.0</v>
      </c>
      <c r="AI226" s="174">
        <v>352.25</v>
      </c>
      <c r="AJ226" s="256">
        <f t="shared" si="9"/>
        <v>-0.006206799266</v>
      </c>
      <c r="AK226" s="257"/>
      <c r="AL226" s="255">
        <v>45820.0</v>
      </c>
      <c r="AM226" s="174">
        <v>6045.26</v>
      </c>
      <c r="AN226" s="256">
        <f t="shared" si="10"/>
        <v>0.003822497941</v>
      </c>
      <c r="AO226" s="154"/>
      <c r="AP226" s="154"/>
    </row>
    <row r="227">
      <c r="A227" s="154"/>
      <c r="B227" s="255">
        <v>45819.0</v>
      </c>
      <c r="C227" s="174">
        <v>10.08</v>
      </c>
      <c r="D227" s="256">
        <f t="shared" si="1"/>
        <v>0.003984063745</v>
      </c>
      <c r="E227" s="154"/>
      <c r="F227" s="255">
        <v>45819.0</v>
      </c>
      <c r="G227" s="174">
        <v>8.98</v>
      </c>
      <c r="H227" s="256">
        <f t="shared" si="2"/>
        <v>-0.006637168142</v>
      </c>
      <c r="I227" s="154"/>
      <c r="J227" s="255">
        <v>45819.0</v>
      </c>
      <c r="K227" s="174">
        <v>17.32</v>
      </c>
      <c r="L227" s="256">
        <f t="shared" si="3"/>
        <v>-0.01534963047</v>
      </c>
      <c r="M227" s="154"/>
      <c r="N227" s="255">
        <v>45819.0</v>
      </c>
      <c r="O227" s="174">
        <v>2090.0</v>
      </c>
      <c r="P227" s="256">
        <f t="shared" si="4"/>
        <v>-0.00286259542</v>
      </c>
      <c r="Q227" s="154"/>
      <c r="R227" s="255">
        <v>45819.0</v>
      </c>
      <c r="S227" s="174">
        <v>27.37</v>
      </c>
      <c r="T227" s="256">
        <f t="shared" si="5"/>
        <v>-0.008333333333</v>
      </c>
      <c r="U227" s="154"/>
      <c r="V227" s="255">
        <v>45819.0</v>
      </c>
      <c r="W227" s="174">
        <v>1351.1</v>
      </c>
      <c r="X227" s="256">
        <f t="shared" si="6"/>
        <v>0.009790732436</v>
      </c>
      <c r="Y227" s="154"/>
      <c r="Z227" s="255">
        <v>45819.0</v>
      </c>
      <c r="AA227" s="174">
        <v>1521.7</v>
      </c>
      <c r="AB227" s="256">
        <f t="shared" si="7"/>
        <v>0.004422442244</v>
      </c>
      <c r="AC227" s="154"/>
      <c r="AD227" s="255">
        <v>45819.0</v>
      </c>
      <c r="AE227" s="174">
        <v>10.11</v>
      </c>
      <c r="AF227" s="256">
        <f t="shared" si="8"/>
        <v>-0.02507232401</v>
      </c>
      <c r="AG227" s="257"/>
      <c r="AH227" s="255">
        <v>45819.0</v>
      </c>
      <c r="AI227" s="174">
        <v>354.45</v>
      </c>
      <c r="AJ227" s="256">
        <f t="shared" si="9"/>
        <v>0.02739130435</v>
      </c>
      <c r="AK227" s="257"/>
      <c r="AL227" s="255">
        <v>45819.0</v>
      </c>
      <c r="AM227" s="174">
        <v>6022.24</v>
      </c>
      <c r="AN227" s="256">
        <f t="shared" si="10"/>
        <v>-0.00274391809</v>
      </c>
      <c r="AO227" s="154"/>
      <c r="AP227" s="154"/>
    </row>
    <row r="228">
      <c r="A228" s="154"/>
      <c r="B228" s="255">
        <v>45818.0</v>
      </c>
      <c r="C228" s="174">
        <v>10.04</v>
      </c>
      <c r="D228" s="256">
        <f t="shared" si="1"/>
        <v>0.02868852459</v>
      </c>
      <c r="E228" s="154"/>
      <c r="F228" s="255">
        <v>45818.0</v>
      </c>
      <c r="G228" s="174">
        <v>9.04</v>
      </c>
      <c r="H228" s="256">
        <f t="shared" si="2"/>
        <v>0.02610669694</v>
      </c>
      <c r="I228" s="154"/>
      <c r="J228" s="255">
        <v>45818.0</v>
      </c>
      <c r="K228" s="174">
        <v>17.59</v>
      </c>
      <c r="L228" s="256">
        <f t="shared" si="3"/>
        <v>-0.02656336469</v>
      </c>
      <c r="M228" s="154"/>
      <c r="N228" s="255">
        <v>45818.0</v>
      </c>
      <c r="O228" s="174">
        <v>2096.0</v>
      </c>
      <c r="P228" s="256">
        <f t="shared" si="4"/>
        <v>-0.008514664144</v>
      </c>
      <c r="Q228" s="154"/>
      <c r="R228" s="255">
        <v>45818.0</v>
      </c>
      <c r="S228" s="174">
        <v>27.6</v>
      </c>
      <c r="T228" s="256">
        <f t="shared" si="5"/>
        <v>0.05464272067</v>
      </c>
      <c r="U228" s="154"/>
      <c r="V228" s="255">
        <v>45818.0</v>
      </c>
      <c r="W228" s="258">
        <v>1338.0</v>
      </c>
      <c r="X228" s="256">
        <f t="shared" si="6"/>
        <v>0.01432795088</v>
      </c>
      <c r="Y228" s="255"/>
      <c r="Z228" s="255">
        <v>45818.0</v>
      </c>
      <c r="AA228" s="258">
        <v>1515.0</v>
      </c>
      <c r="AB228" s="256">
        <f t="shared" si="7"/>
        <v>0.005575467941</v>
      </c>
      <c r="AC228" s="154"/>
      <c r="AD228" s="255">
        <v>45818.0</v>
      </c>
      <c r="AE228" s="174">
        <v>10.37</v>
      </c>
      <c r="AF228" s="256">
        <f t="shared" si="8"/>
        <v>-0.02445907808</v>
      </c>
      <c r="AG228" s="257"/>
      <c r="AH228" s="255">
        <v>45818.0</v>
      </c>
      <c r="AI228" s="258">
        <v>345.0</v>
      </c>
      <c r="AJ228" s="256">
        <f t="shared" si="9"/>
        <v>0.02025728227</v>
      </c>
      <c r="AK228" s="257"/>
      <c r="AL228" s="255">
        <v>45818.0</v>
      </c>
      <c r="AM228" s="174">
        <v>6038.81</v>
      </c>
      <c r="AN228" s="256">
        <f t="shared" si="10"/>
        <v>0.005482960033</v>
      </c>
      <c r="AO228" s="154"/>
      <c r="AP228" s="154"/>
    </row>
    <row r="229">
      <c r="A229" s="154"/>
      <c r="B229" s="255">
        <v>45817.0</v>
      </c>
      <c r="C229" s="174">
        <v>9.76</v>
      </c>
      <c r="D229" s="256">
        <f t="shared" si="1"/>
        <v>0.02092050209</v>
      </c>
      <c r="E229" s="154"/>
      <c r="F229" s="255">
        <v>45817.0</v>
      </c>
      <c r="G229" s="174">
        <v>8.81</v>
      </c>
      <c r="H229" s="256">
        <f t="shared" si="2"/>
        <v>0.01148105626</v>
      </c>
      <c r="I229" s="154"/>
      <c r="J229" s="255">
        <v>45817.0</v>
      </c>
      <c r="K229" s="174">
        <v>18.07</v>
      </c>
      <c r="L229" s="256">
        <f t="shared" si="3"/>
        <v>0.01688238604</v>
      </c>
      <c r="M229" s="154"/>
      <c r="N229" s="255">
        <v>45817.0</v>
      </c>
      <c r="O229" s="174">
        <v>2114.0</v>
      </c>
      <c r="P229" s="256">
        <f t="shared" si="4"/>
        <v>-0.006578947368</v>
      </c>
      <c r="Q229" s="154"/>
      <c r="R229" s="255">
        <v>45817.0</v>
      </c>
      <c r="S229" s="174">
        <v>26.17</v>
      </c>
      <c r="T229" s="256">
        <f t="shared" si="5"/>
        <v>0.0003822629969</v>
      </c>
      <c r="U229" s="154"/>
      <c r="V229" s="255">
        <v>45817.0</v>
      </c>
      <c r="W229" s="174">
        <v>1319.1</v>
      </c>
      <c r="X229" s="256">
        <f t="shared" si="6"/>
        <v>-0.001362707245</v>
      </c>
      <c r="Y229" s="154"/>
      <c r="Z229" s="255">
        <v>45817.0</v>
      </c>
      <c r="AA229" s="174">
        <v>1506.6</v>
      </c>
      <c r="AB229" s="256">
        <f t="shared" si="7"/>
        <v>0.001595532509</v>
      </c>
      <c r="AC229" s="154"/>
      <c r="AD229" s="255">
        <v>45817.0</v>
      </c>
      <c r="AE229" s="174">
        <v>10.63</v>
      </c>
      <c r="AF229" s="256">
        <f t="shared" si="8"/>
        <v>-0.002814258912</v>
      </c>
      <c r="AG229" s="257"/>
      <c r="AH229" s="255">
        <v>45817.0</v>
      </c>
      <c r="AI229" s="174">
        <v>338.15</v>
      </c>
      <c r="AJ229" s="256">
        <f t="shared" si="9"/>
        <v>0.0245417361</v>
      </c>
      <c r="AK229" s="257"/>
      <c r="AL229" s="255">
        <v>45817.0</v>
      </c>
      <c r="AM229" s="174">
        <v>6005.88</v>
      </c>
      <c r="AN229" s="256">
        <f t="shared" si="10"/>
        <v>0.0009199448033</v>
      </c>
      <c r="AO229" s="154"/>
      <c r="AP229" s="154"/>
    </row>
    <row r="230">
      <c r="A230" s="154"/>
      <c r="B230" s="255">
        <v>45814.0</v>
      </c>
      <c r="C230" s="174">
        <v>9.56</v>
      </c>
      <c r="D230" s="256">
        <f t="shared" si="1"/>
        <v>0.04026115343</v>
      </c>
      <c r="E230" s="154"/>
      <c r="F230" s="255">
        <v>45814.0</v>
      </c>
      <c r="G230" s="174">
        <v>8.71</v>
      </c>
      <c r="H230" s="256">
        <f t="shared" si="2"/>
        <v>0.02955082742</v>
      </c>
      <c r="I230" s="154"/>
      <c r="J230" s="255">
        <v>45814.0</v>
      </c>
      <c r="K230" s="174">
        <v>17.77</v>
      </c>
      <c r="L230" s="256">
        <f t="shared" si="3"/>
        <v>0.03014492754</v>
      </c>
      <c r="M230" s="154"/>
      <c r="N230" s="255">
        <v>45814.0</v>
      </c>
      <c r="O230" s="174">
        <v>2128.0</v>
      </c>
      <c r="P230" s="256">
        <f t="shared" si="4"/>
        <v>0.01140684411</v>
      </c>
      <c r="Q230" s="154"/>
      <c r="R230" s="255">
        <v>45814.0</v>
      </c>
      <c r="S230" s="174">
        <v>26.16</v>
      </c>
      <c r="T230" s="256">
        <f t="shared" si="5"/>
        <v>0.007316134001</v>
      </c>
      <c r="U230" s="154"/>
      <c r="V230" s="255">
        <v>45814.0</v>
      </c>
      <c r="W230" s="174">
        <v>1320.9</v>
      </c>
      <c r="X230" s="256">
        <f t="shared" si="6"/>
        <v>0.02347745235</v>
      </c>
      <c r="Y230" s="154"/>
      <c r="Z230" s="255">
        <v>45814.0</v>
      </c>
      <c r="AA230" s="174">
        <v>1504.2</v>
      </c>
      <c r="AB230" s="256">
        <f t="shared" si="7"/>
        <v>0.009665726943</v>
      </c>
      <c r="AC230" s="154"/>
      <c r="AD230" s="255">
        <v>45814.0</v>
      </c>
      <c r="AE230" s="174">
        <v>10.66</v>
      </c>
      <c r="AF230" s="256">
        <f t="shared" si="8"/>
        <v>0.01523809524</v>
      </c>
      <c r="AG230" s="257"/>
      <c r="AH230" s="255">
        <v>45814.0</v>
      </c>
      <c r="AI230" s="174">
        <v>330.05</v>
      </c>
      <c r="AJ230" s="256">
        <f t="shared" si="9"/>
        <v>-0.001663641863</v>
      </c>
      <c r="AK230" s="257"/>
      <c r="AL230" s="255">
        <v>45814.0</v>
      </c>
      <c r="AM230" s="174">
        <v>6000.36</v>
      </c>
      <c r="AN230" s="256">
        <f t="shared" si="10"/>
        <v>0.01028067281</v>
      </c>
      <c r="AO230" s="154"/>
      <c r="AP230" s="154"/>
    </row>
    <row r="231">
      <c r="A231" s="154"/>
      <c r="B231" s="255">
        <v>45813.0</v>
      </c>
      <c r="C231" s="174">
        <v>9.19</v>
      </c>
      <c r="D231" s="256">
        <f t="shared" si="1"/>
        <v>-0.03567681007</v>
      </c>
      <c r="E231" s="154"/>
      <c r="F231" s="255">
        <v>45813.0</v>
      </c>
      <c r="G231" s="174">
        <v>8.46</v>
      </c>
      <c r="H231" s="256">
        <f t="shared" si="2"/>
        <v>-0.0151338766</v>
      </c>
      <c r="I231" s="154"/>
      <c r="J231" s="255">
        <v>45813.0</v>
      </c>
      <c r="K231" s="174">
        <v>17.25</v>
      </c>
      <c r="L231" s="256">
        <f t="shared" si="3"/>
        <v>-0.0154109589</v>
      </c>
      <c r="M231" s="154"/>
      <c r="N231" s="255">
        <v>45813.0</v>
      </c>
      <c r="O231" s="174">
        <v>2104.0</v>
      </c>
      <c r="P231" s="256">
        <f t="shared" si="4"/>
        <v>0.001904761905</v>
      </c>
      <c r="Q231" s="154"/>
      <c r="R231" s="255">
        <v>45813.0</v>
      </c>
      <c r="S231" s="174">
        <v>25.97</v>
      </c>
      <c r="T231" s="256">
        <f t="shared" si="5"/>
        <v>-0.01104341203</v>
      </c>
      <c r="U231" s="154"/>
      <c r="V231" s="255">
        <v>45813.0</v>
      </c>
      <c r="W231" s="174">
        <v>1290.6</v>
      </c>
      <c r="X231" s="256">
        <f t="shared" si="6"/>
        <v>0.03091301222</v>
      </c>
      <c r="Y231" s="154"/>
      <c r="Z231" s="255">
        <v>45813.0</v>
      </c>
      <c r="AA231" s="174">
        <v>1489.8</v>
      </c>
      <c r="AB231" s="256">
        <f t="shared" si="7"/>
        <v>0.01216115225</v>
      </c>
      <c r="AC231" s="154"/>
      <c r="AD231" s="255">
        <v>45813.0</v>
      </c>
      <c r="AE231" s="174">
        <v>10.5</v>
      </c>
      <c r="AF231" s="256">
        <f t="shared" si="8"/>
        <v>-0.03047091413</v>
      </c>
      <c r="AG231" s="257"/>
      <c r="AH231" s="255">
        <v>45813.0</v>
      </c>
      <c r="AI231" s="174">
        <v>330.6</v>
      </c>
      <c r="AJ231" s="256">
        <f t="shared" si="9"/>
        <v>-0.01724137931</v>
      </c>
      <c r="AK231" s="257"/>
      <c r="AL231" s="255">
        <v>45813.0</v>
      </c>
      <c r="AM231" s="174">
        <v>5939.3</v>
      </c>
      <c r="AN231" s="256">
        <f t="shared" si="10"/>
        <v>-0.00527734093</v>
      </c>
      <c r="AO231" s="154"/>
      <c r="AP231" s="154"/>
    </row>
    <row r="232">
      <c r="A232" s="154"/>
      <c r="B232" s="255">
        <v>45812.0</v>
      </c>
      <c r="C232" s="174">
        <v>9.53</v>
      </c>
      <c r="D232" s="256">
        <f t="shared" si="1"/>
        <v>0.009533898305</v>
      </c>
      <c r="E232" s="154"/>
      <c r="F232" s="255">
        <v>45812.0</v>
      </c>
      <c r="G232" s="174">
        <v>8.59</v>
      </c>
      <c r="H232" s="256">
        <f t="shared" si="2"/>
        <v>-0.01377726751</v>
      </c>
      <c r="I232" s="154"/>
      <c r="J232" s="255">
        <v>45812.0</v>
      </c>
      <c r="K232" s="174">
        <v>17.52</v>
      </c>
      <c r="L232" s="256">
        <f t="shared" si="3"/>
        <v>0.01919720768</v>
      </c>
      <c r="M232" s="154"/>
      <c r="N232" s="255">
        <v>45812.0</v>
      </c>
      <c r="O232" s="174">
        <v>2100.0</v>
      </c>
      <c r="P232" s="256">
        <f t="shared" si="4"/>
        <v>-0.01408450704</v>
      </c>
      <c r="Q232" s="154"/>
      <c r="R232" s="255">
        <v>45812.0</v>
      </c>
      <c r="S232" s="174">
        <v>26.26</v>
      </c>
      <c r="T232" s="256">
        <f t="shared" si="5"/>
        <v>-0.009803921569</v>
      </c>
      <c r="U232" s="154"/>
      <c r="V232" s="255">
        <v>45812.0</v>
      </c>
      <c r="W232" s="174">
        <v>1251.9</v>
      </c>
      <c r="X232" s="256">
        <f t="shared" si="6"/>
        <v>0.002883922134</v>
      </c>
      <c r="Y232" s="154"/>
      <c r="Z232" s="255">
        <v>45812.0</v>
      </c>
      <c r="AA232" s="174">
        <v>1471.9</v>
      </c>
      <c r="AB232" s="256">
        <f t="shared" si="7"/>
        <v>-0.0008824327993</v>
      </c>
      <c r="AC232" s="154"/>
      <c r="AD232" s="255">
        <v>45812.0</v>
      </c>
      <c r="AE232" s="174">
        <v>10.83</v>
      </c>
      <c r="AF232" s="256">
        <f t="shared" si="8"/>
        <v>-0.05414847162</v>
      </c>
      <c r="AG232" s="257"/>
      <c r="AH232" s="255">
        <v>45812.0</v>
      </c>
      <c r="AI232" s="174">
        <v>336.4</v>
      </c>
      <c r="AJ232" s="256">
        <f t="shared" si="9"/>
        <v>-0.002372479241</v>
      </c>
      <c r="AK232" s="257"/>
      <c r="AL232" s="255">
        <v>45812.0</v>
      </c>
      <c r="AM232" s="174">
        <v>5970.81</v>
      </c>
      <c r="AN232" s="256">
        <f t="shared" si="10"/>
        <v>0.00007369727504</v>
      </c>
      <c r="AO232" s="154"/>
      <c r="AP232" s="154"/>
    </row>
    <row r="233">
      <c r="A233" s="154"/>
      <c r="B233" s="255">
        <v>45811.0</v>
      </c>
      <c r="C233" s="174">
        <v>9.44</v>
      </c>
      <c r="D233" s="256">
        <f t="shared" si="1"/>
        <v>0.02054054054</v>
      </c>
      <c r="E233" s="154"/>
      <c r="F233" s="255">
        <v>45811.0</v>
      </c>
      <c r="G233" s="174">
        <v>8.71</v>
      </c>
      <c r="H233" s="256">
        <f t="shared" si="2"/>
        <v>0.002301495972</v>
      </c>
      <c r="I233" s="154"/>
      <c r="J233" s="255">
        <v>45811.0</v>
      </c>
      <c r="K233" s="174">
        <v>17.19</v>
      </c>
      <c r="L233" s="256">
        <f t="shared" si="3"/>
        <v>-0.00405561993</v>
      </c>
      <c r="M233" s="154"/>
      <c r="N233" s="255">
        <v>45811.0</v>
      </c>
      <c r="O233" s="174">
        <v>2130.0</v>
      </c>
      <c r="P233" s="256">
        <f t="shared" si="4"/>
        <v>-0.008379888268</v>
      </c>
      <c r="Q233" s="154"/>
      <c r="R233" s="255">
        <v>45811.0</v>
      </c>
      <c r="S233" s="174">
        <v>26.52</v>
      </c>
      <c r="T233" s="256">
        <f t="shared" si="5"/>
        <v>-0.007113440659</v>
      </c>
      <c r="U233" s="154"/>
      <c r="V233" s="255">
        <v>45811.0</v>
      </c>
      <c r="W233" s="174">
        <v>1248.3</v>
      </c>
      <c r="X233" s="256">
        <f t="shared" si="6"/>
        <v>0.0004808848281</v>
      </c>
      <c r="Y233" s="154"/>
      <c r="Z233" s="255">
        <v>45811.0</v>
      </c>
      <c r="AA233" s="174">
        <v>1473.2</v>
      </c>
      <c r="AB233" s="256">
        <f t="shared" si="7"/>
        <v>0.002040538702</v>
      </c>
      <c r="AC233" s="154"/>
      <c r="AD233" s="255">
        <v>45811.0</v>
      </c>
      <c r="AE233" s="174">
        <v>11.45</v>
      </c>
      <c r="AF233" s="256">
        <f t="shared" si="8"/>
        <v>0.02049910873</v>
      </c>
      <c r="AG233" s="257"/>
      <c r="AH233" s="255">
        <v>45811.0</v>
      </c>
      <c r="AI233" s="174">
        <v>337.2</v>
      </c>
      <c r="AJ233" s="256">
        <f t="shared" si="9"/>
        <v>0.009580838323</v>
      </c>
      <c r="AK233" s="257"/>
      <c r="AL233" s="255">
        <v>45811.0</v>
      </c>
      <c r="AM233" s="174">
        <v>5970.37</v>
      </c>
      <c r="AN233" s="256">
        <f t="shared" si="10"/>
        <v>0.005800260784</v>
      </c>
      <c r="AO233" s="154"/>
      <c r="AP233" s="154"/>
    </row>
    <row r="234">
      <c r="A234" s="154"/>
      <c r="B234" s="255">
        <v>45810.0</v>
      </c>
      <c r="C234" s="174">
        <v>9.25</v>
      </c>
      <c r="D234" s="256">
        <f t="shared" si="1"/>
        <v>0.003253796095</v>
      </c>
      <c r="E234" s="154"/>
      <c r="F234" s="255">
        <v>45810.0</v>
      </c>
      <c r="G234" s="174">
        <v>8.69</v>
      </c>
      <c r="H234" s="256">
        <f t="shared" si="2"/>
        <v>-0.01137656428</v>
      </c>
      <c r="I234" s="154"/>
      <c r="J234" s="255">
        <v>45810.0</v>
      </c>
      <c r="K234" s="174">
        <v>17.26</v>
      </c>
      <c r="L234" s="256">
        <f t="shared" si="3"/>
        <v>0.02860548272</v>
      </c>
      <c r="M234" s="154"/>
      <c r="N234" s="255">
        <v>45810.0</v>
      </c>
      <c r="O234" s="174">
        <v>2148.0</v>
      </c>
      <c r="P234" s="256">
        <f t="shared" si="4"/>
        <v>0.003738317757</v>
      </c>
      <c r="Q234" s="154"/>
      <c r="R234" s="255">
        <v>45810.0</v>
      </c>
      <c r="S234" s="174">
        <v>26.71</v>
      </c>
      <c r="T234" s="256">
        <f t="shared" si="5"/>
        <v>-0.002241314905</v>
      </c>
      <c r="U234" s="154"/>
      <c r="V234" s="255">
        <v>45810.0</v>
      </c>
      <c r="W234" s="174">
        <v>1247.7</v>
      </c>
      <c r="X234" s="256">
        <f t="shared" si="6"/>
        <v>-0.002797314578</v>
      </c>
      <c r="Y234" s="154"/>
      <c r="Z234" s="255">
        <v>45810.0</v>
      </c>
      <c r="AA234" s="174">
        <v>1470.2</v>
      </c>
      <c r="AB234" s="256">
        <f t="shared" si="7"/>
        <v>0.003070205363</v>
      </c>
      <c r="AC234" s="154"/>
      <c r="AD234" s="255">
        <v>45810.0</v>
      </c>
      <c r="AE234" s="174">
        <v>11.22</v>
      </c>
      <c r="AF234" s="256">
        <f t="shared" si="8"/>
        <v>-0.01923076923</v>
      </c>
      <c r="AG234" s="257"/>
      <c r="AH234" s="255">
        <v>45810.0</v>
      </c>
      <c r="AI234" s="174">
        <v>334.0</v>
      </c>
      <c r="AJ234" s="256">
        <f t="shared" si="9"/>
        <v>-0.005508411493</v>
      </c>
      <c r="AK234" s="257"/>
      <c r="AL234" s="255">
        <v>45810.0</v>
      </c>
      <c r="AM234" s="174">
        <v>5935.94</v>
      </c>
      <c r="AN234" s="256">
        <f t="shared" si="10"/>
        <v>0.004102041886</v>
      </c>
      <c r="AO234" s="154"/>
      <c r="AP234" s="154"/>
    </row>
    <row r="235">
      <c r="A235" s="154"/>
      <c r="B235" s="255">
        <v>45807.0</v>
      </c>
      <c r="C235" s="174">
        <v>9.22</v>
      </c>
      <c r="D235" s="256">
        <f t="shared" si="1"/>
        <v>-0.03354297694</v>
      </c>
      <c r="E235" s="154"/>
      <c r="F235" s="255">
        <v>45807.0</v>
      </c>
      <c r="G235" s="174">
        <v>8.79</v>
      </c>
      <c r="H235" s="256">
        <f t="shared" si="2"/>
        <v>-0.004530011325</v>
      </c>
      <c r="I235" s="154"/>
      <c r="J235" s="255">
        <v>45807.0</v>
      </c>
      <c r="K235" s="174">
        <v>16.78</v>
      </c>
      <c r="L235" s="256">
        <f t="shared" si="3"/>
        <v>-0.0427837992</v>
      </c>
      <c r="M235" s="154"/>
      <c r="N235" s="255">
        <v>45807.0</v>
      </c>
      <c r="O235" s="174">
        <v>2140.0</v>
      </c>
      <c r="P235" s="256">
        <f t="shared" si="4"/>
        <v>0.004694835681</v>
      </c>
      <c r="Q235" s="154"/>
      <c r="R235" s="255">
        <v>45807.0</v>
      </c>
      <c r="S235" s="174">
        <v>26.77</v>
      </c>
      <c r="T235" s="256">
        <f t="shared" si="5"/>
        <v>-0.01326944342</v>
      </c>
      <c r="U235" s="154"/>
      <c r="V235" s="255">
        <v>45807.0</v>
      </c>
      <c r="W235" s="174">
        <v>1251.2</v>
      </c>
      <c r="X235" s="256">
        <f t="shared" si="6"/>
        <v>0.002403460984</v>
      </c>
      <c r="Y235" s="154"/>
      <c r="Z235" s="255">
        <v>45807.0</v>
      </c>
      <c r="AA235" s="174">
        <v>1465.7</v>
      </c>
      <c r="AB235" s="256">
        <f t="shared" si="7"/>
        <v>-0.007583451825</v>
      </c>
      <c r="AC235" s="154"/>
      <c r="AD235" s="255">
        <v>45807.0</v>
      </c>
      <c r="AE235" s="174">
        <v>11.44</v>
      </c>
      <c r="AF235" s="256">
        <f t="shared" si="8"/>
        <v>0.02692998205</v>
      </c>
      <c r="AG235" s="257"/>
      <c r="AH235" s="255">
        <v>45807.0</v>
      </c>
      <c r="AI235" s="174">
        <v>335.85</v>
      </c>
      <c r="AJ235" s="256">
        <f t="shared" si="9"/>
        <v>0.0007449344458</v>
      </c>
      <c r="AK235" s="257"/>
      <c r="AL235" s="255">
        <v>45807.0</v>
      </c>
      <c r="AM235" s="174">
        <v>5911.69</v>
      </c>
      <c r="AN235" s="256">
        <f t="shared" si="10"/>
        <v>-0.0000811884638</v>
      </c>
      <c r="AO235" s="154"/>
      <c r="AP235" s="154"/>
    </row>
    <row r="236">
      <c r="A236" s="154"/>
      <c r="B236" s="255">
        <v>45806.0</v>
      </c>
      <c r="C236" s="174">
        <v>9.54</v>
      </c>
      <c r="D236" s="256">
        <f t="shared" si="1"/>
        <v>0.04262295082</v>
      </c>
      <c r="E236" s="154"/>
      <c r="F236" s="255">
        <v>45806.0</v>
      </c>
      <c r="G236" s="174">
        <v>8.83</v>
      </c>
      <c r="H236" s="256">
        <f t="shared" si="2"/>
        <v>0.02793946449</v>
      </c>
      <c r="I236" s="154"/>
      <c r="J236" s="255">
        <v>45806.0</v>
      </c>
      <c r="K236" s="174">
        <v>17.53</v>
      </c>
      <c r="L236" s="256">
        <f t="shared" si="3"/>
        <v>-0.03415977961</v>
      </c>
      <c r="M236" s="154"/>
      <c r="N236" s="255">
        <v>45806.0</v>
      </c>
      <c r="O236" s="174">
        <v>2130.0</v>
      </c>
      <c r="P236" s="256">
        <f t="shared" si="4"/>
        <v>-0.008379888268</v>
      </c>
      <c r="Q236" s="154"/>
      <c r="R236" s="255">
        <v>45806.0</v>
      </c>
      <c r="S236" s="174">
        <v>27.13</v>
      </c>
      <c r="T236" s="256">
        <f t="shared" si="5"/>
        <v>0.00110701107</v>
      </c>
      <c r="U236" s="154"/>
      <c r="V236" s="255">
        <v>45806.0</v>
      </c>
      <c r="W236" s="174">
        <v>1248.2</v>
      </c>
      <c r="X236" s="256">
        <f t="shared" si="6"/>
        <v>0.004506679543</v>
      </c>
      <c r="Y236" s="154"/>
      <c r="Z236" s="255">
        <v>45806.0</v>
      </c>
      <c r="AA236" s="174">
        <v>1476.9</v>
      </c>
      <c r="AB236" s="256">
        <f t="shared" si="7"/>
        <v>0.005720122574</v>
      </c>
      <c r="AC236" s="154"/>
      <c r="AD236" s="255">
        <v>45806.0</v>
      </c>
      <c r="AE236" s="174">
        <v>11.14</v>
      </c>
      <c r="AF236" s="256">
        <f t="shared" si="8"/>
        <v>-0.003577817531</v>
      </c>
      <c r="AG236" s="257"/>
      <c r="AH236" s="255">
        <v>45806.0</v>
      </c>
      <c r="AI236" s="174">
        <v>335.6</v>
      </c>
      <c r="AJ236" s="256">
        <f t="shared" si="9"/>
        <v>0.003738597278</v>
      </c>
      <c r="AK236" s="257"/>
      <c r="AL236" s="255">
        <v>45806.0</v>
      </c>
      <c r="AM236" s="174">
        <v>5912.17</v>
      </c>
      <c r="AN236" s="256">
        <f t="shared" si="10"/>
        <v>0.004011174228</v>
      </c>
      <c r="AO236" s="154"/>
      <c r="AP236" s="154"/>
    </row>
    <row r="237">
      <c r="A237" s="154"/>
      <c r="B237" s="255">
        <v>45805.0</v>
      </c>
      <c r="C237" s="174">
        <v>9.15</v>
      </c>
      <c r="D237" s="256">
        <f t="shared" si="1"/>
        <v>0.001094091904</v>
      </c>
      <c r="E237" s="154"/>
      <c r="F237" s="255">
        <v>45805.0</v>
      </c>
      <c r="G237" s="174">
        <v>8.59</v>
      </c>
      <c r="H237" s="256">
        <f t="shared" si="2"/>
        <v>-0.001162790698</v>
      </c>
      <c r="I237" s="154"/>
      <c r="J237" s="255">
        <v>45805.0</v>
      </c>
      <c r="K237" s="174">
        <v>18.15</v>
      </c>
      <c r="L237" s="256">
        <f t="shared" si="3"/>
        <v>0.0248447205</v>
      </c>
      <c r="M237" s="154"/>
      <c r="N237" s="255">
        <v>45805.0</v>
      </c>
      <c r="O237" s="174">
        <v>2148.0</v>
      </c>
      <c r="P237" s="256">
        <f t="shared" si="4"/>
        <v>0.01704545455</v>
      </c>
      <c r="Q237" s="154"/>
      <c r="R237" s="255">
        <v>45805.0</v>
      </c>
      <c r="S237" s="174">
        <v>27.1</v>
      </c>
      <c r="T237" s="256">
        <f t="shared" si="5"/>
        <v>-0.008415660446</v>
      </c>
      <c r="U237" s="154"/>
      <c r="V237" s="255">
        <v>45805.0</v>
      </c>
      <c r="W237" s="174">
        <v>1242.6</v>
      </c>
      <c r="X237" s="256">
        <f t="shared" si="6"/>
        <v>-0.0004826254826</v>
      </c>
      <c r="Y237" s="154"/>
      <c r="Z237" s="255">
        <v>45805.0</v>
      </c>
      <c r="AA237" s="174">
        <v>1468.5</v>
      </c>
      <c r="AB237" s="256">
        <f t="shared" si="7"/>
        <v>-0.008105369807</v>
      </c>
      <c r="AC237" s="154"/>
      <c r="AD237" s="255">
        <v>45805.0</v>
      </c>
      <c r="AE237" s="174">
        <v>11.18</v>
      </c>
      <c r="AF237" s="256">
        <f t="shared" si="8"/>
        <v>-0.013239188</v>
      </c>
      <c r="AG237" s="257"/>
      <c r="AH237" s="255">
        <v>45805.0</v>
      </c>
      <c r="AI237" s="174">
        <v>334.35</v>
      </c>
      <c r="AJ237" s="256">
        <f t="shared" si="9"/>
        <v>-0.002089240412</v>
      </c>
      <c r="AK237" s="257"/>
      <c r="AL237" s="255">
        <v>45805.0</v>
      </c>
      <c r="AM237" s="174">
        <v>5888.55</v>
      </c>
      <c r="AN237" s="256">
        <f t="shared" si="10"/>
        <v>-0.005571185874</v>
      </c>
      <c r="AO237" s="154"/>
      <c r="AP237" s="154"/>
    </row>
    <row r="238">
      <c r="A238" s="154"/>
      <c r="B238" s="255">
        <v>45804.0</v>
      </c>
      <c r="C238" s="174">
        <v>9.14</v>
      </c>
      <c r="D238" s="256">
        <f t="shared" si="1"/>
        <v>0.05178365938</v>
      </c>
      <c r="E238" s="154"/>
      <c r="F238" s="255">
        <v>45804.0</v>
      </c>
      <c r="G238" s="174">
        <v>8.6</v>
      </c>
      <c r="H238" s="256">
        <f t="shared" si="2"/>
        <v>0.03739445115</v>
      </c>
      <c r="I238" s="154"/>
      <c r="J238" s="255">
        <v>45804.0</v>
      </c>
      <c r="K238" s="174">
        <v>17.71</v>
      </c>
      <c r="L238" s="256">
        <f t="shared" si="3"/>
        <v>0.04422169811</v>
      </c>
      <c r="M238" s="154"/>
      <c r="N238" s="255">
        <v>45804.0</v>
      </c>
      <c r="O238" s="174">
        <v>2112.0</v>
      </c>
      <c r="P238" s="256">
        <f t="shared" si="4"/>
        <v>0.01734104046</v>
      </c>
      <c r="Q238" s="154"/>
      <c r="R238" s="255">
        <v>45804.0</v>
      </c>
      <c r="S238" s="174">
        <v>27.33</v>
      </c>
      <c r="T238" s="256">
        <f t="shared" si="5"/>
        <v>0.02899096386</v>
      </c>
      <c r="U238" s="154"/>
      <c r="V238" s="255">
        <v>45804.0</v>
      </c>
      <c r="W238" s="174">
        <v>1243.2</v>
      </c>
      <c r="X238" s="256">
        <f t="shared" si="6"/>
        <v>0.01064954069</v>
      </c>
      <c r="Y238" s="154"/>
      <c r="Z238" s="255">
        <v>45804.0</v>
      </c>
      <c r="AA238" s="174">
        <v>1480.5</v>
      </c>
      <c r="AB238" s="256">
        <f t="shared" si="7"/>
        <v>-0.002492925482</v>
      </c>
      <c r="AC238" s="154"/>
      <c r="AD238" s="255">
        <v>45804.0</v>
      </c>
      <c r="AE238" s="174">
        <v>11.33</v>
      </c>
      <c r="AF238" s="256">
        <f t="shared" si="8"/>
        <v>0.1021400778</v>
      </c>
      <c r="AG238" s="257"/>
      <c r="AH238" s="255">
        <v>45804.0</v>
      </c>
      <c r="AI238" s="174">
        <v>335.05</v>
      </c>
      <c r="AJ238" s="256">
        <f t="shared" si="9"/>
        <v>0.01300075586</v>
      </c>
      <c r="AK238" s="257"/>
      <c r="AL238" s="255">
        <v>45804.0</v>
      </c>
      <c r="AM238" s="174">
        <v>5921.54</v>
      </c>
      <c r="AN238" s="256">
        <f t="shared" si="10"/>
        <v>0.0204590182</v>
      </c>
      <c r="AO238" s="154"/>
      <c r="AP238" s="154"/>
    </row>
    <row r="239">
      <c r="A239" s="154"/>
      <c r="B239" s="255">
        <v>45800.0</v>
      </c>
      <c r="C239" s="174">
        <v>8.69</v>
      </c>
      <c r="D239" s="256">
        <f t="shared" si="1"/>
        <v>0</v>
      </c>
      <c r="E239" s="154"/>
      <c r="F239" s="255">
        <v>45800.0</v>
      </c>
      <c r="G239" s="174">
        <v>8.29</v>
      </c>
      <c r="H239" s="256">
        <f t="shared" si="2"/>
        <v>-0.02470588235</v>
      </c>
      <c r="I239" s="154"/>
      <c r="J239" s="255">
        <v>45800.0</v>
      </c>
      <c r="K239" s="174">
        <v>16.96</v>
      </c>
      <c r="L239" s="256">
        <f t="shared" si="3"/>
        <v>0.001180637544</v>
      </c>
      <c r="M239" s="154"/>
      <c r="N239" s="255">
        <v>45800.0</v>
      </c>
      <c r="O239" s="174">
        <v>2076.0</v>
      </c>
      <c r="P239" s="256">
        <f t="shared" si="4"/>
        <v>-0.0009624639076</v>
      </c>
      <c r="Q239" s="154"/>
      <c r="R239" s="255">
        <v>45800.0</v>
      </c>
      <c r="S239" s="174">
        <v>26.56</v>
      </c>
      <c r="T239" s="256">
        <f t="shared" si="5"/>
        <v>0.006060606061</v>
      </c>
      <c r="U239" s="154"/>
      <c r="V239" s="255">
        <v>45800.0</v>
      </c>
      <c r="W239" s="174">
        <v>1230.1</v>
      </c>
      <c r="X239" s="256">
        <f t="shared" si="6"/>
        <v>0.006463753886</v>
      </c>
      <c r="Y239" s="154"/>
      <c r="Z239" s="255">
        <v>45800.0</v>
      </c>
      <c r="AA239" s="174">
        <v>1484.2</v>
      </c>
      <c r="AB239" s="256">
        <f t="shared" si="7"/>
        <v>0.01069118148</v>
      </c>
      <c r="AC239" s="154"/>
      <c r="AD239" s="255">
        <v>45800.0</v>
      </c>
      <c r="AE239" s="174">
        <v>10.28</v>
      </c>
      <c r="AF239" s="256">
        <f t="shared" si="8"/>
        <v>0.03420523139</v>
      </c>
      <c r="AG239" s="257"/>
      <c r="AH239" s="255">
        <v>45800.0</v>
      </c>
      <c r="AI239" s="174">
        <v>330.75</v>
      </c>
      <c r="AJ239" s="256">
        <f t="shared" si="9"/>
        <v>-0.007054938457</v>
      </c>
      <c r="AK239" s="257"/>
      <c r="AL239" s="255">
        <v>45800.0</v>
      </c>
      <c r="AM239" s="174">
        <v>5802.82</v>
      </c>
      <c r="AN239" s="256">
        <f t="shared" si="10"/>
        <v>-0.006708307586</v>
      </c>
      <c r="AO239" s="154"/>
      <c r="AP239" s="154"/>
    </row>
    <row r="240">
      <c r="A240" s="154"/>
      <c r="B240" s="255">
        <v>45799.0</v>
      </c>
      <c r="C240" s="174">
        <v>8.69</v>
      </c>
      <c r="D240" s="256">
        <f t="shared" si="1"/>
        <v>0.03084223013</v>
      </c>
      <c r="E240" s="154"/>
      <c r="F240" s="255">
        <v>45799.0</v>
      </c>
      <c r="G240" s="174">
        <v>8.5</v>
      </c>
      <c r="H240" s="256">
        <f t="shared" si="2"/>
        <v>0.002358490566</v>
      </c>
      <c r="I240" s="154"/>
      <c r="J240" s="255">
        <v>45799.0</v>
      </c>
      <c r="K240" s="174">
        <v>16.94</v>
      </c>
      <c r="L240" s="256">
        <f t="shared" si="3"/>
        <v>0.02356495468</v>
      </c>
      <c r="M240" s="154"/>
      <c r="N240" s="255">
        <v>45799.0</v>
      </c>
      <c r="O240" s="174">
        <v>2078.0</v>
      </c>
      <c r="P240" s="256">
        <f t="shared" si="4"/>
        <v>0</v>
      </c>
      <c r="Q240" s="154"/>
      <c r="R240" s="255">
        <v>45799.0</v>
      </c>
      <c r="S240" s="174">
        <v>26.4</v>
      </c>
      <c r="T240" s="256">
        <f t="shared" si="5"/>
        <v>-0.01895206243</v>
      </c>
      <c r="U240" s="154"/>
      <c r="V240" s="255">
        <v>45799.0</v>
      </c>
      <c r="W240" s="174">
        <v>1222.2</v>
      </c>
      <c r="X240" s="256">
        <f t="shared" si="6"/>
        <v>-0.002041316241</v>
      </c>
      <c r="Y240" s="154"/>
      <c r="Z240" s="255">
        <v>45799.0</v>
      </c>
      <c r="AA240" s="174">
        <v>1468.5</v>
      </c>
      <c r="AB240" s="256">
        <f t="shared" si="7"/>
        <v>-0.009376686454</v>
      </c>
      <c r="AC240" s="154"/>
      <c r="AD240" s="255">
        <v>45799.0</v>
      </c>
      <c r="AE240" s="174">
        <v>9.94</v>
      </c>
      <c r="AF240" s="256">
        <f t="shared" si="8"/>
        <v>-0.02165354331</v>
      </c>
      <c r="AG240" s="257"/>
      <c r="AH240" s="255">
        <v>45799.0</v>
      </c>
      <c r="AI240" s="174">
        <v>333.1</v>
      </c>
      <c r="AJ240" s="256">
        <f t="shared" si="9"/>
        <v>-0.02216351093</v>
      </c>
      <c r="AK240" s="257"/>
      <c r="AL240" s="255">
        <v>45799.0</v>
      </c>
      <c r="AM240" s="174">
        <v>5842.01</v>
      </c>
      <c r="AN240" s="256">
        <f t="shared" si="10"/>
        <v>-0.0004448543188</v>
      </c>
      <c r="AO240" s="154"/>
      <c r="AP240" s="154"/>
    </row>
    <row r="241">
      <c r="A241" s="154"/>
      <c r="B241" s="255">
        <v>45798.0</v>
      </c>
      <c r="C241" s="174">
        <v>8.43</v>
      </c>
      <c r="D241" s="256">
        <f t="shared" si="1"/>
        <v>-0.03767123288</v>
      </c>
      <c r="E241" s="154"/>
      <c r="F241" s="255">
        <v>45798.0</v>
      </c>
      <c r="G241" s="174">
        <v>8.48</v>
      </c>
      <c r="H241" s="256">
        <f t="shared" si="2"/>
        <v>-0.04504504505</v>
      </c>
      <c r="I241" s="154"/>
      <c r="J241" s="255">
        <v>45798.0</v>
      </c>
      <c r="K241" s="174">
        <v>16.55</v>
      </c>
      <c r="L241" s="256">
        <f t="shared" si="3"/>
        <v>-0.0137067938</v>
      </c>
      <c r="M241" s="154"/>
      <c r="N241" s="255">
        <v>45798.0</v>
      </c>
      <c r="O241" s="174">
        <v>2078.0</v>
      </c>
      <c r="P241" s="256">
        <f t="shared" si="4"/>
        <v>0.001928640309</v>
      </c>
      <c r="Q241" s="154"/>
      <c r="R241" s="255">
        <v>45798.0</v>
      </c>
      <c r="S241" s="174">
        <v>26.91</v>
      </c>
      <c r="T241" s="256">
        <f t="shared" si="5"/>
        <v>-0.01859956236</v>
      </c>
      <c r="U241" s="154"/>
      <c r="V241" s="255">
        <v>45798.0</v>
      </c>
      <c r="W241" s="174">
        <v>1224.7</v>
      </c>
      <c r="X241" s="256">
        <f t="shared" si="6"/>
        <v>0.0004084299951</v>
      </c>
      <c r="Y241" s="154"/>
      <c r="Z241" s="255">
        <v>45798.0</v>
      </c>
      <c r="AA241" s="174">
        <v>1482.4</v>
      </c>
      <c r="AB241" s="256">
        <f t="shared" si="7"/>
        <v>0.01925192519</v>
      </c>
      <c r="AC241" s="154"/>
      <c r="AD241" s="255">
        <v>45798.0</v>
      </c>
      <c r="AE241" s="174">
        <v>10.16</v>
      </c>
      <c r="AF241" s="256">
        <f t="shared" si="8"/>
        <v>0.03885480573</v>
      </c>
      <c r="AG241" s="257"/>
      <c r="AH241" s="255">
        <v>45798.0</v>
      </c>
      <c r="AI241" s="174">
        <v>340.65</v>
      </c>
      <c r="AJ241" s="256">
        <f t="shared" si="9"/>
        <v>0.0245112782</v>
      </c>
      <c r="AK241" s="257"/>
      <c r="AL241" s="255">
        <v>45798.0</v>
      </c>
      <c r="AM241" s="174">
        <v>5844.61</v>
      </c>
      <c r="AN241" s="256">
        <f t="shared" si="10"/>
        <v>-0.01613511412</v>
      </c>
      <c r="AO241" s="154"/>
      <c r="AP241" s="154"/>
    </row>
    <row r="242">
      <c r="A242" s="154"/>
      <c r="B242" s="255">
        <v>45797.0</v>
      </c>
      <c r="C242" s="174">
        <v>8.76</v>
      </c>
      <c r="D242" s="256">
        <f t="shared" si="1"/>
        <v>-0.02666666667</v>
      </c>
      <c r="E242" s="154"/>
      <c r="F242" s="255">
        <v>45797.0</v>
      </c>
      <c r="G242" s="174">
        <v>8.88</v>
      </c>
      <c r="H242" s="256">
        <f t="shared" si="2"/>
        <v>0.01369863014</v>
      </c>
      <c r="I242" s="154"/>
      <c r="J242" s="255">
        <v>45797.0</v>
      </c>
      <c r="K242" s="174">
        <v>16.78</v>
      </c>
      <c r="L242" s="256">
        <f t="shared" si="3"/>
        <v>-0.01410105758</v>
      </c>
      <c r="M242" s="154"/>
      <c r="N242" s="255">
        <v>45797.0</v>
      </c>
      <c r="O242" s="174">
        <v>2074.0</v>
      </c>
      <c r="P242" s="256">
        <f t="shared" si="4"/>
        <v>0.002901353965</v>
      </c>
      <c r="Q242" s="154"/>
      <c r="R242" s="255">
        <v>45797.0</v>
      </c>
      <c r="S242" s="174">
        <v>27.42</v>
      </c>
      <c r="T242" s="256">
        <f t="shared" si="5"/>
        <v>0.008088235294</v>
      </c>
      <c r="U242" s="154"/>
      <c r="V242" s="255">
        <v>45797.0</v>
      </c>
      <c r="W242" s="174">
        <v>1224.2</v>
      </c>
      <c r="X242" s="256">
        <f t="shared" si="6"/>
        <v>0.004265791632</v>
      </c>
      <c r="Y242" s="154"/>
      <c r="Z242" s="255">
        <v>45797.0</v>
      </c>
      <c r="AA242" s="174">
        <v>1454.4</v>
      </c>
      <c r="AB242" s="256">
        <f t="shared" si="7"/>
        <v>-0.02493966211</v>
      </c>
      <c r="AC242" s="154"/>
      <c r="AD242" s="255">
        <v>45797.0</v>
      </c>
      <c r="AE242" s="174">
        <v>9.78</v>
      </c>
      <c r="AF242" s="256">
        <f t="shared" si="8"/>
        <v>-0.02879841112</v>
      </c>
      <c r="AG242" s="257"/>
      <c r="AH242" s="255">
        <v>45797.0</v>
      </c>
      <c r="AI242" s="174">
        <v>332.5</v>
      </c>
      <c r="AJ242" s="256">
        <f t="shared" si="9"/>
        <v>-0.02663934426</v>
      </c>
      <c r="AK242" s="257"/>
      <c r="AL242" s="255">
        <v>45797.0</v>
      </c>
      <c r="AM242" s="174">
        <v>5940.46</v>
      </c>
      <c r="AN242" s="256">
        <f t="shared" si="10"/>
        <v>-0.003880206587</v>
      </c>
      <c r="AO242" s="154"/>
      <c r="AP242" s="154"/>
    </row>
    <row r="243">
      <c r="A243" s="154"/>
      <c r="B243" s="255">
        <v>45796.0</v>
      </c>
      <c r="C243" s="174">
        <v>9.0</v>
      </c>
      <c r="D243" s="256">
        <f t="shared" si="1"/>
        <v>-0.004424778761</v>
      </c>
      <c r="E243" s="154"/>
      <c r="F243" s="255">
        <v>45796.0</v>
      </c>
      <c r="G243" s="174">
        <v>8.76</v>
      </c>
      <c r="H243" s="256">
        <f t="shared" si="2"/>
        <v>-0.009049773756</v>
      </c>
      <c r="I243" s="154"/>
      <c r="J243" s="255">
        <v>45796.0</v>
      </c>
      <c r="K243" s="174">
        <v>17.02</v>
      </c>
      <c r="L243" s="256">
        <f t="shared" si="3"/>
        <v>0.004722550177</v>
      </c>
      <c r="M243" s="154"/>
      <c r="N243" s="255">
        <v>45796.0</v>
      </c>
      <c r="O243" s="174">
        <v>2068.0</v>
      </c>
      <c r="P243" s="256">
        <f t="shared" si="4"/>
        <v>-0.0009661835749</v>
      </c>
      <c r="Q243" s="154"/>
      <c r="R243" s="255">
        <v>45796.0</v>
      </c>
      <c r="S243" s="174">
        <v>27.2</v>
      </c>
      <c r="T243" s="256">
        <f t="shared" si="5"/>
        <v>0.005545286506</v>
      </c>
      <c r="U243" s="154"/>
      <c r="V243" s="255">
        <v>45796.0</v>
      </c>
      <c r="W243" s="174">
        <v>1219.0</v>
      </c>
      <c r="X243" s="256">
        <f t="shared" si="6"/>
        <v>-0.009506784757</v>
      </c>
      <c r="Y243" s="154"/>
      <c r="Z243" s="255">
        <v>45796.0</v>
      </c>
      <c r="AA243" s="174">
        <v>1491.6</v>
      </c>
      <c r="AB243" s="256">
        <f t="shared" si="7"/>
        <v>-0.005533702247</v>
      </c>
      <c r="AC243" s="154"/>
      <c r="AD243" s="255">
        <v>45796.0</v>
      </c>
      <c r="AE243" s="174">
        <v>10.07</v>
      </c>
      <c r="AF243" s="256">
        <f t="shared" si="8"/>
        <v>-0.03728489484</v>
      </c>
      <c r="AG243" s="257"/>
      <c r="AH243" s="255">
        <v>45796.0</v>
      </c>
      <c r="AI243" s="174">
        <v>341.6</v>
      </c>
      <c r="AJ243" s="256">
        <f t="shared" si="9"/>
        <v>0.006482027107</v>
      </c>
      <c r="AK243" s="257"/>
      <c r="AL243" s="255">
        <v>45796.0</v>
      </c>
      <c r="AM243" s="174">
        <v>5963.6</v>
      </c>
      <c r="AN243" s="256">
        <f t="shared" si="10"/>
        <v>0.0008760770545</v>
      </c>
      <c r="AO243" s="154"/>
      <c r="AP243" s="154"/>
    </row>
    <row r="244">
      <c r="A244" s="154"/>
      <c r="B244" s="255">
        <v>45793.0</v>
      </c>
      <c r="C244" s="174">
        <v>9.04</v>
      </c>
      <c r="D244" s="256">
        <f t="shared" si="1"/>
        <v>0.03078677309</v>
      </c>
      <c r="E244" s="154"/>
      <c r="F244" s="255">
        <v>45793.0</v>
      </c>
      <c r="G244" s="174">
        <v>8.84</v>
      </c>
      <c r="H244" s="256">
        <f t="shared" si="2"/>
        <v>0.005688282139</v>
      </c>
      <c r="I244" s="154"/>
      <c r="J244" s="255">
        <v>45793.0</v>
      </c>
      <c r="K244" s="174">
        <v>16.94</v>
      </c>
      <c r="L244" s="256">
        <f t="shared" si="3"/>
        <v>0.004149377593</v>
      </c>
      <c r="M244" s="154"/>
      <c r="N244" s="255">
        <v>45793.0</v>
      </c>
      <c r="O244" s="174">
        <v>2070.0</v>
      </c>
      <c r="P244" s="256">
        <f t="shared" si="4"/>
        <v>-0.006717850288</v>
      </c>
      <c r="Q244" s="154"/>
      <c r="R244" s="255">
        <v>45793.0</v>
      </c>
      <c r="S244" s="174">
        <v>27.05</v>
      </c>
      <c r="T244" s="256">
        <f t="shared" si="5"/>
        <v>0.02890833016</v>
      </c>
      <c r="U244" s="154"/>
      <c r="V244" s="255">
        <v>45793.0</v>
      </c>
      <c r="W244" s="174">
        <v>1230.7</v>
      </c>
      <c r="X244" s="256">
        <f t="shared" si="6"/>
        <v>-0.004529644908</v>
      </c>
      <c r="Y244" s="154"/>
      <c r="Z244" s="255">
        <v>45793.0</v>
      </c>
      <c r="AA244" s="174">
        <v>1499.9</v>
      </c>
      <c r="AB244" s="256">
        <f t="shared" si="7"/>
        <v>-0.001531087738</v>
      </c>
      <c r="AC244" s="154"/>
      <c r="AD244" s="255">
        <v>45793.0</v>
      </c>
      <c r="AE244" s="174">
        <v>10.46</v>
      </c>
      <c r="AF244" s="256">
        <f t="shared" si="8"/>
        <v>0</v>
      </c>
      <c r="AG244" s="257"/>
      <c r="AH244" s="255">
        <v>45793.0</v>
      </c>
      <c r="AI244" s="174">
        <v>339.4</v>
      </c>
      <c r="AJ244" s="256">
        <f t="shared" si="9"/>
        <v>0.002362669817</v>
      </c>
      <c r="AK244" s="257"/>
      <c r="AL244" s="255">
        <v>45793.0</v>
      </c>
      <c r="AM244" s="174">
        <v>5958.38</v>
      </c>
      <c r="AN244" s="256">
        <f t="shared" si="10"/>
        <v>0.007005322017</v>
      </c>
      <c r="AO244" s="154"/>
      <c r="AP244" s="154"/>
    </row>
    <row r="245">
      <c r="A245" s="154"/>
      <c r="B245" s="255">
        <v>45792.0</v>
      </c>
      <c r="C245" s="174">
        <v>8.77</v>
      </c>
      <c r="D245" s="256">
        <f t="shared" si="1"/>
        <v>0.0907960199</v>
      </c>
      <c r="E245" s="154"/>
      <c r="F245" s="255">
        <v>45792.0</v>
      </c>
      <c r="G245" s="174">
        <v>8.79</v>
      </c>
      <c r="H245" s="256">
        <f t="shared" si="2"/>
        <v>0.04394299287</v>
      </c>
      <c r="I245" s="154"/>
      <c r="J245" s="255">
        <v>45792.0</v>
      </c>
      <c r="K245" s="174">
        <v>16.87</v>
      </c>
      <c r="L245" s="256">
        <f t="shared" si="3"/>
        <v>-0.001184132623</v>
      </c>
      <c r="M245" s="154"/>
      <c r="N245" s="255">
        <v>45792.0</v>
      </c>
      <c r="O245" s="174">
        <v>2084.0</v>
      </c>
      <c r="P245" s="256">
        <f t="shared" si="4"/>
        <v>0.07367336425</v>
      </c>
      <c r="Q245" s="154"/>
      <c r="R245" s="255">
        <v>45792.0</v>
      </c>
      <c r="S245" s="174">
        <v>26.29</v>
      </c>
      <c r="T245" s="256">
        <f t="shared" si="5"/>
        <v>0.01076509035</v>
      </c>
      <c r="U245" s="154"/>
      <c r="V245" s="255">
        <v>45792.0</v>
      </c>
      <c r="W245" s="174">
        <v>1236.3</v>
      </c>
      <c r="X245" s="256">
        <f t="shared" si="6"/>
        <v>0.01336065574</v>
      </c>
      <c r="Y245" s="154"/>
      <c r="Z245" s="255">
        <v>45792.0</v>
      </c>
      <c r="AA245" s="174">
        <v>1502.2</v>
      </c>
      <c r="AB245" s="256">
        <f t="shared" si="7"/>
        <v>0.00495049505</v>
      </c>
      <c r="AC245" s="154"/>
      <c r="AD245" s="255">
        <v>45792.0</v>
      </c>
      <c r="AE245" s="174">
        <v>10.46</v>
      </c>
      <c r="AF245" s="256">
        <f t="shared" si="8"/>
        <v>-0.00380952381</v>
      </c>
      <c r="AG245" s="257"/>
      <c r="AH245" s="255">
        <v>45792.0</v>
      </c>
      <c r="AI245" s="174">
        <v>338.6</v>
      </c>
      <c r="AJ245" s="256">
        <f t="shared" si="9"/>
        <v>0.001182732111</v>
      </c>
      <c r="AK245" s="257"/>
      <c r="AL245" s="255">
        <v>45792.0</v>
      </c>
      <c r="AM245" s="174">
        <v>5916.93</v>
      </c>
      <c r="AN245" s="256">
        <f t="shared" si="10"/>
        <v>0.004132315556</v>
      </c>
      <c r="AO245" s="154"/>
      <c r="AP245" s="154"/>
    </row>
    <row r="246">
      <c r="A246" s="154"/>
      <c r="B246" s="255">
        <v>45791.0</v>
      </c>
      <c r="C246" s="174">
        <v>8.04</v>
      </c>
      <c r="D246" s="256">
        <f t="shared" si="1"/>
        <v>-0.04739336493</v>
      </c>
      <c r="E246" s="154"/>
      <c r="F246" s="255">
        <v>45791.0</v>
      </c>
      <c r="G246" s="174">
        <v>8.42</v>
      </c>
      <c r="H246" s="256">
        <f t="shared" si="2"/>
        <v>-0.04209328783</v>
      </c>
      <c r="I246" s="154"/>
      <c r="J246" s="255">
        <v>45791.0</v>
      </c>
      <c r="K246" s="174">
        <v>16.89</v>
      </c>
      <c r="L246" s="256">
        <f t="shared" si="3"/>
        <v>-0.03375286041</v>
      </c>
      <c r="M246" s="154"/>
      <c r="N246" s="255">
        <v>45791.0</v>
      </c>
      <c r="O246" s="174">
        <v>1941.0</v>
      </c>
      <c r="P246" s="256">
        <f t="shared" si="4"/>
        <v>-0.003081664099</v>
      </c>
      <c r="Q246" s="154"/>
      <c r="R246" s="255">
        <v>45791.0</v>
      </c>
      <c r="S246" s="174">
        <v>26.01</v>
      </c>
      <c r="T246" s="256">
        <f t="shared" si="5"/>
        <v>-0.008009153318</v>
      </c>
      <c r="U246" s="154"/>
      <c r="V246" s="255">
        <v>45791.0</v>
      </c>
      <c r="W246" s="174">
        <v>1220.0</v>
      </c>
      <c r="X246" s="256">
        <f t="shared" si="6"/>
        <v>0.01068676994</v>
      </c>
      <c r="Y246" s="154"/>
      <c r="Z246" s="255">
        <v>45791.0</v>
      </c>
      <c r="AA246" s="174">
        <v>1494.8</v>
      </c>
      <c r="AB246" s="256">
        <f t="shared" si="7"/>
        <v>-0.01664364187</v>
      </c>
      <c r="AC246" s="154"/>
      <c r="AD246" s="255">
        <v>45791.0</v>
      </c>
      <c r="AE246" s="174">
        <v>10.5</v>
      </c>
      <c r="AF246" s="256">
        <f t="shared" si="8"/>
        <v>-0.005681818182</v>
      </c>
      <c r="AG246" s="257"/>
      <c r="AH246" s="255">
        <v>45791.0</v>
      </c>
      <c r="AI246" s="174">
        <v>338.2</v>
      </c>
      <c r="AJ246" s="256">
        <f t="shared" si="9"/>
        <v>0.02531453691</v>
      </c>
      <c r="AK246" s="257"/>
      <c r="AL246" s="255">
        <v>45791.0</v>
      </c>
      <c r="AM246" s="174">
        <v>5892.58</v>
      </c>
      <c r="AN246" s="256">
        <f t="shared" si="10"/>
        <v>0.001024369113</v>
      </c>
      <c r="AO246" s="154"/>
      <c r="AP246" s="154"/>
    </row>
    <row r="247">
      <c r="A247" s="154"/>
      <c r="B247" s="255">
        <v>45790.0</v>
      </c>
      <c r="C247" s="174">
        <v>8.44</v>
      </c>
      <c r="D247" s="256">
        <f t="shared" si="1"/>
        <v>-0.03099885189</v>
      </c>
      <c r="E247" s="154"/>
      <c r="F247" s="255">
        <v>45790.0</v>
      </c>
      <c r="G247" s="174">
        <v>8.79</v>
      </c>
      <c r="H247" s="256">
        <f t="shared" si="2"/>
        <v>-0.01897321429</v>
      </c>
      <c r="I247" s="154"/>
      <c r="J247" s="255">
        <v>45790.0</v>
      </c>
      <c r="K247" s="174">
        <v>17.48</v>
      </c>
      <c r="L247" s="256">
        <f t="shared" si="3"/>
        <v>-0.02672605791</v>
      </c>
      <c r="M247" s="154"/>
      <c r="N247" s="255">
        <v>45790.0</v>
      </c>
      <c r="O247" s="174">
        <v>1947.0</v>
      </c>
      <c r="P247" s="256">
        <f t="shared" si="4"/>
        <v>-0.004092071611</v>
      </c>
      <c r="Q247" s="154"/>
      <c r="R247" s="255">
        <v>45790.0</v>
      </c>
      <c r="S247" s="174">
        <v>26.22</v>
      </c>
      <c r="T247" s="256">
        <f t="shared" si="5"/>
        <v>-0.02852908485</v>
      </c>
      <c r="U247" s="154"/>
      <c r="V247" s="255">
        <v>45790.0</v>
      </c>
      <c r="W247" s="174">
        <v>1207.1</v>
      </c>
      <c r="X247" s="256">
        <f t="shared" si="6"/>
        <v>0.009618601539</v>
      </c>
      <c r="Y247" s="154"/>
      <c r="Z247" s="255">
        <v>45790.0</v>
      </c>
      <c r="AA247" s="174">
        <v>1520.1</v>
      </c>
      <c r="AB247" s="256">
        <f t="shared" si="7"/>
        <v>0.005623180736</v>
      </c>
      <c r="AC247" s="154"/>
      <c r="AD247" s="255">
        <v>45790.0</v>
      </c>
      <c r="AE247" s="174">
        <v>10.56</v>
      </c>
      <c r="AF247" s="256">
        <f t="shared" si="8"/>
        <v>0.03024390244</v>
      </c>
      <c r="AG247" s="257"/>
      <c r="AH247" s="255">
        <v>45790.0</v>
      </c>
      <c r="AI247" s="174">
        <v>329.85</v>
      </c>
      <c r="AJ247" s="256">
        <f t="shared" si="9"/>
        <v>0.005180557672</v>
      </c>
      <c r="AK247" s="257"/>
      <c r="AL247" s="255">
        <v>45790.0</v>
      </c>
      <c r="AM247" s="174">
        <v>5886.55</v>
      </c>
      <c r="AN247" s="256">
        <f t="shared" si="10"/>
        <v>0.007248224305</v>
      </c>
      <c r="AO247" s="154"/>
      <c r="AP247" s="154"/>
    </row>
    <row r="248">
      <c r="A248" s="154"/>
      <c r="B248" s="255">
        <v>45789.0</v>
      </c>
      <c r="C248" s="174">
        <v>8.71</v>
      </c>
      <c r="D248" s="256">
        <f t="shared" si="1"/>
        <v>0</v>
      </c>
      <c r="E248" s="154"/>
      <c r="F248" s="255">
        <v>45789.0</v>
      </c>
      <c r="G248" s="174">
        <v>8.96</v>
      </c>
      <c r="H248" s="256">
        <f t="shared" si="2"/>
        <v>0.02166476625</v>
      </c>
      <c r="I248" s="154"/>
      <c r="J248" s="255">
        <v>45789.0</v>
      </c>
      <c r="K248" s="174">
        <v>17.96</v>
      </c>
      <c r="L248" s="256">
        <f t="shared" si="3"/>
        <v>0.06083874778</v>
      </c>
      <c r="M248" s="154"/>
      <c r="N248" s="255">
        <v>45789.0</v>
      </c>
      <c r="O248" s="174">
        <v>1955.0</v>
      </c>
      <c r="P248" s="256">
        <f t="shared" si="4"/>
        <v>-0.0244510978</v>
      </c>
      <c r="Q248" s="154"/>
      <c r="R248" s="255">
        <v>45789.0</v>
      </c>
      <c r="S248" s="174">
        <v>26.99</v>
      </c>
      <c r="T248" s="256">
        <f t="shared" si="5"/>
        <v>-0.0007404664939</v>
      </c>
      <c r="U248" s="154"/>
      <c r="V248" s="255">
        <v>45789.0</v>
      </c>
      <c r="W248" s="174">
        <v>1195.6</v>
      </c>
      <c r="X248" s="256">
        <f t="shared" si="6"/>
        <v>0.03434553162</v>
      </c>
      <c r="Y248" s="154"/>
      <c r="Z248" s="255">
        <v>45789.0</v>
      </c>
      <c r="AA248" s="174">
        <v>1511.6</v>
      </c>
      <c r="AB248" s="256">
        <f t="shared" si="7"/>
        <v>0.02135135135</v>
      </c>
      <c r="AC248" s="154"/>
      <c r="AD248" s="255">
        <v>45789.0</v>
      </c>
      <c r="AE248" s="174">
        <v>10.25</v>
      </c>
      <c r="AF248" s="256">
        <f t="shared" si="8"/>
        <v>0.05888429752</v>
      </c>
      <c r="AG248" s="257"/>
      <c r="AH248" s="255">
        <v>45789.0</v>
      </c>
      <c r="AI248" s="174">
        <v>328.15</v>
      </c>
      <c r="AJ248" s="256">
        <f t="shared" si="9"/>
        <v>-0.005304637769</v>
      </c>
      <c r="AK248" s="257"/>
      <c r="AL248" s="255">
        <v>45789.0</v>
      </c>
      <c r="AM248" s="174">
        <v>5844.19</v>
      </c>
      <c r="AN248" s="256">
        <f t="shared" si="10"/>
        <v>0.03255882161</v>
      </c>
      <c r="AO248" s="154"/>
      <c r="AP248" s="154"/>
    </row>
    <row r="249">
      <c r="A249" s="154"/>
      <c r="B249" s="255">
        <v>45786.0</v>
      </c>
      <c r="C249" s="174">
        <v>8.71</v>
      </c>
      <c r="D249" s="256">
        <f t="shared" si="1"/>
        <v>-0.03436807095</v>
      </c>
      <c r="E249" s="154"/>
      <c r="F249" s="255">
        <v>45786.0</v>
      </c>
      <c r="G249" s="174">
        <v>8.77</v>
      </c>
      <c r="H249" s="256">
        <f t="shared" si="2"/>
        <v>-0.03520352035</v>
      </c>
      <c r="I249" s="154"/>
      <c r="J249" s="255">
        <v>45786.0</v>
      </c>
      <c r="K249" s="174">
        <v>16.93</v>
      </c>
      <c r="L249" s="256">
        <f t="shared" si="3"/>
        <v>-0.06308799115</v>
      </c>
      <c r="M249" s="154"/>
      <c r="N249" s="255">
        <v>45786.0</v>
      </c>
      <c r="O249" s="174">
        <v>2004.0</v>
      </c>
      <c r="P249" s="256">
        <f t="shared" si="4"/>
        <v>-0.009881422925</v>
      </c>
      <c r="Q249" s="154"/>
      <c r="R249" s="255">
        <v>45786.0</v>
      </c>
      <c r="S249" s="174">
        <v>27.01</v>
      </c>
      <c r="T249" s="256">
        <f t="shared" si="5"/>
        <v>0.007835820896</v>
      </c>
      <c r="U249" s="154"/>
      <c r="V249" s="255">
        <v>45786.0</v>
      </c>
      <c r="W249" s="174">
        <v>1155.9</v>
      </c>
      <c r="X249" s="256">
        <f t="shared" si="6"/>
        <v>0.006881533101</v>
      </c>
      <c r="Y249" s="154"/>
      <c r="Z249" s="255">
        <v>45786.0</v>
      </c>
      <c r="AA249" s="174">
        <v>1480.0</v>
      </c>
      <c r="AB249" s="256">
        <f t="shared" si="7"/>
        <v>-0.004573580845</v>
      </c>
      <c r="AC249" s="154"/>
      <c r="AD249" s="255">
        <v>45786.0</v>
      </c>
      <c r="AE249" s="174">
        <v>9.68</v>
      </c>
      <c r="AF249" s="256">
        <f t="shared" si="8"/>
        <v>0.03198294243</v>
      </c>
      <c r="AG249" s="257"/>
      <c r="AH249" s="255">
        <v>45786.0</v>
      </c>
      <c r="AI249" s="174">
        <v>329.9</v>
      </c>
      <c r="AJ249" s="256">
        <f t="shared" si="9"/>
        <v>-0.01404662283</v>
      </c>
      <c r="AK249" s="257"/>
      <c r="AL249" s="255">
        <v>45786.0</v>
      </c>
      <c r="AM249" s="174">
        <v>5659.91</v>
      </c>
      <c r="AN249" s="256">
        <f t="shared" si="10"/>
        <v>-0.0007115188367</v>
      </c>
      <c r="AO249" s="154"/>
      <c r="AP249" s="154"/>
    </row>
    <row r="250">
      <c r="A250" s="154"/>
      <c r="B250" s="255">
        <v>45785.0</v>
      </c>
      <c r="C250" s="174">
        <v>9.02</v>
      </c>
      <c r="D250" s="256">
        <f t="shared" si="1"/>
        <v>0.0296803653</v>
      </c>
      <c r="E250" s="154"/>
      <c r="F250" s="255">
        <v>45785.0</v>
      </c>
      <c r="G250" s="174">
        <v>9.09</v>
      </c>
      <c r="H250" s="256">
        <f t="shared" si="2"/>
        <v>0.05697674419</v>
      </c>
      <c r="I250" s="154"/>
      <c r="J250" s="255">
        <v>45785.0</v>
      </c>
      <c r="K250" s="174">
        <v>18.07</v>
      </c>
      <c r="L250" s="256">
        <f t="shared" si="3"/>
        <v>0.02670454545</v>
      </c>
      <c r="M250" s="154"/>
      <c r="N250" s="255">
        <v>45785.0</v>
      </c>
      <c r="O250" s="174">
        <v>2024.0</v>
      </c>
      <c r="P250" s="256">
        <f t="shared" si="4"/>
        <v>0.00998003992</v>
      </c>
      <c r="Q250" s="154"/>
      <c r="R250" s="255">
        <v>45785.0</v>
      </c>
      <c r="S250" s="174">
        <v>26.8</v>
      </c>
      <c r="T250" s="256">
        <f t="shared" si="5"/>
        <v>0.01476713366</v>
      </c>
      <c r="U250" s="154"/>
      <c r="V250" s="255">
        <v>45785.0</v>
      </c>
      <c r="W250" s="174">
        <v>1148.0</v>
      </c>
      <c r="X250" s="256">
        <f t="shared" si="6"/>
        <v>-0.01094167313</v>
      </c>
      <c r="Y250" s="154"/>
      <c r="Z250" s="255">
        <v>45785.0</v>
      </c>
      <c r="AA250" s="174">
        <v>1486.8</v>
      </c>
      <c r="AB250" s="256">
        <f t="shared" si="7"/>
        <v>-0.01458112407</v>
      </c>
      <c r="AC250" s="154"/>
      <c r="AD250" s="255">
        <v>45785.0</v>
      </c>
      <c r="AE250" s="174">
        <v>9.38</v>
      </c>
      <c r="AF250" s="256">
        <f t="shared" si="8"/>
        <v>0.1813602015</v>
      </c>
      <c r="AG250" s="257"/>
      <c r="AH250" s="255">
        <v>45785.0</v>
      </c>
      <c r="AI250" s="174">
        <v>334.6</v>
      </c>
      <c r="AJ250" s="256">
        <f t="shared" si="9"/>
        <v>-0.03434343434</v>
      </c>
      <c r="AK250" s="257"/>
      <c r="AL250" s="255">
        <v>45785.0</v>
      </c>
      <c r="AM250" s="174">
        <v>5663.94</v>
      </c>
      <c r="AN250" s="256">
        <f t="shared" si="10"/>
        <v>0.005799747127</v>
      </c>
      <c r="AO250" s="154"/>
      <c r="AP250" s="154"/>
    </row>
    <row r="251">
      <c r="A251" s="154"/>
      <c r="B251" s="255">
        <v>45784.0</v>
      </c>
      <c r="C251" s="174">
        <v>8.76</v>
      </c>
      <c r="D251" s="256">
        <f t="shared" si="1"/>
        <v>-0.04052573932</v>
      </c>
      <c r="E251" s="154"/>
      <c r="F251" s="255">
        <v>45784.0</v>
      </c>
      <c r="G251" s="174">
        <v>8.6</v>
      </c>
      <c r="H251" s="256">
        <f t="shared" si="2"/>
        <v>0.0141509434</v>
      </c>
      <c r="I251" s="154"/>
      <c r="J251" s="255">
        <v>45784.0</v>
      </c>
      <c r="K251" s="174">
        <v>17.6</v>
      </c>
      <c r="L251" s="256">
        <f t="shared" si="3"/>
        <v>0.09181141439</v>
      </c>
      <c r="M251" s="154"/>
      <c r="N251" s="255">
        <v>45784.0</v>
      </c>
      <c r="O251" s="174">
        <v>2004.0</v>
      </c>
      <c r="P251" s="256">
        <f t="shared" si="4"/>
        <v>-0.002985074627</v>
      </c>
      <c r="Q251" s="154"/>
      <c r="R251" s="255">
        <v>45784.0</v>
      </c>
      <c r="S251" s="174">
        <v>26.41</v>
      </c>
      <c r="T251" s="256">
        <f t="shared" si="5"/>
        <v>0.07009724473</v>
      </c>
      <c r="U251" s="154"/>
      <c r="V251" s="255">
        <v>45784.0</v>
      </c>
      <c r="W251" s="174">
        <v>1160.7</v>
      </c>
      <c r="X251" s="256">
        <f t="shared" si="6"/>
        <v>0.0002585315408</v>
      </c>
      <c r="Y251" s="154"/>
      <c r="Z251" s="255">
        <v>45784.0</v>
      </c>
      <c r="AA251" s="174">
        <v>1508.8</v>
      </c>
      <c r="AB251" s="256">
        <f t="shared" si="7"/>
        <v>-0.001720259362</v>
      </c>
      <c r="AC251" s="154"/>
      <c r="AD251" s="255">
        <v>45784.0</v>
      </c>
      <c r="AE251" s="174">
        <v>7.94</v>
      </c>
      <c r="AF251" s="256">
        <f t="shared" si="8"/>
        <v>-0.003764115433</v>
      </c>
      <c r="AG251" s="257"/>
      <c r="AH251" s="255">
        <v>45784.0</v>
      </c>
      <c r="AI251" s="174">
        <v>346.5</v>
      </c>
      <c r="AJ251" s="256">
        <f t="shared" si="9"/>
        <v>0.01478986674</v>
      </c>
      <c r="AK251" s="257"/>
      <c r="AL251" s="255">
        <v>45784.0</v>
      </c>
      <c r="AM251" s="174">
        <v>5631.28</v>
      </c>
      <c r="AN251" s="256">
        <f t="shared" si="10"/>
        <v>0.004346422539</v>
      </c>
      <c r="AO251" s="154"/>
      <c r="AP251" s="154"/>
    </row>
    <row r="252">
      <c r="A252" s="154"/>
      <c r="B252" s="255">
        <v>45783.0</v>
      </c>
      <c r="C252" s="174">
        <v>9.13</v>
      </c>
      <c r="D252" s="256">
        <f t="shared" si="1"/>
        <v>0.04701834862</v>
      </c>
      <c r="E252" s="154"/>
      <c r="F252" s="255">
        <v>45783.0</v>
      </c>
      <c r="G252" s="174">
        <v>8.48</v>
      </c>
      <c r="H252" s="256">
        <f t="shared" si="2"/>
        <v>-0.01280558789</v>
      </c>
      <c r="I252" s="154"/>
      <c r="J252" s="255">
        <v>45783.0</v>
      </c>
      <c r="K252" s="174">
        <v>16.12</v>
      </c>
      <c r="L252" s="256">
        <f t="shared" si="3"/>
        <v>-0.01647345943</v>
      </c>
      <c r="M252" s="154"/>
      <c r="N252" s="255">
        <v>45783.0</v>
      </c>
      <c r="O252" s="174">
        <v>2010.0</v>
      </c>
      <c r="P252" s="256">
        <f t="shared" si="4"/>
        <v>0.0009960159363</v>
      </c>
      <c r="Q252" s="154"/>
      <c r="R252" s="255">
        <v>45783.0</v>
      </c>
      <c r="S252" s="174">
        <v>24.68</v>
      </c>
      <c r="T252" s="256">
        <f t="shared" si="5"/>
        <v>-0.02218700475</v>
      </c>
      <c r="U252" s="154"/>
      <c r="V252" s="255">
        <v>45783.0</v>
      </c>
      <c r="W252" s="174">
        <v>1160.4</v>
      </c>
      <c r="X252" s="256">
        <f t="shared" si="6"/>
        <v>-0.009305899428</v>
      </c>
      <c r="Y252" s="154"/>
      <c r="Z252" s="255">
        <v>45783.0</v>
      </c>
      <c r="AA252" s="174">
        <v>1511.4</v>
      </c>
      <c r="AB252" s="256">
        <f t="shared" si="7"/>
        <v>-0.02041609955</v>
      </c>
      <c r="AC252" s="154"/>
      <c r="AD252" s="255">
        <v>45783.0</v>
      </c>
      <c r="AE252" s="174">
        <v>7.97</v>
      </c>
      <c r="AF252" s="256">
        <f t="shared" si="8"/>
        <v>-0.04321728691</v>
      </c>
      <c r="AG252" s="257"/>
      <c r="AH252" s="255">
        <v>45783.0</v>
      </c>
      <c r="AI252" s="174">
        <v>341.45</v>
      </c>
      <c r="AJ252" s="256">
        <f t="shared" si="9"/>
        <v>0.01652277464</v>
      </c>
      <c r="AK252" s="257"/>
      <c r="AL252" s="255">
        <v>45783.0</v>
      </c>
      <c r="AM252" s="174">
        <v>5606.91</v>
      </c>
      <c r="AN252" s="256">
        <f t="shared" si="10"/>
        <v>-0.007693287885</v>
      </c>
      <c r="AO252" s="154"/>
      <c r="AP252" s="154"/>
    </row>
    <row r="253">
      <c r="A253" s="154"/>
      <c r="B253" s="255">
        <v>45782.0</v>
      </c>
      <c r="C253" s="174">
        <v>8.72</v>
      </c>
      <c r="D253" s="256">
        <f t="shared" si="1"/>
        <v>-0.09071949948</v>
      </c>
      <c r="E253" s="154"/>
      <c r="F253" s="255">
        <v>45782.0</v>
      </c>
      <c r="G253" s="174">
        <v>8.59</v>
      </c>
      <c r="H253" s="256">
        <f t="shared" si="2"/>
        <v>-0.006936416185</v>
      </c>
      <c r="I253" s="154"/>
      <c r="J253" s="255">
        <v>45782.0</v>
      </c>
      <c r="K253" s="174">
        <v>16.39</v>
      </c>
      <c r="L253" s="256">
        <f t="shared" si="3"/>
        <v>0.01235330451</v>
      </c>
      <c r="M253" s="154"/>
      <c r="N253" s="255">
        <v>45782.0</v>
      </c>
      <c r="O253" s="258">
        <v>2008.0</v>
      </c>
      <c r="P253" s="256">
        <f t="shared" si="4"/>
        <v>0.0009970089731</v>
      </c>
      <c r="Q253" s="154"/>
      <c r="R253" s="255">
        <v>45782.0</v>
      </c>
      <c r="S253" s="174">
        <v>25.24</v>
      </c>
      <c r="T253" s="256">
        <f t="shared" si="5"/>
        <v>-0.01521654311</v>
      </c>
      <c r="U253" s="154"/>
      <c r="V253" s="255">
        <v>45782.0</v>
      </c>
      <c r="W253" s="174">
        <v>1171.3</v>
      </c>
      <c r="X253" s="256">
        <f t="shared" si="6"/>
        <v>-0.00980640798</v>
      </c>
      <c r="Y253" s="154"/>
      <c r="Z253" s="255">
        <v>45782.0</v>
      </c>
      <c r="AA253" s="174">
        <v>1542.9</v>
      </c>
      <c r="AB253" s="256">
        <f t="shared" si="7"/>
        <v>0.01133980073</v>
      </c>
      <c r="AC253" s="154"/>
      <c r="AD253" s="255">
        <v>45782.0</v>
      </c>
      <c r="AE253" s="174">
        <v>8.33</v>
      </c>
      <c r="AF253" s="256">
        <f t="shared" si="8"/>
        <v>0.01338199513</v>
      </c>
      <c r="AG253" s="257"/>
      <c r="AH253" s="255">
        <v>45782.0</v>
      </c>
      <c r="AI253" s="174">
        <v>335.9</v>
      </c>
      <c r="AJ253" s="256">
        <f t="shared" si="9"/>
        <v>0.0533082471</v>
      </c>
      <c r="AK253" s="257"/>
      <c r="AL253" s="255">
        <v>45782.0</v>
      </c>
      <c r="AM253" s="174">
        <v>5650.38</v>
      </c>
      <c r="AN253" s="256">
        <f t="shared" si="10"/>
        <v>-0.006381590632</v>
      </c>
      <c r="AO253" s="154"/>
      <c r="AP253" s="154"/>
    </row>
    <row r="254">
      <c r="A254" s="154"/>
      <c r="B254" s="255">
        <v>45779.0</v>
      </c>
      <c r="C254" s="174">
        <v>9.59</v>
      </c>
      <c r="D254" s="256">
        <f t="shared" si="1"/>
        <v>0.01481481481</v>
      </c>
      <c r="E254" s="154"/>
      <c r="F254" s="255">
        <v>45779.0</v>
      </c>
      <c r="G254" s="174">
        <v>8.65</v>
      </c>
      <c r="H254" s="256">
        <f t="shared" si="2"/>
        <v>0.0212514758</v>
      </c>
      <c r="I254" s="154"/>
      <c r="J254" s="255">
        <v>45779.0</v>
      </c>
      <c r="K254" s="174">
        <v>16.19</v>
      </c>
      <c r="L254" s="256">
        <f t="shared" si="3"/>
        <v>0.03649167734</v>
      </c>
      <c r="M254" s="154"/>
      <c r="N254" s="255">
        <v>45779.0</v>
      </c>
      <c r="O254" s="174">
        <v>2006.0</v>
      </c>
      <c r="P254" s="256">
        <f t="shared" si="4"/>
        <v>0.003501750875</v>
      </c>
      <c r="Q254" s="154"/>
      <c r="R254" s="255">
        <v>45779.0</v>
      </c>
      <c r="S254" s="174">
        <v>25.63</v>
      </c>
      <c r="T254" s="256">
        <f t="shared" si="5"/>
        <v>0.01424614167</v>
      </c>
      <c r="U254" s="154"/>
      <c r="V254" s="255">
        <v>45779.0</v>
      </c>
      <c r="W254" s="174">
        <v>1182.9</v>
      </c>
      <c r="X254" s="256">
        <f t="shared" si="6"/>
        <v>-0.0003380376912</v>
      </c>
      <c r="Y254" s="154"/>
      <c r="Z254" s="255">
        <v>45779.0</v>
      </c>
      <c r="AA254" s="174">
        <v>1525.6</v>
      </c>
      <c r="AB254" s="256">
        <f t="shared" si="7"/>
        <v>-0.007417046194</v>
      </c>
      <c r="AC254" s="154"/>
      <c r="AD254" s="255">
        <v>45779.0</v>
      </c>
      <c r="AE254" s="174">
        <v>8.22</v>
      </c>
      <c r="AF254" s="256">
        <f t="shared" si="8"/>
        <v>0.03526448363</v>
      </c>
      <c r="AG254" s="257"/>
      <c r="AH254" s="255">
        <v>45779.0</v>
      </c>
      <c r="AI254" s="174">
        <v>318.9</v>
      </c>
      <c r="AJ254" s="256">
        <f t="shared" si="9"/>
        <v>-0.0003134796238</v>
      </c>
      <c r="AK254" s="257"/>
      <c r="AL254" s="255">
        <v>45779.0</v>
      </c>
      <c r="AM254" s="174">
        <v>5686.67</v>
      </c>
      <c r="AN254" s="256">
        <f t="shared" si="10"/>
        <v>0.01472661283</v>
      </c>
      <c r="AO254" s="154"/>
      <c r="AP254" s="154"/>
    </row>
    <row r="255">
      <c r="A255" s="154"/>
      <c r="B255" s="255">
        <v>45778.0</v>
      </c>
      <c r="C255" s="174">
        <v>9.45</v>
      </c>
      <c r="D255" s="256">
        <f t="shared" si="1"/>
        <v>-0.2691415313</v>
      </c>
      <c r="E255" s="154"/>
      <c r="F255" s="255">
        <v>45778.0</v>
      </c>
      <c r="G255" s="174">
        <v>8.47</v>
      </c>
      <c r="H255" s="256">
        <f t="shared" si="2"/>
        <v>0.00593824228</v>
      </c>
      <c r="I255" s="154"/>
      <c r="J255" s="255">
        <v>45778.0</v>
      </c>
      <c r="K255" s="174">
        <v>15.62</v>
      </c>
      <c r="L255" s="256">
        <f t="shared" si="3"/>
        <v>0.007092198582</v>
      </c>
      <c r="M255" s="154"/>
      <c r="N255" s="255">
        <v>45778.0</v>
      </c>
      <c r="O255" s="174">
        <v>1999.0</v>
      </c>
      <c r="P255" s="256">
        <f t="shared" si="4"/>
        <v>0.007052896725</v>
      </c>
      <c r="Q255" s="154"/>
      <c r="R255" s="255">
        <v>45778.0</v>
      </c>
      <c r="S255" s="174">
        <v>25.27</v>
      </c>
      <c r="T255" s="256">
        <f t="shared" si="5"/>
        <v>-0.01749611198</v>
      </c>
      <c r="U255" s="154"/>
      <c r="V255" s="255">
        <v>45778.0</v>
      </c>
      <c r="W255" s="258">
        <v>1183.3</v>
      </c>
      <c r="X255" s="256">
        <f t="shared" si="6"/>
        <v>-0.0005067995608</v>
      </c>
      <c r="Y255" s="154"/>
      <c r="Z255" s="255">
        <v>45778.0</v>
      </c>
      <c r="AA255" s="258">
        <v>1537.0</v>
      </c>
      <c r="AB255" s="256">
        <f t="shared" si="7"/>
        <v>-0.008451067673</v>
      </c>
      <c r="AC255" s="154"/>
      <c r="AD255" s="255">
        <v>45778.0</v>
      </c>
      <c r="AE255" s="174">
        <v>7.94</v>
      </c>
      <c r="AF255" s="256">
        <f t="shared" si="8"/>
        <v>0.01275510204</v>
      </c>
      <c r="AG255" s="257"/>
      <c r="AH255" s="255">
        <v>45778.0</v>
      </c>
      <c r="AI255" s="258">
        <v>319.0</v>
      </c>
      <c r="AJ255" s="256">
        <f t="shared" si="9"/>
        <v>-0.008701056557</v>
      </c>
      <c r="AK255" s="257"/>
      <c r="AL255" s="255">
        <v>45778.0</v>
      </c>
      <c r="AM255" s="174">
        <v>5604.14</v>
      </c>
      <c r="AN255" s="256">
        <f t="shared" si="10"/>
        <v>0.006299088176</v>
      </c>
      <c r="AO255" s="154"/>
      <c r="AP255" s="154"/>
    </row>
    <row r="256">
      <c r="A256" s="154"/>
      <c r="B256" s="255">
        <v>45777.0</v>
      </c>
      <c r="C256" s="174">
        <v>12.93</v>
      </c>
      <c r="D256" s="256">
        <f t="shared" si="1"/>
        <v>-0.01747720365</v>
      </c>
      <c r="E256" s="154"/>
      <c r="F256" s="255">
        <v>45777.0</v>
      </c>
      <c r="G256" s="174">
        <v>8.42</v>
      </c>
      <c r="H256" s="256">
        <f t="shared" si="2"/>
        <v>0.009592326139</v>
      </c>
      <c r="I256" s="154"/>
      <c r="J256" s="255">
        <v>45777.0</v>
      </c>
      <c r="K256" s="174">
        <v>15.51</v>
      </c>
      <c r="L256" s="256">
        <f t="shared" si="3"/>
        <v>-0.004492939666</v>
      </c>
      <c r="M256" s="154"/>
      <c r="N256" s="255">
        <v>45777.0</v>
      </c>
      <c r="O256" s="174">
        <v>1985.0</v>
      </c>
      <c r="P256" s="256">
        <f t="shared" si="4"/>
        <v>0.01223865375</v>
      </c>
      <c r="Q256" s="154"/>
      <c r="R256" s="255">
        <v>45777.0</v>
      </c>
      <c r="S256" s="174">
        <v>25.72</v>
      </c>
      <c r="T256" s="256">
        <f t="shared" si="5"/>
        <v>0.003903200625</v>
      </c>
      <c r="U256" s="154"/>
      <c r="V256" s="255">
        <v>45777.0</v>
      </c>
      <c r="W256" s="174">
        <v>1183.9</v>
      </c>
      <c r="X256" s="256">
        <f t="shared" si="6"/>
        <v>0.006717687075</v>
      </c>
      <c r="Y256" s="154"/>
      <c r="Z256" s="255">
        <v>45777.0</v>
      </c>
      <c r="AA256" s="174">
        <v>1550.1</v>
      </c>
      <c r="AB256" s="256">
        <f t="shared" si="7"/>
        <v>0.005578981512</v>
      </c>
      <c r="AC256" s="154"/>
      <c r="AD256" s="255">
        <v>45777.0</v>
      </c>
      <c r="AE256" s="174">
        <v>7.84</v>
      </c>
      <c r="AF256" s="256">
        <f t="shared" si="8"/>
        <v>-0.002544529262</v>
      </c>
      <c r="AG256" s="257"/>
      <c r="AH256" s="255">
        <v>45777.0</v>
      </c>
      <c r="AI256" s="174">
        <v>321.8</v>
      </c>
      <c r="AJ256" s="256">
        <f t="shared" si="9"/>
        <v>0.009251999373</v>
      </c>
      <c r="AK256" s="257"/>
      <c r="AL256" s="255">
        <v>45777.0</v>
      </c>
      <c r="AM256" s="174">
        <v>5569.06</v>
      </c>
      <c r="AN256" s="256">
        <f t="shared" si="10"/>
        <v>0.001479994893</v>
      </c>
      <c r="AO256" s="154"/>
      <c r="AP256" s="154"/>
    </row>
    <row r="257">
      <c r="A257" s="154"/>
      <c r="B257" s="255">
        <v>45776.0</v>
      </c>
      <c r="C257" s="174">
        <v>13.16</v>
      </c>
      <c r="D257" s="256">
        <f t="shared" si="1"/>
        <v>0.03459119497</v>
      </c>
      <c r="E257" s="154"/>
      <c r="F257" s="255">
        <v>45776.0</v>
      </c>
      <c r="G257" s="174">
        <v>8.34</v>
      </c>
      <c r="H257" s="256">
        <f t="shared" si="2"/>
        <v>0.01090909091</v>
      </c>
      <c r="I257" s="154"/>
      <c r="J257" s="255">
        <v>45776.0</v>
      </c>
      <c r="K257" s="174">
        <v>15.58</v>
      </c>
      <c r="L257" s="256">
        <f t="shared" si="3"/>
        <v>0.03728362184</v>
      </c>
      <c r="M257" s="154"/>
      <c r="N257" s="255">
        <v>45776.0</v>
      </c>
      <c r="O257" s="174">
        <v>1961.0</v>
      </c>
      <c r="P257" s="256">
        <f t="shared" si="4"/>
        <v>0.01239029427</v>
      </c>
      <c r="Q257" s="154"/>
      <c r="R257" s="255">
        <v>45776.0</v>
      </c>
      <c r="S257" s="174">
        <v>25.62</v>
      </c>
      <c r="T257" s="256">
        <f t="shared" si="5"/>
        <v>0.01707026598</v>
      </c>
      <c r="U257" s="154"/>
      <c r="V257" s="255">
        <v>45776.0</v>
      </c>
      <c r="W257" s="174">
        <v>1176.0</v>
      </c>
      <c r="X257" s="256">
        <f t="shared" si="6"/>
        <v>-0.01893718195</v>
      </c>
      <c r="Y257" s="154"/>
      <c r="Z257" s="255">
        <v>45776.0</v>
      </c>
      <c r="AA257" s="174">
        <v>1541.5</v>
      </c>
      <c r="AB257" s="256">
        <f t="shared" si="7"/>
        <v>-0.008745418301</v>
      </c>
      <c r="AC257" s="154"/>
      <c r="AD257" s="255">
        <v>45776.0</v>
      </c>
      <c r="AE257" s="174">
        <v>7.86</v>
      </c>
      <c r="AF257" s="256">
        <f t="shared" si="8"/>
        <v>-0.03082614057</v>
      </c>
      <c r="AG257" s="257"/>
      <c r="AH257" s="255">
        <v>45776.0</v>
      </c>
      <c r="AI257" s="174">
        <v>318.85</v>
      </c>
      <c r="AJ257" s="256">
        <f t="shared" si="9"/>
        <v>-0.006233442419</v>
      </c>
      <c r="AK257" s="257"/>
      <c r="AL257" s="255">
        <v>45776.0</v>
      </c>
      <c r="AM257" s="174">
        <v>5560.83</v>
      </c>
      <c r="AN257" s="256">
        <f t="shared" si="10"/>
        <v>0.005802396563</v>
      </c>
      <c r="AO257" s="154"/>
      <c r="AP257" s="154"/>
    </row>
    <row r="258">
      <c r="A258" s="154"/>
      <c r="B258" s="255">
        <v>45775.0</v>
      </c>
      <c r="C258" s="174">
        <v>12.72</v>
      </c>
      <c r="D258" s="256">
        <f t="shared" si="1"/>
        <v>0.04262295082</v>
      </c>
      <c r="E258" s="154"/>
      <c r="F258" s="255">
        <v>45775.0</v>
      </c>
      <c r="G258" s="174">
        <v>8.25</v>
      </c>
      <c r="H258" s="256">
        <f t="shared" si="2"/>
        <v>0.0147601476</v>
      </c>
      <c r="I258" s="154"/>
      <c r="J258" s="255">
        <v>45775.0</v>
      </c>
      <c r="K258" s="174">
        <v>15.02</v>
      </c>
      <c r="L258" s="256">
        <f t="shared" si="3"/>
        <v>0.01008742434</v>
      </c>
      <c r="M258" s="154"/>
      <c r="N258" s="255">
        <v>45775.0</v>
      </c>
      <c r="O258" s="174">
        <v>1937.0</v>
      </c>
      <c r="P258" s="256">
        <f t="shared" si="4"/>
        <v>0.02001053186</v>
      </c>
      <c r="Q258" s="154"/>
      <c r="R258" s="255">
        <v>45775.0</v>
      </c>
      <c r="S258" s="174">
        <v>25.19</v>
      </c>
      <c r="T258" s="256">
        <f t="shared" si="5"/>
        <v>-0.001189532117</v>
      </c>
      <c r="U258" s="154"/>
      <c r="V258" s="255">
        <v>45775.0</v>
      </c>
      <c r="W258" s="174">
        <v>1198.7</v>
      </c>
      <c r="X258" s="256">
        <f t="shared" si="6"/>
        <v>0.02034388832</v>
      </c>
      <c r="Y258" s="154"/>
      <c r="Z258" s="255">
        <v>45775.0</v>
      </c>
      <c r="AA258" s="174">
        <v>1555.1</v>
      </c>
      <c r="AB258" s="256">
        <f t="shared" si="7"/>
        <v>0.01913624746</v>
      </c>
      <c r="AC258" s="154"/>
      <c r="AD258" s="255">
        <v>45775.0</v>
      </c>
      <c r="AE258" s="174">
        <v>8.11</v>
      </c>
      <c r="AF258" s="256">
        <f t="shared" si="8"/>
        <v>0.02141057935</v>
      </c>
      <c r="AG258" s="257"/>
      <c r="AH258" s="255">
        <v>45775.0</v>
      </c>
      <c r="AI258" s="174">
        <v>320.85</v>
      </c>
      <c r="AJ258" s="256">
        <f t="shared" si="9"/>
        <v>0.02886002886</v>
      </c>
      <c r="AK258" s="257"/>
      <c r="AL258" s="255">
        <v>45775.0</v>
      </c>
      <c r="AM258" s="174">
        <v>5528.75</v>
      </c>
      <c r="AN258" s="256">
        <f t="shared" si="10"/>
        <v>0.0006406996295</v>
      </c>
      <c r="AO258" s="154"/>
      <c r="AP258" s="154"/>
    </row>
    <row r="259">
      <c r="A259" s="154"/>
      <c r="B259" s="255">
        <v>45772.0</v>
      </c>
      <c r="C259" s="174">
        <v>12.2</v>
      </c>
      <c r="D259" s="256">
        <f t="shared" si="1"/>
        <v>0.006600660066</v>
      </c>
      <c r="E259" s="154"/>
      <c r="F259" s="255">
        <v>45772.0</v>
      </c>
      <c r="G259" s="174">
        <v>8.13</v>
      </c>
      <c r="H259" s="256">
        <f t="shared" si="2"/>
        <v>0.01245330012</v>
      </c>
      <c r="I259" s="154"/>
      <c r="J259" s="255">
        <v>45772.0</v>
      </c>
      <c r="K259" s="174">
        <v>14.87</v>
      </c>
      <c r="L259" s="256">
        <f t="shared" si="3"/>
        <v>0.01019021739</v>
      </c>
      <c r="M259" s="154"/>
      <c r="N259" s="255">
        <v>45772.0</v>
      </c>
      <c r="O259" s="174">
        <v>1899.0</v>
      </c>
      <c r="P259" s="256">
        <f t="shared" si="4"/>
        <v>-0.01196670135</v>
      </c>
      <c r="Q259" s="154"/>
      <c r="R259" s="255">
        <v>45772.0</v>
      </c>
      <c r="S259" s="174">
        <v>25.22</v>
      </c>
      <c r="T259" s="256">
        <f t="shared" si="5"/>
        <v>0.01325833668</v>
      </c>
      <c r="U259" s="154"/>
      <c r="V259" s="255">
        <v>45772.0</v>
      </c>
      <c r="W259" s="174">
        <v>1174.8</v>
      </c>
      <c r="X259" s="256">
        <f t="shared" si="6"/>
        <v>-0.02140774677</v>
      </c>
      <c r="Y259" s="154"/>
      <c r="Z259" s="255">
        <v>45772.0</v>
      </c>
      <c r="AA259" s="174">
        <v>1525.9</v>
      </c>
      <c r="AB259" s="256">
        <f t="shared" si="7"/>
        <v>-0.01662692531</v>
      </c>
      <c r="AC259" s="154"/>
      <c r="AD259" s="255">
        <v>45772.0</v>
      </c>
      <c r="AE259" s="174">
        <v>7.94</v>
      </c>
      <c r="AF259" s="256">
        <f t="shared" si="8"/>
        <v>-0.0513739546</v>
      </c>
      <c r="AG259" s="257"/>
      <c r="AH259" s="255">
        <v>45772.0</v>
      </c>
      <c r="AI259" s="174">
        <v>311.85</v>
      </c>
      <c r="AJ259" s="256">
        <f t="shared" si="9"/>
        <v>-0.04560061209</v>
      </c>
      <c r="AK259" s="257"/>
      <c r="AL259" s="255">
        <v>45772.0</v>
      </c>
      <c r="AM259" s="174">
        <v>5525.21</v>
      </c>
      <c r="AN259" s="256">
        <f t="shared" si="10"/>
        <v>0.007373144179</v>
      </c>
      <c r="AO259" s="154"/>
      <c r="AP259" s="154"/>
    </row>
    <row r="260">
      <c r="A260" s="154"/>
      <c r="B260" s="255">
        <v>45771.0</v>
      </c>
      <c r="C260" s="174">
        <v>12.12</v>
      </c>
      <c r="D260" s="256">
        <f t="shared" si="1"/>
        <v>0.05483028721</v>
      </c>
      <c r="E260" s="154"/>
      <c r="F260" s="255">
        <v>45771.0</v>
      </c>
      <c r="G260" s="174">
        <v>8.03</v>
      </c>
      <c r="H260" s="256">
        <f t="shared" si="2"/>
        <v>0.02816901408</v>
      </c>
      <c r="I260" s="154"/>
      <c r="J260" s="255">
        <v>45771.0</v>
      </c>
      <c r="K260" s="174">
        <v>14.72</v>
      </c>
      <c r="L260" s="256">
        <f t="shared" si="3"/>
        <v>0.03009097271</v>
      </c>
      <c r="M260" s="154"/>
      <c r="N260" s="255">
        <v>45771.0</v>
      </c>
      <c r="O260" s="174">
        <v>1922.0</v>
      </c>
      <c r="P260" s="256">
        <f t="shared" si="4"/>
        <v>0.009453781513</v>
      </c>
      <c r="Q260" s="154"/>
      <c r="R260" s="255">
        <v>45771.0</v>
      </c>
      <c r="S260" s="174">
        <v>24.89</v>
      </c>
      <c r="T260" s="256">
        <f t="shared" si="5"/>
        <v>0.00606305578</v>
      </c>
      <c r="U260" s="154"/>
      <c r="V260" s="255">
        <v>45771.0</v>
      </c>
      <c r="W260" s="174">
        <v>1200.5</v>
      </c>
      <c r="X260" s="256">
        <f t="shared" si="6"/>
        <v>0.01222596965</v>
      </c>
      <c r="Y260" s="154"/>
      <c r="Z260" s="255">
        <v>45771.0</v>
      </c>
      <c r="AA260" s="174">
        <v>1551.7</v>
      </c>
      <c r="AB260" s="256">
        <f t="shared" si="7"/>
        <v>0.01173632392</v>
      </c>
      <c r="AC260" s="154"/>
      <c r="AD260" s="255">
        <v>45771.0</v>
      </c>
      <c r="AE260" s="174">
        <v>8.37</v>
      </c>
      <c r="AF260" s="256">
        <f t="shared" si="8"/>
        <v>0.001196172249</v>
      </c>
      <c r="AG260" s="257"/>
      <c r="AH260" s="255">
        <v>45771.0</v>
      </c>
      <c r="AI260" s="174">
        <v>326.75</v>
      </c>
      <c r="AJ260" s="256">
        <f t="shared" si="9"/>
        <v>-0.02666070897</v>
      </c>
      <c r="AK260" s="257"/>
      <c r="AL260" s="255">
        <v>45771.0</v>
      </c>
      <c r="AM260" s="174">
        <v>5484.77</v>
      </c>
      <c r="AN260" s="256">
        <f t="shared" si="10"/>
        <v>0.02025908413</v>
      </c>
      <c r="AO260" s="154"/>
      <c r="AP260" s="154"/>
    </row>
    <row r="261">
      <c r="A261" s="154"/>
      <c r="B261" s="255">
        <v>45770.0</v>
      </c>
      <c r="C261" s="174">
        <v>11.49</v>
      </c>
      <c r="D261" s="256">
        <f t="shared" si="1"/>
        <v>0.02224199288</v>
      </c>
      <c r="E261" s="154"/>
      <c r="F261" s="255">
        <v>45770.0</v>
      </c>
      <c r="G261" s="174">
        <v>7.81</v>
      </c>
      <c r="H261" s="256">
        <f t="shared" si="2"/>
        <v>0.0156046814</v>
      </c>
      <c r="I261" s="154"/>
      <c r="J261" s="255">
        <v>45770.0</v>
      </c>
      <c r="K261" s="174">
        <v>14.29</v>
      </c>
      <c r="L261" s="256">
        <f t="shared" si="3"/>
        <v>0.02071428571</v>
      </c>
      <c r="M261" s="154"/>
      <c r="N261" s="255">
        <v>45770.0</v>
      </c>
      <c r="O261" s="174">
        <v>1904.0</v>
      </c>
      <c r="P261" s="256">
        <f t="shared" si="4"/>
        <v>0.01222753854</v>
      </c>
      <c r="Q261" s="154"/>
      <c r="R261" s="255">
        <v>45770.0</v>
      </c>
      <c r="S261" s="174">
        <v>24.74</v>
      </c>
      <c r="T261" s="256">
        <f t="shared" si="5"/>
        <v>-0.002821442967</v>
      </c>
      <c r="U261" s="154"/>
      <c r="V261" s="255">
        <v>45770.0</v>
      </c>
      <c r="W261" s="174">
        <v>1186.0</v>
      </c>
      <c r="X261" s="256">
        <f t="shared" si="6"/>
        <v>0.009361702128</v>
      </c>
      <c r="Y261" s="154"/>
      <c r="Z261" s="255">
        <v>45770.0</v>
      </c>
      <c r="AA261" s="174">
        <v>1533.7</v>
      </c>
      <c r="AB261" s="256">
        <f t="shared" si="7"/>
        <v>0.003599005366</v>
      </c>
      <c r="AC261" s="154"/>
      <c r="AD261" s="255">
        <v>45770.0</v>
      </c>
      <c r="AE261" s="174">
        <v>8.36</v>
      </c>
      <c r="AF261" s="256">
        <f t="shared" si="8"/>
        <v>0</v>
      </c>
      <c r="AG261" s="257"/>
      <c r="AH261" s="255">
        <v>45770.0</v>
      </c>
      <c r="AI261" s="174">
        <v>335.7</v>
      </c>
      <c r="AJ261" s="256">
        <f t="shared" si="9"/>
        <v>0.005692031156</v>
      </c>
      <c r="AK261" s="257"/>
      <c r="AL261" s="255">
        <v>45770.0</v>
      </c>
      <c r="AM261" s="174">
        <v>5375.86</v>
      </c>
      <c r="AN261" s="256">
        <f t="shared" si="10"/>
        <v>0.01666111926</v>
      </c>
      <c r="AO261" s="154"/>
      <c r="AP261" s="154"/>
    </row>
    <row r="262">
      <c r="A262" s="154"/>
      <c r="B262" s="255">
        <v>45769.0</v>
      </c>
      <c r="C262" s="174">
        <v>11.24</v>
      </c>
      <c r="D262" s="256">
        <f t="shared" si="1"/>
        <v>0.05738476011</v>
      </c>
      <c r="E262" s="154"/>
      <c r="F262" s="255">
        <v>45769.0</v>
      </c>
      <c r="G262" s="174">
        <v>7.69</v>
      </c>
      <c r="H262" s="256">
        <f t="shared" si="2"/>
        <v>0.01585204756</v>
      </c>
      <c r="I262" s="154"/>
      <c r="J262" s="255">
        <v>45769.0</v>
      </c>
      <c r="K262" s="174">
        <v>14.0</v>
      </c>
      <c r="L262" s="256">
        <f t="shared" si="3"/>
        <v>0.05184072126</v>
      </c>
      <c r="M262" s="154"/>
      <c r="N262" s="255">
        <v>45769.0</v>
      </c>
      <c r="O262" s="174">
        <v>1881.0</v>
      </c>
      <c r="P262" s="256">
        <f t="shared" si="4"/>
        <v>-0.001327316167</v>
      </c>
      <c r="Q262" s="154"/>
      <c r="R262" s="255">
        <v>45769.0</v>
      </c>
      <c r="S262" s="174">
        <v>24.81</v>
      </c>
      <c r="T262" s="256">
        <f t="shared" si="5"/>
        <v>0.0184729064</v>
      </c>
      <c r="U262" s="154"/>
      <c r="V262" s="255">
        <v>45769.0</v>
      </c>
      <c r="W262" s="174">
        <v>1175.0</v>
      </c>
      <c r="X262" s="256">
        <f t="shared" si="6"/>
        <v>-0.002038389672</v>
      </c>
      <c r="Y262" s="154"/>
      <c r="Z262" s="255">
        <v>45769.0</v>
      </c>
      <c r="AA262" s="174">
        <v>1528.2</v>
      </c>
      <c r="AB262" s="256">
        <f t="shared" si="7"/>
        <v>0.01131625968</v>
      </c>
      <c r="AC262" s="154"/>
      <c r="AD262" s="255">
        <v>45769.0</v>
      </c>
      <c r="AE262" s="174">
        <v>8.36</v>
      </c>
      <c r="AF262" s="256">
        <f t="shared" si="8"/>
        <v>0.003601440576</v>
      </c>
      <c r="AG262" s="257"/>
      <c r="AH262" s="255">
        <v>45769.0</v>
      </c>
      <c r="AI262" s="174">
        <v>333.8</v>
      </c>
      <c r="AJ262" s="256">
        <f t="shared" si="9"/>
        <v>0.005724615848</v>
      </c>
      <c r="AK262" s="257"/>
      <c r="AL262" s="255">
        <v>45769.0</v>
      </c>
      <c r="AM262" s="174">
        <v>5287.76</v>
      </c>
      <c r="AN262" s="256">
        <f t="shared" si="10"/>
        <v>0.02511728898</v>
      </c>
      <c r="AO262" s="154"/>
      <c r="AP262" s="154"/>
    </row>
    <row r="263">
      <c r="A263" s="154"/>
      <c r="B263" s="255">
        <v>45768.0</v>
      </c>
      <c r="C263" s="174">
        <v>10.63</v>
      </c>
      <c r="D263" s="256">
        <f t="shared" si="1"/>
        <v>-0.0440647482</v>
      </c>
      <c r="E263" s="154"/>
      <c r="F263" s="255">
        <v>45768.0</v>
      </c>
      <c r="G263" s="174">
        <v>7.57</v>
      </c>
      <c r="H263" s="256">
        <f t="shared" si="2"/>
        <v>0.001322751323</v>
      </c>
      <c r="I263" s="154"/>
      <c r="J263" s="255">
        <v>45768.0</v>
      </c>
      <c r="K263" s="174">
        <v>13.31</v>
      </c>
      <c r="L263" s="256">
        <f t="shared" si="3"/>
        <v>-0.02490842491</v>
      </c>
      <c r="M263" s="154"/>
      <c r="N263" s="255">
        <v>45768.0</v>
      </c>
      <c r="O263" s="258">
        <v>1883.5</v>
      </c>
      <c r="P263" s="256">
        <f t="shared" si="4"/>
        <v>-0.0007957559682</v>
      </c>
      <c r="Q263" s="154"/>
      <c r="R263" s="255">
        <v>45768.0</v>
      </c>
      <c r="S263" s="174">
        <v>24.36</v>
      </c>
      <c r="T263" s="256">
        <f t="shared" si="5"/>
        <v>-0.03791469194</v>
      </c>
      <c r="U263" s="154"/>
      <c r="V263" s="255">
        <v>45768.0</v>
      </c>
      <c r="W263" s="174">
        <v>1177.4</v>
      </c>
      <c r="X263" s="256">
        <f t="shared" si="6"/>
        <v>0.01185974562</v>
      </c>
      <c r="Y263" s="154"/>
      <c r="Z263" s="255">
        <v>45768.0</v>
      </c>
      <c r="AA263" s="174">
        <v>1511.1</v>
      </c>
      <c r="AB263" s="256">
        <f t="shared" si="7"/>
        <v>-0.002705913411</v>
      </c>
      <c r="AC263" s="154"/>
      <c r="AD263" s="255">
        <v>45768.0</v>
      </c>
      <c r="AE263" s="174">
        <v>8.33</v>
      </c>
      <c r="AF263" s="256">
        <f t="shared" si="8"/>
        <v>0.00482509047</v>
      </c>
      <c r="AG263" s="257"/>
      <c r="AH263" s="255">
        <v>45768.0</v>
      </c>
      <c r="AI263" s="174">
        <v>331.9</v>
      </c>
      <c r="AJ263" s="256">
        <f t="shared" si="9"/>
        <v>0.001811047389</v>
      </c>
      <c r="AK263" s="257"/>
      <c r="AL263" s="255">
        <v>45768.0</v>
      </c>
      <c r="AM263" s="174">
        <v>5158.2</v>
      </c>
      <c r="AN263" s="256">
        <f t="shared" si="10"/>
        <v>-0.0235674939</v>
      </c>
      <c r="AO263" s="154"/>
      <c r="AP263" s="154"/>
    </row>
    <row r="264">
      <c r="A264" s="154"/>
      <c r="B264" s="255">
        <v>45764.0</v>
      </c>
      <c r="C264" s="174">
        <v>11.12</v>
      </c>
      <c r="D264" s="256">
        <f t="shared" si="1"/>
        <v>0.02772643253</v>
      </c>
      <c r="E264" s="154"/>
      <c r="F264" s="255">
        <v>45764.0</v>
      </c>
      <c r="G264" s="174">
        <v>7.56</v>
      </c>
      <c r="H264" s="256">
        <f t="shared" si="2"/>
        <v>0.02300405954</v>
      </c>
      <c r="I264" s="154"/>
      <c r="J264" s="255">
        <v>45764.0</v>
      </c>
      <c r="K264" s="174">
        <v>13.65</v>
      </c>
      <c r="L264" s="256">
        <f t="shared" si="3"/>
        <v>0.01638123604</v>
      </c>
      <c r="M264" s="154"/>
      <c r="N264" s="255">
        <v>45764.0</v>
      </c>
      <c r="O264" s="174">
        <v>1885.0</v>
      </c>
      <c r="P264" s="256">
        <f t="shared" si="4"/>
        <v>-0.003172924379</v>
      </c>
      <c r="Q264" s="154"/>
      <c r="R264" s="255">
        <v>45764.0</v>
      </c>
      <c r="S264" s="174">
        <v>25.32</v>
      </c>
      <c r="T264" s="256">
        <f t="shared" si="5"/>
        <v>0.007159904535</v>
      </c>
      <c r="U264" s="154"/>
      <c r="V264" s="255">
        <v>45764.0</v>
      </c>
      <c r="W264" s="174">
        <v>1163.6</v>
      </c>
      <c r="X264" s="256">
        <f t="shared" si="6"/>
        <v>0.004488950276</v>
      </c>
      <c r="Y264" s="154"/>
      <c r="Z264" s="255">
        <v>45764.0</v>
      </c>
      <c r="AA264" s="174">
        <v>1515.2</v>
      </c>
      <c r="AB264" s="256">
        <f t="shared" si="7"/>
        <v>0.0125634857</v>
      </c>
      <c r="AC264" s="154"/>
      <c r="AD264" s="255">
        <v>45764.0</v>
      </c>
      <c r="AE264" s="174">
        <v>8.29</v>
      </c>
      <c r="AF264" s="256">
        <f t="shared" si="8"/>
        <v>-0.003605769231</v>
      </c>
      <c r="AG264" s="257"/>
      <c r="AH264" s="255">
        <v>45764.0</v>
      </c>
      <c r="AI264" s="174">
        <v>331.3</v>
      </c>
      <c r="AJ264" s="256">
        <f t="shared" si="9"/>
        <v>0.006531976303</v>
      </c>
      <c r="AK264" s="257"/>
      <c r="AL264" s="255">
        <v>45764.0</v>
      </c>
      <c r="AM264" s="174">
        <v>5282.7</v>
      </c>
      <c r="AN264" s="256">
        <f t="shared" si="10"/>
        <v>0.001326838145</v>
      </c>
      <c r="AO264" s="154"/>
      <c r="AP264" s="154"/>
    </row>
    <row r="265">
      <c r="A265" s="154"/>
      <c r="B265" s="255">
        <v>45763.0</v>
      </c>
      <c r="C265" s="174">
        <v>10.82</v>
      </c>
      <c r="D265" s="256">
        <f t="shared" si="1"/>
        <v>-0.02081447964</v>
      </c>
      <c r="E265" s="154"/>
      <c r="F265" s="255">
        <v>45763.0</v>
      </c>
      <c r="G265" s="174">
        <v>7.39</v>
      </c>
      <c r="H265" s="256">
        <f t="shared" si="2"/>
        <v>-0.01203208556</v>
      </c>
      <c r="I265" s="154"/>
      <c r="J265" s="255">
        <v>45763.0</v>
      </c>
      <c r="K265" s="174">
        <v>13.43</v>
      </c>
      <c r="L265" s="256">
        <f t="shared" si="3"/>
        <v>-0.0125</v>
      </c>
      <c r="M265" s="154"/>
      <c r="N265" s="255">
        <v>45763.0</v>
      </c>
      <c r="O265" s="174">
        <v>1891.0</v>
      </c>
      <c r="P265" s="256">
        <f t="shared" si="4"/>
        <v>-0.008390141584</v>
      </c>
      <c r="Q265" s="154"/>
      <c r="R265" s="255">
        <v>45763.0</v>
      </c>
      <c r="S265" s="174">
        <v>25.14</v>
      </c>
      <c r="T265" s="256">
        <f t="shared" si="5"/>
        <v>0.003192338388</v>
      </c>
      <c r="U265" s="154"/>
      <c r="V265" s="255">
        <v>45763.0</v>
      </c>
      <c r="W265" s="174">
        <v>1158.4</v>
      </c>
      <c r="X265" s="256">
        <f t="shared" si="6"/>
        <v>0.003030565417</v>
      </c>
      <c r="Y265" s="154"/>
      <c r="Z265" s="255">
        <v>45763.0</v>
      </c>
      <c r="AA265" s="174">
        <v>1496.4</v>
      </c>
      <c r="AB265" s="256">
        <f t="shared" si="7"/>
        <v>0.00985288163</v>
      </c>
      <c r="AC265" s="154"/>
      <c r="AD265" s="255">
        <v>45763.0</v>
      </c>
      <c r="AE265" s="174">
        <v>8.32</v>
      </c>
      <c r="AF265" s="256">
        <f t="shared" si="8"/>
        <v>-0.03255813953</v>
      </c>
      <c r="AG265" s="257"/>
      <c r="AH265" s="255">
        <v>45763.0</v>
      </c>
      <c r="AI265" s="174">
        <v>329.15</v>
      </c>
      <c r="AJ265" s="256">
        <f t="shared" si="9"/>
        <v>0.0009122700319</v>
      </c>
      <c r="AK265" s="257"/>
      <c r="AL265" s="255">
        <v>45763.0</v>
      </c>
      <c r="AM265" s="174">
        <v>5275.7</v>
      </c>
      <c r="AN265" s="256">
        <f t="shared" si="10"/>
        <v>-0.02240842896</v>
      </c>
      <c r="AO265" s="154"/>
      <c r="AP265" s="154"/>
    </row>
    <row r="266">
      <c r="A266" s="154"/>
      <c r="B266" s="255">
        <v>45762.0</v>
      </c>
      <c r="C266" s="174">
        <v>11.05</v>
      </c>
      <c r="D266" s="256">
        <f t="shared" si="1"/>
        <v>-0.02212389381</v>
      </c>
      <c r="E266" s="154"/>
      <c r="F266" s="255">
        <v>45762.0</v>
      </c>
      <c r="G266" s="174">
        <v>7.48</v>
      </c>
      <c r="H266" s="256">
        <f t="shared" si="2"/>
        <v>-0.01965923984</v>
      </c>
      <c r="I266" s="154"/>
      <c r="J266" s="255">
        <v>45762.0</v>
      </c>
      <c r="K266" s="174">
        <v>13.6</v>
      </c>
      <c r="L266" s="256">
        <f t="shared" si="3"/>
        <v>0</v>
      </c>
      <c r="M266" s="154"/>
      <c r="N266" s="255">
        <v>45762.0</v>
      </c>
      <c r="O266" s="174">
        <v>1907.0</v>
      </c>
      <c r="P266" s="256">
        <f t="shared" si="4"/>
        <v>0.0203317282</v>
      </c>
      <c r="Q266" s="154"/>
      <c r="R266" s="255">
        <v>45762.0</v>
      </c>
      <c r="S266" s="174">
        <v>25.06</v>
      </c>
      <c r="T266" s="256">
        <f t="shared" si="5"/>
        <v>0.0024</v>
      </c>
      <c r="U266" s="154"/>
      <c r="V266" s="255">
        <v>45762.0</v>
      </c>
      <c r="W266" s="174">
        <v>1154.9</v>
      </c>
      <c r="X266" s="256">
        <f t="shared" si="6"/>
        <v>0.02384751773</v>
      </c>
      <c r="Y266" s="154"/>
      <c r="Z266" s="255">
        <v>45762.0</v>
      </c>
      <c r="AA266" s="174">
        <v>1481.8</v>
      </c>
      <c r="AB266" s="256">
        <f t="shared" si="7"/>
        <v>0.008027210884</v>
      </c>
      <c r="AC266" s="154"/>
      <c r="AD266" s="255">
        <v>45762.0</v>
      </c>
      <c r="AE266" s="174">
        <v>8.6</v>
      </c>
      <c r="AF266" s="256">
        <f t="shared" si="8"/>
        <v>0.008206330598</v>
      </c>
      <c r="AG266" s="257"/>
      <c r="AH266" s="255">
        <v>45762.0</v>
      </c>
      <c r="AI266" s="174">
        <v>328.85</v>
      </c>
      <c r="AJ266" s="256">
        <f t="shared" si="9"/>
        <v>0.02127329193</v>
      </c>
      <c r="AK266" s="257"/>
      <c r="AL266" s="255">
        <v>45762.0</v>
      </c>
      <c r="AM266" s="174">
        <v>5396.63</v>
      </c>
      <c r="AN266" s="256">
        <f t="shared" si="10"/>
        <v>-0.00172771954</v>
      </c>
      <c r="AO266" s="154"/>
      <c r="AP266" s="154"/>
    </row>
    <row r="267">
      <c r="A267" s="154"/>
      <c r="B267" s="255">
        <v>45761.0</v>
      </c>
      <c r="C267" s="174">
        <v>11.3</v>
      </c>
      <c r="D267" s="256">
        <f t="shared" si="1"/>
        <v>0.01073345259</v>
      </c>
      <c r="E267" s="154"/>
      <c r="F267" s="255">
        <v>45761.0</v>
      </c>
      <c r="G267" s="174">
        <v>7.63</v>
      </c>
      <c r="H267" s="256">
        <f t="shared" si="2"/>
        <v>0.01193633952</v>
      </c>
      <c r="I267" s="154"/>
      <c r="J267" s="255">
        <v>45761.0</v>
      </c>
      <c r="K267" s="174">
        <v>13.6</v>
      </c>
      <c r="L267" s="256">
        <f t="shared" si="3"/>
        <v>0.01040118871</v>
      </c>
      <c r="M267" s="154"/>
      <c r="N267" s="255">
        <v>45761.0</v>
      </c>
      <c r="O267" s="174">
        <v>1869.0</v>
      </c>
      <c r="P267" s="256">
        <f t="shared" si="4"/>
        <v>0.02131147541</v>
      </c>
      <c r="Q267" s="154"/>
      <c r="R267" s="255">
        <v>45761.0</v>
      </c>
      <c r="S267" s="174">
        <v>25.0</v>
      </c>
      <c r="T267" s="256">
        <f t="shared" si="5"/>
        <v>0.01461038961</v>
      </c>
      <c r="U267" s="154"/>
      <c r="V267" s="255">
        <v>45761.0</v>
      </c>
      <c r="W267" s="258">
        <v>1128.0</v>
      </c>
      <c r="X267" s="256">
        <f t="shared" si="6"/>
        <v>0.01667417756</v>
      </c>
      <c r="Y267" s="154"/>
      <c r="Z267" s="255">
        <v>45761.0</v>
      </c>
      <c r="AA267" s="258">
        <v>1470.0</v>
      </c>
      <c r="AB267" s="256">
        <f t="shared" si="7"/>
        <v>0.004750350296</v>
      </c>
      <c r="AC267" s="154"/>
      <c r="AD267" s="255">
        <v>45761.0</v>
      </c>
      <c r="AE267" s="174">
        <v>8.53</v>
      </c>
      <c r="AF267" s="256">
        <f t="shared" si="8"/>
        <v>-0.02957906712</v>
      </c>
      <c r="AG267" s="257"/>
      <c r="AH267" s="259">
        <v>45761.0</v>
      </c>
      <c r="AI267" s="260">
        <v>322.0</v>
      </c>
      <c r="AJ267" s="256">
        <f t="shared" si="9"/>
        <v>0.01721686937</v>
      </c>
      <c r="AK267" s="257"/>
      <c r="AL267" s="255">
        <v>45761.0</v>
      </c>
      <c r="AM267" s="174">
        <v>5405.97</v>
      </c>
      <c r="AN267" s="256">
        <f t="shared" si="10"/>
        <v>0.007944646639</v>
      </c>
      <c r="AO267" s="154"/>
      <c r="AP267" s="154"/>
    </row>
    <row r="268">
      <c r="A268" s="154"/>
      <c r="B268" s="255">
        <v>45758.0</v>
      </c>
      <c r="C268" s="174">
        <v>11.18</v>
      </c>
      <c r="D268" s="256">
        <f t="shared" si="1"/>
        <v>-0.02187226597</v>
      </c>
      <c r="E268" s="154"/>
      <c r="F268" s="255">
        <v>45758.0</v>
      </c>
      <c r="G268" s="174">
        <v>7.54</v>
      </c>
      <c r="H268" s="256">
        <f t="shared" si="2"/>
        <v>0.03856749311</v>
      </c>
      <c r="I268" s="154"/>
      <c r="J268" s="255">
        <v>45758.0</v>
      </c>
      <c r="K268" s="174">
        <v>13.46</v>
      </c>
      <c r="L268" s="256">
        <f t="shared" si="3"/>
        <v>0.04992199688</v>
      </c>
      <c r="M268" s="154"/>
      <c r="N268" s="255">
        <v>45758.0</v>
      </c>
      <c r="O268" s="174">
        <v>1830.0</v>
      </c>
      <c r="P268" s="256">
        <f t="shared" si="4"/>
        <v>-0.004893964111</v>
      </c>
      <c r="Q268" s="154"/>
      <c r="R268" s="255">
        <v>45758.0</v>
      </c>
      <c r="S268" s="174">
        <v>24.64</v>
      </c>
      <c r="T268" s="256">
        <f t="shared" si="5"/>
        <v>0.01149425287</v>
      </c>
      <c r="U268" s="154"/>
      <c r="V268" s="255">
        <v>45758.0</v>
      </c>
      <c r="W268" s="174">
        <v>1109.5</v>
      </c>
      <c r="X268" s="256">
        <f t="shared" si="6"/>
        <v>0.001353790614</v>
      </c>
      <c r="Y268" s="154"/>
      <c r="Z268" s="255">
        <v>45758.0</v>
      </c>
      <c r="AA268" s="174">
        <v>1463.05</v>
      </c>
      <c r="AB268" s="256">
        <f t="shared" si="7"/>
        <v>0.009696342305</v>
      </c>
      <c r="AC268" s="154"/>
      <c r="AD268" s="255">
        <v>45758.0</v>
      </c>
      <c r="AE268" s="174">
        <v>8.79</v>
      </c>
      <c r="AF268" s="256">
        <f t="shared" si="8"/>
        <v>0.07195121951</v>
      </c>
      <c r="AG268" s="257"/>
      <c r="AH268" s="255">
        <v>45758.0</v>
      </c>
      <c r="AI268" s="174">
        <v>316.55</v>
      </c>
      <c r="AJ268" s="256">
        <f t="shared" si="9"/>
        <v>0.01784565916</v>
      </c>
      <c r="AK268" s="257"/>
      <c r="AL268" s="255">
        <v>45758.0</v>
      </c>
      <c r="AM268" s="174">
        <v>5363.36</v>
      </c>
      <c r="AN268" s="256">
        <f t="shared" si="10"/>
        <v>0.01809208341</v>
      </c>
      <c r="AO268" s="154"/>
      <c r="AP268" s="154"/>
    </row>
    <row r="269">
      <c r="A269" s="154"/>
      <c r="B269" s="255">
        <v>45757.0</v>
      </c>
      <c r="C269" s="174">
        <v>11.43</v>
      </c>
      <c r="D269" s="256">
        <f t="shared" si="1"/>
        <v>-0.0957278481</v>
      </c>
      <c r="E269" s="154"/>
      <c r="F269" s="255">
        <v>45757.0</v>
      </c>
      <c r="G269" s="174">
        <v>7.26</v>
      </c>
      <c r="H269" s="256">
        <f t="shared" si="2"/>
        <v>-0.06803594352</v>
      </c>
      <c r="I269" s="154"/>
      <c r="J269" s="255">
        <v>45757.0</v>
      </c>
      <c r="K269" s="174">
        <v>12.82</v>
      </c>
      <c r="L269" s="256">
        <f t="shared" si="3"/>
        <v>-0.09463276836</v>
      </c>
      <c r="M269" s="154"/>
      <c r="N269" s="255">
        <v>45757.0</v>
      </c>
      <c r="O269" s="174">
        <v>1839.0</v>
      </c>
      <c r="P269" s="256">
        <f t="shared" si="4"/>
        <v>0.03664036077</v>
      </c>
      <c r="Q269" s="154"/>
      <c r="R269" s="255">
        <v>45757.0</v>
      </c>
      <c r="S269" s="174">
        <v>24.36</v>
      </c>
      <c r="T269" s="256">
        <f t="shared" si="5"/>
        <v>-0.05836876691</v>
      </c>
      <c r="U269" s="154"/>
      <c r="V269" s="255">
        <v>45757.0</v>
      </c>
      <c r="W269" s="258">
        <v>1108.0</v>
      </c>
      <c r="X269" s="256">
        <f t="shared" si="6"/>
        <v>-0.0002706848326</v>
      </c>
      <c r="Y269" s="154"/>
      <c r="Z269" s="255">
        <v>45757.0</v>
      </c>
      <c r="AA269" s="258">
        <v>1449.0</v>
      </c>
      <c r="AB269" s="256">
        <f t="shared" si="7"/>
        <v>0.00625</v>
      </c>
      <c r="AC269" s="154"/>
      <c r="AD269" s="255">
        <v>45757.0</v>
      </c>
      <c r="AE269" s="174">
        <v>8.2</v>
      </c>
      <c r="AF269" s="256">
        <f t="shared" si="8"/>
        <v>-0.06178489703</v>
      </c>
      <c r="AG269" s="257"/>
      <c r="AH269" s="255">
        <v>45757.0</v>
      </c>
      <c r="AI269" s="258">
        <v>311.0</v>
      </c>
      <c r="AJ269" s="256">
        <f t="shared" si="9"/>
        <v>0.01534443356</v>
      </c>
      <c r="AK269" s="257"/>
      <c r="AL269" s="255">
        <v>45757.0</v>
      </c>
      <c r="AM269" s="174">
        <v>5268.05</v>
      </c>
      <c r="AN269" s="256">
        <f t="shared" si="10"/>
        <v>-0.03460756107</v>
      </c>
      <c r="AO269" s="154"/>
      <c r="AP269" s="154"/>
    </row>
    <row r="270">
      <c r="A270" s="154"/>
      <c r="B270" s="255">
        <v>45756.0</v>
      </c>
      <c r="C270" s="174">
        <v>12.64</v>
      </c>
      <c r="D270" s="256">
        <f t="shared" si="1"/>
        <v>0.08497854077</v>
      </c>
      <c r="E270" s="154"/>
      <c r="F270" s="255">
        <v>45756.0</v>
      </c>
      <c r="G270" s="174">
        <v>7.79</v>
      </c>
      <c r="H270" s="256">
        <f t="shared" si="2"/>
        <v>0.05842391304</v>
      </c>
      <c r="I270" s="154"/>
      <c r="J270" s="255">
        <v>45756.0</v>
      </c>
      <c r="K270" s="174">
        <v>14.16</v>
      </c>
      <c r="L270" s="256">
        <f t="shared" si="3"/>
        <v>0.04194260486</v>
      </c>
      <c r="M270" s="154"/>
      <c r="N270" s="255">
        <v>45756.0</v>
      </c>
      <c r="O270" s="174">
        <v>1774.0</v>
      </c>
      <c r="P270" s="256">
        <f t="shared" si="4"/>
        <v>-0.03639326453</v>
      </c>
      <c r="Q270" s="154"/>
      <c r="R270" s="255">
        <v>45756.0</v>
      </c>
      <c r="S270" s="174">
        <v>25.87</v>
      </c>
      <c r="T270" s="256">
        <f t="shared" si="5"/>
        <v>0.05376782077</v>
      </c>
      <c r="U270" s="154"/>
      <c r="V270" s="255">
        <v>45756.0</v>
      </c>
      <c r="W270" s="258">
        <v>1108.3</v>
      </c>
      <c r="X270" s="256">
        <f t="shared" si="6"/>
        <v>0.0003158987319</v>
      </c>
      <c r="Y270" s="154"/>
      <c r="Z270" s="255">
        <v>45756.0</v>
      </c>
      <c r="AA270" s="258">
        <v>1440.0</v>
      </c>
      <c r="AB270" s="256">
        <f t="shared" si="7"/>
        <v>0.005200516561</v>
      </c>
      <c r="AC270" s="154"/>
      <c r="AD270" s="255">
        <v>45756.0</v>
      </c>
      <c r="AE270" s="174">
        <v>8.74</v>
      </c>
      <c r="AF270" s="256">
        <f t="shared" si="8"/>
        <v>0.08436724566</v>
      </c>
      <c r="AG270" s="257"/>
      <c r="AH270" s="255">
        <v>45756.0</v>
      </c>
      <c r="AI270" s="174">
        <v>306.3</v>
      </c>
      <c r="AJ270" s="256">
        <f t="shared" si="9"/>
        <v>-0.04964318957</v>
      </c>
      <c r="AK270" s="257"/>
      <c r="AL270" s="255">
        <v>45756.0</v>
      </c>
      <c r="AM270" s="174">
        <v>5456.9</v>
      </c>
      <c r="AN270" s="256">
        <f t="shared" si="10"/>
        <v>0.09515390034</v>
      </c>
      <c r="AO270" s="154"/>
      <c r="AP270" s="154"/>
    </row>
    <row r="271">
      <c r="A271" s="154"/>
      <c r="B271" s="255">
        <v>45755.0</v>
      </c>
      <c r="C271" s="174">
        <v>11.65</v>
      </c>
      <c r="D271" s="256">
        <f t="shared" si="1"/>
        <v>-0.06948881789</v>
      </c>
      <c r="E271" s="154"/>
      <c r="F271" s="255">
        <v>45755.0</v>
      </c>
      <c r="G271" s="174">
        <v>7.36</v>
      </c>
      <c r="H271" s="256">
        <f t="shared" si="2"/>
        <v>-0.03285151117</v>
      </c>
      <c r="I271" s="154"/>
      <c r="J271" s="255">
        <v>45755.0</v>
      </c>
      <c r="K271" s="174">
        <v>13.59</v>
      </c>
      <c r="L271" s="256">
        <f t="shared" si="3"/>
        <v>-0.02510760402</v>
      </c>
      <c r="M271" s="154"/>
      <c r="N271" s="255">
        <v>45755.0</v>
      </c>
      <c r="O271" s="174">
        <v>1841.0</v>
      </c>
      <c r="P271" s="256">
        <f t="shared" si="4"/>
        <v>0.02619843924</v>
      </c>
      <c r="Q271" s="154"/>
      <c r="R271" s="255">
        <v>45755.0</v>
      </c>
      <c r="S271" s="174">
        <v>24.55</v>
      </c>
      <c r="T271" s="256">
        <f t="shared" si="5"/>
        <v>-0.05721966206</v>
      </c>
      <c r="U271" s="154"/>
      <c r="V271" s="255">
        <v>45755.0</v>
      </c>
      <c r="W271" s="174">
        <v>1107.95</v>
      </c>
      <c r="X271" s="256">
        <f t="shared" si="6"/>
        <v>0.01843000276</v>
      </c>
      <c r="Y271" s="154"/>
      <c r="Z271" s="255">
        <v>45755.0</v>
      </c>
      <c r="AA271" s="174">
        <v>1432.55</v>
      </c>
      <c r="AB271" s="256">
        <f t="shared" si="7"/>
        <v>0.03455622156</v>
      </c>
      <c r="AC271" s="154"/>
      <c r="AD271" s="255">
        <v>45755.0</v>
      </c>
      <c r="AE271" s="174">
        <v>8.06</v>
      </c>
      <c r="AF271" s="256">
        <f t="shared" si="8"/>
        <v>-0.03125</v>
      </c>
      <c r="AG271" s="257"/>
      <c r="AH271" s="255">
        <v>45755.0</v>
      </c>
      <c r="AI271" s="174">
        <v>322.3</v>
      </c>
      <c r="AJ271" s="256">
        <f t="shared" si="9"/>
        <v>0.0481300813</v>
      </c>
      <c r="AK271" s="257"/>
      <c r="AL271" s="255">
        <v>45755.0</v>
      </c>
      <c r="AM271" s="174">
        <v>4982.77</v>
      </c>
      <c r="AN271" s="256">
        <f t="shared" si="10"/>
        <v>-0.01570052842</v>
      </c>
      <c r="AO271" s="154"/>
      <c r="AP271" s="154"/>
    </row>
    <row r="272">
      <c r="A272" s="154"/>
      <c r="B272" s="255">
        <v>45754.0</v>
      </c>
      <c r="C272" s="174">
        <v>12.52</v>
      </c>
      <c r="D272" s="256">
        <f t="shared" si="1"/>
        <v>-0.04061302682</v>
      </c>
      <c r="E272" s="154"/>
      <c r="F272" s="255">
        <v>45754.0</v>
      </c>
      <c r="G272" s="174">
        <v>7.61</v>
      </c>
      <c r="H272" s="256">
        <f t="shared" si="2"/>
        <v>-0.001312335958</v>
      </c>
      <c r="I272" s="154"/>
      <c r="J272" s="255">
        <v>45754.0</v>
      </c>
      <c r="K272" s="174">
        <v>13.94</v>
      </c>
      <c r="L272" s="256">
        <f t="shared" si="3"/>
        <v>0.01014492754</v>
      </c>
      <c r="M272" s="154"/>
      <c r="N272" s="255">
        <v>45754.0</v>
      </c>
      <c r="O272" s="174">
        <v>1794.0</v>
      </c>
      <c r="P272" s="256">
        <f t="shared" si="4"/>
        <v>-0.0442194992</v>
      </c>
      <c r="Q272" s="154"/>
      <c r="R272" s="255">
        <v>45754.0</v>
      </c>
      <c r="S272" s="174">
        <v>26.04</v>
      </c>
      <c r="T272" s="256">
        <f t="shared" si="5"/>
        <v>-0.0102622577</v>
      </c>
      <c r="U272" s="154"/>
      <c r="V272" s="255">
        <v>45754.0</v>
      </c>
      <c r="W272" s="174">
        <v>1087.9</v>
      </c>
      <c r="X272" s="256">
        <f t="shared" si="6"/>
        <v>-0.01986575972</v>
      </c>
      <c r="Y272" s="154"/>
      <c r="Z272" s="255">
        <v>45754.0</v>
      </c>
      <c r="AA272" s="174">
        <v>1384.7</v>
      </c>
      <c r="AB272" s="256">
        <f t="shared" si="7"/>
        <v>-0.02158629217</v>
      </c>
      <c r="AC272" s="154"/>
      <c r="AD272" s="255">
        <v>45754.0</v>
      </c>
      <c r="AE272" s="174">
        <v>8.32</v>
      </c>
      <c r="AF272" s="256">
        <f t="shared" si="8"/>
        <v>-0.02117647059</v>
      </c>
      <c r="AG272" s="257"/>
      <c r="AH272" s="255">
        <v>45754.0</v>
      </c>
      <c r="AI272" s="174">
        <v>307.5</v>
      </c>
      <c r="AJ272" s="256">
        <f t="shared" si="9"/>
        <v>-0.06192800488</v>
      </c>
      <c r="AK272" s="257"/>
      <c r="AL272" s="255">
        <v>45754.0</v>
      </c>
      <c r="AM272" s="174">
        <v>5062.25</v>
      </c>
      <c r="AN272" s="256">
        <f t="shared" si="10"/>
        <v>-0.002331457131</v>
      </c>
      <c r="AO272" s="154"/>
      <c r="AP272" s="154"/>
    </row>
    <row r="273">
      <c r="A273" s="154"/>
      <c r="B273" s="255">
        <v>45751.0</v>
      </c>
      <c r="C273" s="174">
        <v>13.05</v>
      </c>
      <c r="D273" s="256">
        <f t="shared" si="1"/>
        <v>-0.09688581315</v>
      </c>
      <c r="E273" s="154"/>
      <c r="F273" s="255">
        <v>45751.0</v>
      </c>
      <c r="G273" s="174">
        <v>7.62</v>
      </c>
      <c r="H273" s="256">
        <f t="shared" si="2"/>
        <v>-0.06617647059</v>
      </c>
      <c r="I273" s="154"/>
      <c r="J273" s="255">
        <v>45751.0</v>
      </c>
      <c r="K273" s="174">
        <v>13.8</v>
      </c>
      <c r="L273" s="256">
        <f t="shared" si="3"/>
        <v>-0.07070707071</v>
      </c>
      <c r="M273" s="154"/>
      <c r="N273" s="255">
        <v>45751.0</v>
      </c>
      <c r="O273" s="174">
        <v>1877.0</v>
      </c>
      <c r="P273" s="256">
        <f t="shared" si="4"/>
        <v>-0.03989769821</v>
      </c>
      <c r="Q273" s="154"/>
      <c r="R273" s="255">
        <v>45751.0</v>
      </c>
      <c r="S273" s="174">
        <v>26.31</v>
      </c>
      <c r="T273" s="256">
        <f t="shared" si="5"/>
        <v>-0.0219330855</v>
      </c>
      <c r="U273" s="154"/>
      <c r="V273" s="255">
        <v>45751.0</v>
      </c>
      <c r="W273" s="174">
        <v>1109.95</v>
      </c>
      <c r="X273" s="256">
        <f t="shared" si="6"/>
        <v>-0.03604151288</v>
      </c>
      <c r="Y273" s="154"/>
      <c r="Z273" s="255">
        <v>45751.0</v>
      </c>
      <c r="AA273" s="174">
        <v>1415.25</v>
      </c>
      <c r="AB273" s="256">
        <f t="shared" si="7"/>
        <v>-0.05378752424</v>
      </c>
      <c r="AC273" s="154"/>
      <c r="AD273" s="255">
        <v>45751.0</v>
      </c>
      <c r="AE273" s="174">
        <v>8.5</v>
      </c>
      <c r="AF273" s="256">
        <f t="shared" si="8"/>
        <v>-0.08306364617</v>
      </c>
      <c r="AG273" s="257"/>
      <c r="AH273" s="255">
        <v>45751.0</v>
      </c>
      <c r="AI273" s="174">
        <v>327.8</v>
      </c>
      <c r="AJ273" s="256">
        <f t="shared" si="9"/>
        <v>-0.05191612437</v>
      </c>
      <c r="AK273" s="257"/>
      <c r="AL273" s="255">
        <v>45751.0</v>
      </c>
      <c r="AM273" s="174">
        <v>5074.08</v>
      </c>
      <c r="AN273" s="256">
        <f t="shared" si="10"/>
        <v>-0.05974961642</v>
      </c>
      <c r="AO273" s="154"/>
      <c r="AP273" s="154"/>
    </row>
    <row r="274">
      <c r="A274" s="154"/>
      <c r="B274" s="255">
        <v>45750.0</v>
      </c>
      <c r="C274" s="174">
        <v>14.45</v>
      </c>
      <c r="D274" s="256">
        <f t="shared" si="1"/>
        <v>-0.0183423913</v>
      </c>
      <c r="E274" s="154"/>
      <c r="F274" s="255">
        <v>45750.0</v>
      </c>
      <c r="G274" s="174">
        <v>8.16</v>
      </c>
      <c r="H274" s="256">
        <f t="shared" si="2"/>
        <v>-0.05773672055</v>
      </c>
      <c r="I274" s="154"/>
      <c r="J274" s="255">
        <v>45750.0</v>
      </c>
      <c r="K274" s="174">
        <v>14.85</v>
      </c>
      <c r="L274" s="256">
        <f t="shared" si="3"/>
        <v>-0.02877697842</v>
      </c>
      <c r="M274" s="154"/>
      <c r="N274" s="255">
        <v>45750.0</v>
      </c>
      <c r="O274" s="174">
        <v>1955.0</v>
      </c>
      <c r="P274" s="256">
        <f t="shared" si="4"/>
        <v>0.009292720702</v>
      </c>
      <c r="Q274" s="154"/>
      <c r="R274" s="255">
        <v>45750.0</v>
      </c>
      <c r="S274" s="174">
        <v>26.9</v>
      </c>
      <c r="T274" s="256">
        <f t="shared" si="5"/>
        <v>-0.03618774633</v>
      </c>
      <c r="U274" s="154"/>
      <c r="V274" s="255">
        <v>45750.0</v>
      </c>
      <c r="W274" s="174">
        <v>1151.45</v>
      </c>
      <c r="X274" s="256">
        <f t="shared" si="6"/>
        <v>0.001260869565</v>
      </c>
      <c r="Y274" s="154"/>
      <c r="Z274" s="255">
        <v>45750.0</v>
      </c>
      <c r="AA274" s="174">
        <v>1495.7</v>
      </c>
      <c r="AB274" s="256">
        <f t="shared" si="7"/>
        <v>0.02984817709</v>
      </c>
      <c r="AC274" s="154"/>
      <c r="AD274" s="255">
        <v>45750.0</v>
      </c>
      <c r="AE274" s="174">
        <v>9.27</v>
      </c>
      <c r="AF274" s="256">
        <f t="shared" si="8"/>
        <v>0.008705114255</v>
      </c>
      <c r="AG274" s="257"/>
      <c r="AH274" s="255">
        <v>45750.0</v>
      </c>
      <c r="AI274" s="174">
        <v>345.75</v>
      </c>
      <c r="AJ274" s="256">
        <f t="shared" si="9"/>
        <v>0.010817132</v>
      </c>
      <c r="AK274" s="257"/>
      <c r="AL274" s="255">
        <v>45750.0</v>
      </c>
      <c r="AM274" s="174">
        <v>5396.52</v>
      </c>
      <c r="AN274" s="256">
        <f t="shared" si="10"/>
        <v>-0.04839560075</v>
      </c>
      <c r="AO274" s="154"/>
      <c r="AP274" s="154"/>
    </row>
    <row r="275">
      <c r="A275" s="154"/>
      <c r="B275" s="255">
        <v>45749.0</v>
      </c>
      <c r="C275" s="174">
        <v>14.72</v>
      </c>
      <c r="D275" s="256">
        <f t="shared" si="1"/>
        <v>0.04175513093</v>
      </c>
      <c r="E275" s="154"/>
      <c r="F275" s="255">
        <v>45749.0</v>
      </c>
      <c r="G275" s="174">
        <v>8.66</v>
      </c>
      <c r="H275" s="256">
        <f t="shared" si="2"/>
        <v>0.006976744186</v>
      </c>
      <c r="I275" s="154"/>
      <c r="J275" s="255">
        <v>45749.0</v>
      </c>
      <c r="K275" s="174">
        <v>15.29</v>
      </c>
      <c r="L275" s="256">
        <f t="shared" si="3"/>
        <v>0</v>
      </c>
      <c r="M275" s="154"/>
      <c r="N275" s="255">
        <v>45749.0</v>
      </c>
      <c r="O275" s="174">
        <v>1937.0</v>
      </c>
      <c r="P275" s="256">
        <f t="shared" si="4"/>
        <v>-0.005646817248</v>
      </c>
      <c r="Q275" s="154"/>
      <c r="R275" s="255">
        <v>45749.0</v>
      </c>
      <c r="S275" s="174">
        <v>27.91</v>
      </c>
      <c r="T275" s="256">
        <f t="shared" si="5"/>
        <v>0.007581227437</v>
      </c>
      <c r="U275" s="154"/>
      <c r="V275" s="255">
        <v>45749.0</v>
      </c>
      <c r="W275" s="174">
        <v>1150.0</v>
      </c>
      <c r="X275" s="256">
        <f t="shared" si="6"/>
        <v>-0.001909390731</v>
      </c>
      <c r="Y275" s="154"/>
      <c r="Z275" s="255">
        <v>45749.0</v>
      </c>
      <c r="AA275" s="174">
        <v>1452.35</v>
      </c>
      <c r="AB275" s="256">
        <f t="shared" si="7"/>
        <v>0.005608447291</v>
      </c>
      <c r="AC275" s="154"/>
      <c r="AD275" s="255">
        <v>45749.0</v>
      </c>
      <c r="AE275" s="174">
        <v>9.19</v>
      </c>
      <c r="AF275" s="256">
        <f t="shared" si="8"/>
        <v>-0.04668049793</v>
      </c>
      <c r="AG275" s="257"/>
      <c r="AH275" s="255">
        <v>45749.0</v>
      </c>
      <c r="AI275" s="174">
        <v>342.05</v>
      </c>
      <c r="AJ275" s="256">
        <f t="shared" si="9"/>
        <v>0.008699498673</v>
      </c>
      <c r="AK275" s="257"/>
      <c r="AL275" s="255">
        <v>45749.0</v>
      </c>
      <c r="AM275" s="174">
        <v>5670.97</v>
      </c>
      <c r="AN275" s="256">
        <f t="shared" si="10"/>
        <v>0.006728125161</v>
      </c>
      <c r="AO275" s="154"/>
      <c r="AP275" s="154"/>
    </row>
    <row r="276">
      <c r="A276" s="154"/>
      <c r="B276" s="255">
        <v>45748.0</v>
      </c>
      <c r="C276" s="174">
        <v>14.13</v>
      </c>
      <c r="D276" s="256">
        <f t="shared" si="1"/>
        <v>-0.05104096709</v>
      </c>
      <c r="E276" s="154"/>
      <c r="F276" s="255">
        <v>45748.0</v>
      </c>
      <c r="G276" s="174">
        <v>8.6</v>
      </c>
      <c r="H276" s="256">
        <f t="shared" si="2"/>
        <v>-0.01262916188</v>
      </c>
      <c r="I276" s="154"/>
      <c r="J276" s="255">
        <v>45748.0</v>
      </c>
      <c r="K276" s="174">
        <v>15.29</v>
      </c>
      <c r="L276" s="256">
        <f t="shared" si="3"/>
        <v>-0.005204944697</v>
      </c>
      <c r="M276" s="154"/>
      <c r="N276" s="255">
        <v>45748.0</v>
      </c>
      <c r="O276" s="174">
        <v>1948.0</v>
      </c>
      <c r="P276" s="256">
        <f t="shared" si="4"/>
        <v>-0.0005130836326</v>
      </c>
      <c r="Q276" s="154"/>
      <c r="R276" s="255">
        <v>45748.0</v>
      </c>
      <c r="S276" s="174">
        <v>27.7</v>
      </c>
      <c r="T276" s="256">
        <f t="shared" si="5"/>
        <v>-0.01212553495</v>
      </c>
      <c r="U276" s="154"/>
      <c r="V276" s="255">
        <v>45748.0</v>
      </c>
      <c r="W276" s="174">
        <v>1152.2</v>
      </c>
      <c r="X276" s="256">
        <f t="shared" si="6"/>
        <v>0.006991784653</v>
      </c>
      <c r="Y276" s="154"/>
      <c r="Z276" s="255">
        <v>45748.0</v>
      </c>
      <c r="AA276" s="174">
        <v>1444.25</v>
      </c>
      <c r="AB276" s="256">
        <f t="shared" si="7"/>
        <v>0.001421439467</v>
      </c>
      <c r="AC276" s="154"/>
      <c r="AD276" s="255">
        <v>45748.0</v>
      </c>
      <c r="AE276" s="174">
        <v>9.64</v>
      </c>
      <c r="AF276" s="256">
        <f t="shared" si="8"/>
        <v>-0.00310237849</v>
      </c>
      <c r="AG276" s="257"/>
      <c r="AH276" s="255">
        <v>45748.0</v>
      </c>
      <c r="AI276" s="174">
        <v>339.1</v>
      </c>
      <c r="AJ276" s="256">
        <f t="shared" si="9"/>
        <v>-0.002647058824</v>
      </c>
      <c r="AK276" s="257"/>
      <c r="AL276" s="255">
        <v>45748.0</v>
      </c>
      <c r="AM276" s="174">
        <v>5633.07</v>
      </c>
      <c r="AN276" s="256">
        <f t="shared" si="10"/>
        <v>0.003781284247</v>
      </c>
      <c r="AO276" s="154"/>
      <c r="AP276" s="154"/>
    </row>
    <row r="277">
      <c r="A277" s="154"/>
      <c r="B277" s="255">
        <v>45747.0</v>
      </c>
      <c r="C277" s="174">
        <v>14.89</v>
      </c>
      <c r="D277" s="256">
        <f t="shared" si="1"/>
        <v>0.02618883529</v>
      </c>
      <c r="E277" s="154"/>
      <c r="F277" s="255">
        <v>45747.0</v>
      </c>
      <c r="G277" s="174">
        <v>8.71</v>
      </c>
      <c r="H277" s="256">
        <f t="shared" si="2"/>
        <v>0.003456221198</v>
      </c>
      <c r="I277" s="154"/>
      <c r="J277" s="255">
        <v>45747.0</v>
      </c>
      <c r="K277" s="174">
        <v>15.37</v>
      </c>
      <c r="L277" s="256">
        <f t="shared" si="3"/>
        <v>0.01923076923</v>
      </c>
      <c r="M277" s="154"/>
      <c r="N277" s="255">
        <v>45747.0</v>
      </c>
      <c r="O277" s="174">
        <v>1949.0</v>
      </c>
      <c r="P277" s="256">
        <f t="shared" si="4"/>
        <v>-0.007131940907</v>
      </c>
      <c r="Q277" s="154"/>
      <c r="R277" s="255">
        <v>45747.0</v>
      </c>
      <c r="S277" s="174">
        <v>28.04</v>
      </c>
      <c r="T277" s="256">
        <f t="shared" si="5"/>
        <v>-0.0007127583749</v>
      </c>
      <c r="U277" s="154"/>
      <c r="V277" s="255">
        <v>45747.0</v>
      </c>
      <c r="W277" s="174">
        <v>1144.2</v>
      </c>
      <c r="X277" s="256">
        <f t="shared" si="6"/>
        <v>-0.006770833333</v>
      </c>
      <c r="Y277" s="154"/>
      <c r="Z277" s="255">
        <v>45747.0</v>
      </c>
      <c r="AA277" s="174">
        <v>1442.2</v>
      </c>
      <c r="AB277" s="256">
        <f t="shared" si="7"/>
        <v>-0.009478021978</v>
      </c>
      <c r="AC277" s="154"/>
      <c r="AD277" s="255">
        <v>45747.0</v>
      </c>
      <c r="AE277" s="174">
        <v>9.67</v>
      </c>
      <c r="AF277" s="256">
        <f t="shared" si="8"/>
        <v>0.01256544503</v>
      </c>
      <c r="AG277" s="257"/>
      <c r="AH277" s="255">
        <v>45747.0</v>
      </c>
      <c r="AI277" s="258">
        <v>340.0</v>
      </c>
      <c r="AJ277" s="256">
        <f t="shared" si="9"/>
        <v>-0.004975124378</v>
      </c>
      <c r="AK277" s="257"/>
      <c r="AL277" s="255">
        <v>45747.0</v>
      </c>
      <c r="AM277" s="174">
        <v>5611.85</v>
      </c>
      <c r="AN277" s="256">
        <f t="shared" si="10"/>
        <v>0.005538493515</v>
      </c>
      <c r="AO277" s="154"/>
      <c r="AP277" s="154"/>
    </row>
    <row r="278">
      <c r="A278" s="154"/>
      <c r="B278" s="255">
        <v>45744.0</v>
      </c>
      <c r="C278" s="174">
        <v>14.51</v>
      </c>
      <c r="D278" s="256">
        <f t="shared" si="1"/>
        <v>-0.003434065934</v>
      </c>
      <c r="E278" s="154"/>
      <c r="F278" s="255">
        <v>45744.0</v>
      </c>
      <c r="G278" s="174">
        <v>8.68</v>
      </c>
      <c r="H278" s="256">
        <f t="shared" si="2"/>
        <v>-0.01809954751</v>
      </c>
      <c r="I278" s="154"/>
      <c r="J278" s="255">
        <v>45744.0</v>
      </c>
      <c r="K278" s="174">
        <v>15.08</v>
      </c>
      <c r="L278" s="256">
        <f t="shared" si="3"/>
        <v>-0.02646868948</v>
      </c>
      <c r="M278" s="154"/>
      <c r="N278" s="255">
        <v>45744.0</v>
      </c>
      <c r="O278" s="174">
        <v>1963.0</v>
      </c>
      <c r="P278" s="256">
        <f t="shared" si="4"/>
        <v>-0.01653306613</v>
      </c>
      <c r="Q278" s="154"/>
      <c r="R278" s="255">
        <v>45744.0</v>
      </c>
      <c r="S278" s="174">
        <v>28.06</v>
      </c>
      <c r="T278" s="256">
        <f t="shared" si="5"/>
        <v>0.01117117117</v>
      </c>
      <c r="U278" s="154"/>
      <c r="V278" s="255">
        <v>45744.0</v>
      </c>
      <c r="W278" s="258">
        <v>1152.0</v>
      </c>
      <c r="X278" s="256">
        <f t="shared" si="6"/>
        <v>-0.00518134715</v>
      </c>
      <c r="Y278" s="154"/>
      <c r="Z278" s="255">
        <v>45744.0</v>
      </c>
      <c r="AA278" s="258">
        <v>1456.0</v>
      </c>
      <c r="AB278" s="256">
        <f t="shared" si="7"/>
        <v>-0.004103967168</v>
      </c>
      <c r="AC278" s="154"/>
      <c r="AD278" s="255">
        <v>45744.0</v>
      </c>
      <c r="AE278" s="174">
        <v>9.55</v>
      </c>
      <c r="AF278" s="256">
        <f t="shared" si="8"/>
        <v>-0.07818532819</v>
      </c>
      <c r="AG278" s="257"/>
      <c r="AH278" s="255">
        <v>45744.0</v>
      </c>
      <c r="AI278" s="174">
        <v>341.7</v>
      </c>
      <c r="AJ278" s="256">
        <f t="shared" si="9"/>
        <v>-0.01114165823</v>
      </c>
      <c r="AK278" s="257"/>
      <c r="AL278" s="255">
        <v>45744.0</v>
      </c>
      <c r="AM278" s="174">
        <v>5580.94</v>
      </c>
      <c r="AN278" s="256">
        <f t="shared" si="10"/>
        <v>-0.01973720033</v>
      </c>
      <c r="AO278" s="154"/>
      <c r="AP278" s="154"/>
    </row>
    <row r="279">
      <c r="A279" s="154"/>
      <c r="B279" s="255">
        <v>45743.0</v>
      </c>
      <c r="C279" s="174">
        <v>14.56</v>
      </c>
      <c r="D279" s="256">
        <f t="shared" si="1"/>
        <v>-0.0101971448</v>
      </c>
      <c r="E279" s="154"/>
      <c r="F279" s="255">
        <v>45743.0</v>
      </c>
      <c r="G279" s="174">
        <v>8.84</v>
      </c>
      <c r="H279" s="256">
        <f t="shared" si="2"/>
        <v>-0.01339285714</v>
      </c>
      <c r="I279" s="154"/>
      <c r="J279" s="255">
        <v>45743.0</v>
      </c>
      <c r="K279" s="174">
        <v>15.49</v>
      </c>
      <c r="L279" s="256">
        <f t="shared" si="3"/>
        <v>-0.01274697259</v>
      </c>
      <c r="M279" s="154"/>
      <c r="N279" s="255">
        <v>45743.0</v>
      </c>
      <c r="O279" s="174">
        <v>1996.0</v>
      </c>
      <c r="P279" s="256">
        <f t="shared" si="4"/>
        <v>-0.006965174129</v>
      </c>
      <c r="Q279" s="154"/>
      <c r="R279" s="255">
        <v>45743.0</v>
      </c>
      <c r="S279" s="174">
        <v>27.75</v>
      </c>
      <c r="T279" s="256">
        <f t="shared" si="5"/>
        <v>0.01425438596</v>
      </c>
      <c r="U279" s="154"/>
      <c r="V279" s="255">
        <v>45743.0</v>
      </c>
      <c r="W279" s="258">
        <v>1158.0</v>
      </c>
      <c r="X279" s="256">
        <f t="shared" si="6"/>
        <v>-0.005667181865</v>
      </c>
      <c r="Y279" s="154"/>
      <c r="Z279" s="255">
        <v>45743.0</v>
      </c>
      <c r="AA279" s="258">
        <v>1462.0</v>
      </c>
      <c r="AB279" s="256">
        <f t="shared" si="7"/>
        <v>-0.009619292779</v>
      </c>
      <c r="AC279" s="154"/>
      <c r="AD279" s="255">
        <v>45743.0</v>
      </c>
      <c r="AE279" s="174">
        <v>10.36</v>
      </c>
      <c r="AF279" s="256">
        <f t="shared" si="8"/>
        <v>-0.103030303</v>
      </c>
      <c r="AG279" s="257"/>
      <c r="AH279" s="255">
        <v>45743.0</v>
      </c>
      <c r="AI279" s="174">
        <v>345.55</v>
      </c>
      <c r="AJ279" s="256">
        <f t="shared" si="9"/>
        <v>-0.007895492392</v>
      </c>
      <c r="AK279" s="257"/>
      <c r="AL279" s="255">
        <v>45743.0</v>
      </c>
      <c r="AM279" s="174">
        <v>5693.31</v>
      </c>
      <c r="AN279" s="256">
        <f t="shared" si="10"/>
        <v>-0.003306957039</v>
      </c>
      <c r="AO279" s="154"/>
      <c r="AP279" s="154"/>
    </row>
    <row r="280">
      <c r="A280" s="154"/>
      <c r="B280" s="255">
        <v>45742.0</v>
      </c>
      <c r="C280" s="174">
        <v>14.71</v>
      </c>
      <c r="D280" s="256">
        <f t="shared" si="1"/>
        <v>-0.0006793478261</v>
      </c>
      <c r="E280" s="154"/>
      <c r="F280" s="255">
        <v>45742.0</v>
      </c>
      <c r="G280" s="174">
        <v>8.96</v>
      </c>
      <c r="H280" s="256">
        <f t="shared" si="2"/>
        <v>0.001117318436</v>
      </c>
      <c r="I280" s="154"/>
      <c r="J280" s="255">
        <v>45742.0</v>
      </c>
      <c r="K280" s="174">
        <v>15.69</v>
      </c>
      <c r="L280" s="256">
        <f t="shared" si="3"/>
        <v>-0.0006369426752</v>
      </c>
      <c r="M280" s="154"/>
      <c r="N280" s="255">
        <v>45742.0</v>
      </c>
      <c r="O280" s="174">
        <v>2010.0</v>
      </c>
      <c r="P280" s="256">
        <f t="shared" si="4"/>
        <v>0.001994017946</v>
      </c>
      <c r="Q280" s="154"/>
      <c r="R280" s="255">
        <v>45742.0</v>
      </c>
      <c r="S280" s="174">
        <v>27.36</v>
      </c>
      <c r="T280" s="256">
        <f t="shared" si="5"/>
        <v>0.005882352941</v>
      </c>
      <c r="U280" s="154"/>
      <c r="V280" s="255">
        <v>45742.0</v>
      </c>
      <c r="W280" s="174">
        <v>1164.6</v>
      </c>
      <c r="X280" s="256">
        <f t="shared" si="6"/>
        <v>-0.01129128109</v>
      </c>
      <c r="Y280" s="154"/>
      <c r="Z280" s="255">
        <v>45742.0</v>
      </c>
      <c r="AA280" s="174">
        <v>1476.2</v>
      </c>
      <c r="AB280" s="256">
        <f t="shared" si="7"/>
        <v>-0.02316040233</v>
      </c>
      <c r="AC280" s="154"/>
      <c r="AD280" s="255">
        <v>45742.0</v>
      </c>
      <c r="AE280" s="174">
        <v>11.55</v>
      </c>
      <c r="AF280" s="256">
        <f t="shared" si="8"/>
        <v>-0.009433962264</v>
      </c>
      <c r="AG280" s="257"/>
      <c r="AH280" s="255">
        <v>45742.0</v>
      </c>
      <c r="AI280" s="174">
        <v>348.3</v>
      </c>
      <c r="AJ280" s="256">
        <f t="shared" si="9"/>
        <v>0.0004308487721</v>
      </c>
      <c r="AK280" s="257"/>
      <c r="AL280" s="255">
        <v>45742.0</v>
      </c>
      <c r="AM280" s="174">
        <v>5712.2</v>
      </c>
      <c r="AN280" s="256">
        <f t="shared" si="10"/>
        <v>-0.01115698545</v>
      </c>
      <c r="AO280" s="154"/>
      <c r="AP280" s="154"/>
    </row>
    <row r="281">
      <c r="A281" s="154"/>
      <c r="B281" s="255">
        <v>45741.0</v>
      </c>
      <c r="C281" s="174">
        <v>14.72</v>
      </c>
      <c r="D281" s="256">
        <f t="shared" si="1"/>
        <v>-0.03979125897</v>
      </c>
      <c r="E281" s="154"/>
      <c r="F281" s="255">
        <v>45741.0</v>
      </c>
      <c r="G281" s="174">
        <v>8.95</v>
      </c>
      <c r="H281" s="256">
        <f t="shared" si="2"/>
        <v>-0.0376344086</v>
      </c>
      <c r="I281" s="154"/>
      <c r="J281" s="255">
        <v>45741.0</v>
      </c>
      <c r="K281" s="174">
        <v>15.7</v>
      </c>
      <c r="L281" s="256">
        <f t="shared" si="3"/>
        <v>-0.02966625464</v>
      </c>
      <c r="M281" s="154"/>
      <c r="N281" s="255">
        <v>45741.0</v>
      </c>
      <c r="O281" s="174">
        <v>2006.0</v>
      </c>
      <c r="P281" s="256">
        <f t="shared" si="4"/>
        <v>0.01007049345</v>
      </c>
      <c r="Q281" s="154"/>
      <c r="R281" s="255">
        <v>45741.0</v>
      </c>
      <c r="S281" s="174">
        <v>27.2</v>
      </c>
      <c r="T281" s="256">
        <f t="shared" si="5"/>
        <v>-0.01946647441</v>
      </c>
      <c r="U281" s="154"/>
      <c r="V281" s="255">
        <v>45741.0</v>
      </c>
      <c r="W281" s="174">
        <v>1177.9</v>
      </c>
      <c r="X281" s="256">
        <f t="shared" si="6"/>
        <v>-0.02677022226</v>
      </c>
      <c r="Y281" s="154"/>
      <c r="Z281" s="255">
        <v>45741.0</v>
      </c>
      <c r="AA281" s="174">
        <v>1511.2</v>
      </c>
      <c r="AB281" s="256">
        <f t="shared" si="7"/>
        <v>-0.008431481907</v>
      </c>
      <c r="AC281" s="154"/>
      <c r="AD281" s="255">
        <v>45741.0</v>
      </c>
      <c r="AE281" s="174">
        <v>11.66</v>
      </c>
      <c r="AF281" s="256">
        <f t="shared" si="8"/>
        <v>0.008650519031</v>
      </c>
      <c r="AG281" s="257"/>
      <c r="AH281" s="255">
        <v>45741.0</v>
      </c>
      <c r="AI281" s="174">
        <v>348.15</v>
      </c>
      <c r="AJ281" s="256">
        <f t="shared" si="9"/>
        <v>-0.003292298883</v>
      </c>
      <c r="AK281" s="257"/>
      <c r="AL281" s="255">
        <v>45741.0</v>
      </c>
      <c r="AM281" s="174">
        <v>5776.65</v>
      </c>
      <c r="AN281" s="256">
        <f t="shared" si="10"/>
        <v>0.001574319861</v>
      </c>
      <c r="AO281" s="154"/>
      <c r="AP281" s="154"/>
    </row>
    <row r="282">
      <c r="A282" s="154"/>
      <c r="B282" s="255">
        <v>45740.0</v>
      </c>
      <c r="C282" s="174">
        <v>15.33</v>
      </c>
      <c r="D282" s="256">
        <f t="shared" si="1"/>
        <v>-0.003898635478</v>
      </c>
      <c r="E282" s="154"/>
      <c r="F282" s="255">
        <v>45740.0</v>
      </c>
      <c r="G282" s="174">
        <v>9.3</v>
      </c>
      <c r="H282" s="256">
        <f t="shared" si="2"/>
        <v>0.01639344262</v>
      </c>
      <c r="I282" s="154"/>
      <c r="J282" s="255">
        <v>45740.0</v>
      </c>
      <c r="K282" s="174">
        <v>16.18</v>
      </c>
      <c r="L282" s="256">
        <f t="shared" si="3"/>
        <v>0.004968944099</v>
      </c>
      <c r="M282" s="154"/>
      <c r="N282" s="255">
        <v>45740.0</v>
      </c>
      <c r="O282" s="174">
        <v>1986.0</v>
      </c>
      <c r="P282" s="256">
        <f t="shared" si="4"/>
        <v>-0.01683168317</v>
      </c>
      <c r="Q282" s="154"/>
      <c r="R282" s="255">
        <v>45740.0</v>
      </c>
      <c r="S282" s="174">
        <v>27.74</v>
      </c>
      <c r="T282" s="256">
        <f t="shared" si="5"/>
        <v>-0.007158196135</v>
      </c>
      <c r="U282" s="154"/>
      <c r="V282" s="255">
        <v>45740.0</v>
      </c>
      <c r="W282" s="174">
        <v>1210.3</v>
      </c>
      <c r="X282" s="256">
        <f t="shared" si="6"/>
        <v>0.008457276174</v>
      </c>
      <c r="Y282" s="154"/>
      <c r="Z282" s="255">
        <v>45740.0</v>
      </c>
      <c r="AA282" s="174">
        <v>1524.05</v>
      </c>
      <c r="AB282" s="256">
        <f t="shared" si="7"/>
        <v>0.0001312465138</v>
      </c>
      <c r="AC282" s="154"/>
      <c r="AD282" s="255">
        <v>45740.0</v>
      </c>
      <c r="AE282" s="174">
        <v>11.56</v>
      </c>
      <c r="AF282" s="256">
        <f t="shared" si="8"/>
        <v>-0.0008643042351</v>
      </c>
      <c r="AG282" s="257"/>
      <c r="AH282" s="255">
        <v>45740.0</v>
      </c>
      <c r="AI282" s="174">
        <v>349.3</v>
      </c>
      <c r="AJ282" s="256">
        <f t="shared" si="9"/>
        <v>0.01511188608</v>
      </c>
      <c r="AK282" s="257"/>
      <c r="AL282" s="255">
        <v>45740.0</v>
      </c>
      <c r="AM282" s="174">
        <v>5767.57</v>
      </c>
      <c r="AN282" s="256">
        <f t="shared" si="10"/>
        <v>0.01764604168</v>
      </c>
      <c r="AO282" s="154"/>
      <c r="AP282" s="154"/>
    </row>
    <row r="283">
      <c r="A283" s="154"/>
      <c r="B283" s="255">
        <v>45737.0</v>
      </c>
      <c r="C283" s="174">
        <v>15.39</v>
      </c>
      <c r="D283" s="256">
        <f t="shared" si="1"/>
        <v>-0.01346153846</v>
      </c>
      <c r="E283" s="154"/>
      <c r="F283" s="255">
        <v>45737.0</v>
      </c>
      <c r="G283" s="174">
        <v>9.15</v>
      </c>
      <c r="H283" s="256">
        <f t="shared" si="2"/>
        <v>-0.03072033898</v>
      </c>
      <c r="I283" s="154"/>
      <c r="J283" s="255">
        <v>45737.0</v>
      </c>
      <c r="K283" s="174">
        <v>16.1</v>
      </c>
      <c r="L283" s="256">
        <f t="shared" si="3"/>
        <v>-0.008620689655</v>
      </c>
      <c r="M283" s="154"/>
      <c r="N283" s="255">
        <v>45737.0</v>
      </c>
      <c r="O283" s="174">
        <v>2020.0</v>
      </c>
      <c r="P283" s="256">
        <f t="shared" si="4"/>
        <v>-0.0009891196835</v>
      </c>
      <c r="Q283" s="154"/>
      <c r="R283" s="255">
        <v>45737.0</v>
      </c>
      <c r="S283" s="174">
        <v>27.94</v>
      </c>
      <c r="T283" s="256">
        <f t="shared" si="5"/>
        <v>-0.01930501931</v>
      </c>
      <c r="U283" s="154"/>
      <c r="V283" s="255">
        <v>45737.0</v>
      </c>
      <c r="W283" s="174">
        <v>1200.15</v>
      </c>
      <c r="X283" s="256">
        <f t="shared" si="6"/>
        <v>0.01090801887</v>
      </c>
      <c r="Y283" s="154"/>
      <c r="Z283" s="255">
        <v>45737.0</v>
      </c>
      <c r="AA283" s="174">
        <v>1523.85</v>
      </c>
      <c r="AB283" s="256">
        <f t="shared" si="7"/>
        <v>0.007803974736</v>
      </c>
      <c r="AC283" s="154"/>
      <c r="AD283" s="255">
        <v>45737.0</v>
      </c>
      <c r="AE283" s="174">
        <v>11.57</v>
      </c>
      <c r="AF283" s="256">
        <f t="shared" si="8"/>
        <v>0.001731601732</v>
      </c>
      <c r="AG283" s="257"/>
      <c r="AH283" s="255">
        <v>45737.0</v>
      </c>
      <c r="AI283" s="174">
        <v>344.1</v>
      </c>
      <c r="AJ283" s="256">
        <f t="shared" si="9"/>
        <v>0.008795074758</v>
      </c>
      <c r="AK283" s="257"/>
      <c r="AL283" s="255">
        <v>45737.0</v>
      </c>
      <c r="AM283" s="174">
        <v>5667.56</v>
      </c>
      <c r="AN283" s="256">
        <f t="shared" si="10"/>
        <v>0.0008246672635</v>
      </c>
      <c r="AO283" s="154"/>
      <c r="AP283" s="154"/>
    </row>
    <row r="284">
      <c r="A284" s="154"/>
      <c r="B284" s="255">
        <v>45736.0</v>
      </c>
      <c r="C284" s="174">
        <v>15.6</v>
      </c>
      <c r="D284" s="256">
        <f t="shared" si="1"/>
        <v>-0.01203293224</v>
      </c>
      <c r="E284" s="154"/>
      <c r="F284" s="255">
        <v>45736.0</v>
      </c>
      <c r="G284" s="174">
        <v>9.44</v>
      </c>
      <c r="H284" s="256">
        <f t="shared" si="2"/>
        <v>0.002123142251</v>
      </c>
      <c r="I284" s="154"/>
      <c r="J284" s="255">
        <v>45736.0</v>
      </c>
      <c r="K284" s="174">
        <v>16.24</v>
      </c>
      <c r="L284" s="256">
        <f t="shared" si="3"/>
        <v>-0.00306936771</v>
      </c>
      <c r="M284" s="154"/>
      <c r="N284" s="255">
        <v>45736.0</v>
      </c>
      <c r="O284" s="174">
        <v>2022.0</v>
      </c>
      <c r="P284" s="256">
        <f t="shared" si="4"/>
        <v>-0.02788461538</v>
      </c>
      <c r="Q284" s="154"/>
      <c r="R284" s="255">
        <v>45736.0</v>
      </c>
      <c r="S284" s="174">
        <v>28.49</v>
      </c>
      <c r="T284" s="256">
        <f t="shared" si="5"/>
        <v>0.0218794835</v>
      </c>
      <c r="U284" s="154"/>
      <c r="V284" s="255">
        <v>45736.0</v>
      </c>
      <c r="W284" s="174">
        <v>1187.2</v>
      </c>
      <c r="X284" s="256">
        <f t="shared" si="6"/>
        <v>0.01288285982</v>
      </c>
      <c r="Y284" s="154"/>
      <c r="Z284" s="255">
        <v>45736.0</v>
      </c>
      <c r="AA284" s="174">
        <v>1512.05</v>
      </c>
      <c r="AB284" s="256">
        <f t="shared" si="7"/>
        <v>0.008604876096</v>
      </c>
      <c r="AC284" s="154"/>
      <c r="AD284" s="255">
        <v>45736.0</v>
      </c>
      <c r="AE284" s="174">
        <v>11.55</v>
      </c>
      <c r="AF284" s="256">
        <f t="shared" si="8"/>
        <v>0.01851851852</v>
      </c>
      <c r="AG284" s="257"/>
      <c r="AH284" s="255">
        <v>45736.0</v>
      </c>
      <c r="AI284" s="174">
        <v>341.1</v>
      </c>
      <c r="AJ284" s="256">
        <f t="shared" si="9"/>
        <v>-0.002339865458</v>
      </c>
      <c r="AK284" s="257"/>
      <c r="AL284" s="255">
        <v>45736.0</v>
      </c>
      <c r="AM284" s="174">
        <v>5662.89</v>
      </c>
      <c r="AN284" s="256">
        <f t="shared" si="10"/>
        <v>-0.002184910375</v>
      </c>
      <c r="AO284" s="154"/>
      <c r="AP284" s="154"/>
    </row>
    <row r="285">
      <c r="A285" s="154"/>
      <c r="B285" s="255">
        <v>45735.0</v>
      </c>
      <c r="C285" s="174">
        <v>15.79</v>
      </c>
      <c r="D285" s="256">
        <f t="shared" si="1"/>
        <v>0.005732484076</v>
      </c>
      <c r="E285" s="154"/>
      <c r="F285" s="255">
        <v>45735.0</v>
      </c>
      <c r="G285" s="174">
        <v>9.42</v>
      </c>
      <c r="H285" s="256">
        <f t="shared" si="2"/>
        <v>-0.01050420168</v>
      </c>
      <c r="I285" s="154"/>
      <c r="J285" s="255">
        <v>45735.0</v>
      </c>
      <c r="K285" s="174">
        <v>16.29</v>
      </c>
      <c r="L285" s="256">
        <f t="shared" si="3"/>
        <v>-0.01152912621</v>
      </c>
      <c r="M285" s="154"/>
      <c r="N285" s="255">
        <v>45735.0</v>
      </c>
      <c r="O285" s="174">
        <v>2080.0</v>
      </c>
      <c r="P285" s="256">
        <f t="shared" si="4"/>
        <v>0.01068999028</v>
      </c>
      <c r="Q285" s="154"/>
      <c r="R285" s="255">
        <v>45735.0</v>
      </c>
      <c r="S285" s="174">
        <v>27.88</v>
      </c>
      <c r="T285" s="256">
        <f t="shared" si="5"/>
        <v>0.0003588087549</v>
      </c>
      <c r="U285" s="154"/>
      <c r="V285" s="255">
        <v>45735.0</v>
      </c>
      <c r="W285" s="174">
        <v>1172.1</v>
      </c>
      <c r="X285" s="256">
        <f t="shared" si="6"/>
        <v>0.007218355246</v>
      </c>
      <c r="Y285" s="154"/>
      <c r="Z285" s="255">
        <v>45735.0</v>
      </c>
      <c r="AA285" s="174">
        <v>1499.15</v>
      </c>
      <c r="AB285" s="256">
        <f t="shared" si="7"/>
        <v>-0.006297020515</v>
      </c>
      <c r="AC285" s="154"/>
      <c r="AD285" s="255">
        <v>45735.0</v>
      </c>
      <c r="AE285" s="174">
        <v>11.34</v>
      </c>
      <c r="AF285" s="256">
        <f t="shared" si="8"/>
        <v>0</v>
      </c>
      <c r="AG285" s="257"/>
      <c r="AH285" s="255">
        <v>45735.0</v>
      </c>
      <c r="AI285" s="174">
        <v>341.9</v>
      </c>
      <c r="AJ285" s="256">
        <f t="shared" si="9"/>
        <v>0.01650066895</v>
      </c>
      <c r="AK285" s="257"/>
      <c r="AL285" s="255">
        <v>45735.0</v>
      </c>
      <c r="AM285" s="174">
        <v>5675.29</v>
      </c>
      <c r="AN285" s="256">
        <f t="shared" si="10"/>
        <v>0.01079851674</v>
      </c>
      <c r="AO285" s="154"/>
      <c r="AP285" s="154"/>
    </row>
    <row r="286">
      <c r="A286" s="154"/>
      <c r="B286" s="255">
        <v>45734.0</v>
      </c>
      <c r="C286" s="174">
        <v>15.7</v>
      </c>
      <c r="D286" s="256">
        <f t="shared" si="1"/>
        <v>0.005121638924</v>
      </c>
      <c r="E286" s="154"/>
      <c r="F286" s="255">
        <v>45734.0</v>
      </c>
      <c r="G286" s="174">
        <v>9.52</v>
      </c>
      <c r="H286" s="256">
        <f t="shared" si="2"/>
        <v>0.02918918919</v>
      </c>
      <c r="I286" s="154"/>
      <c r="J286" s="255">
        <v>45734.0</v>
      </c>
      <c r="K286" s="174">
        <v>16.48</v>
      </c>
      <c r="L286" s="256">
        <f t="shared" si="3"/>
        <v>-0.01376421305</v>
      </c>
      <c r="M286" s="154"/>
      <c r="N286" s="255">
        <v>45734.0</v>
      </c>
      <c r="O286" s="174">
        <v>2058.0</v>
      </c>
      <c r="P286" s="256">
        <f t="shared" si="4"/>
        <v>0.01379310345</v>
      </c>
      <c r="Q286" s="154"/>
      <c r="R286" s="255">
        <v>45734.0</v>
      </c>
      <c r="S286" s="174">
        <v>27.87</v>
      </c>
      <c r="T286" s="256">
        <f t="shared" si="5"/>
        <v>-0.01414927485</v>
      </c>
      <c r="U286" s="154"/>
      <c r="V286" s="255">
        <v>45734.0</v>
      </c>
      <c r="W286" s="174">
        <v>1163.7</v>
      </c>
      <c r="X286" s="256">
        <f t="shared" si="6"/>
        <v>0.0112974711</v>
      </c>
      <c r="Y286" s="154"/>
      <c r="Z286" s="255">
        <v>45734.0</v>
      </c>
      <c r="AA286" s="174">
        <v>1508.65</v>
      </c>
      <c r="AB286" s="256">
        <f t="shared" si="7"/>
        <v>0.01075304837</v>
      </c>
      <c r="AC286" s="154"/>
      <c r="AD286" s="255">
        <v>45734.0</v>
      </c>
      <c r="AE286" s="174">
        <v>11.34</v>
      </c>
      <c r="AF286" s="256">
        <f t="shared" si="8"/>
        <v>0.002652519894</v>
      </c>
      <c r="AG286" s="257"/>
      <c r="AH286" s="255">
        <v>45734.0</v>
      </c>
      <c r="AI286" s="174">
        <v>336.35</v>
      </c>
      <c r="AJ286" s="256">
        <f t="shared" si="9"/>
        <v>0.009302325581</v>
      </c>
      <c r="AK286" s="257"/>
      <c r="AL286" s="255">
        <v>45734.0</v>
      </c>
      <c r="AM286" s="174">
        <v>5614.66</v>
      </c>
      <c r="AN286" s="256">
        <f t="shared" si="10"/>
        <v>-0.01065351922</v>
      </c>
      <c r="AO286" s="154"/>
      <c r="AP286" s="154"/>
    </row>
    <row r="287">
      <c r="A287" s="154"/>
      <c r="B287" s="255">
        <v>45733.0</v>
      </c>
      <c r="C287" s="174">
        <v>15.62</v>
      </c>
      <c r="D287" s="256">
        <f t="shared" si="1"/>
        <v>0.04411764706</v>
      </c>
      <c r="E287" s="154"/>
      <c r="F287" s="255">
        <v>45733.0</v>
      </c>
      <c r="G287" s="174">
        <v>9.25</v>
      </c>
      <c r="H287" s="256">
        <f t="shared" si="2"/>
        <v>0.03006681514</v>
      </c>
      <c r="I287" s="154"/>
      <c r="J287" s="255">
        <v>45733.0</v>
      </c>
      <c r="K287" s="174">
        <v>16.71</v>
      </c>
      <c r="L287" s="256">
        <f t="shared" si="3"/>
        <v>0.01518833536</v>
      </c>
      <c r="M287" s="154"/>
      <c r="N287" s="255">
        <v>45733.0</v>
      </c>
      <c r="O287" s="174">
        <v>2030.0</v>
      </c>
      <c r="P287" s="256">
        <f t="shared" si="4"/>
        <v>0.006944444444</v>
      </c>
      <c r="Q287" s="154"/>
      <c r="R287" s="255">
        <v>45733.0</v>
      </c>
      <c r="S287" s="174">
        <v>28.27</v>
      </c>
      <c r="T287" s="256">
        <f t="shared" si="5"/>
        <v>0.05327868852</v>
      </c>
      <c r="U287" s="154"/>
      <c r="V287" s="255">
        <v>45733.0</v>
      </c>
      <c r="W287" s="174">
        <v>1150.7</v>
      </c>
      <c r="X287" s="256">
        <f t="shared" si="6"/>
        <v>0.03858477368</v>
      </c>
      <c r="Y287" s="154"/>
      <c r="Z287" s="255">
        <v>45733.0</v>
      </c>
      <c r="AA287" s="174">
        <v>1492.6</v>
      </c>
      <c r="AB287" s="256">
        <f t="shared" si="7"/>
        <v>0.0210000684</v>
      </c>
      <c r="AC287" s="154"/>
      <c r="AD287" s="255">
        <v>45733.0</v>
      </c>
      <c r="AE287" s="174">
        <v>11.31</v>
      </c>
      <c r="AF287" s="256">
        <f t="shared" si="8"/>
        <v>0.01162790698</v>
      </c>
      <c r="AG287" s="257"/>
      <c r="AH287" s="255">
        <v>45733.0</v>
      </c>
      <c r="AI287" s="174">
        <v>333.25</v>
      </c>
      <c r="AJ287" s="256">
        <f t="shared" si="9"/>
        <v>0.03157405974</v>
      </c>
      <c r="AK287" s="257"/>
      <c r="AL287" s="255">
        <v>45733.0</v>
      </c>
      <c r="AM287" s="174">
        <v>5675.12</v>
      </c>
      <c r="AN287" s="256">
        <f t="shared" si="10"/>
        <v>0.02781842681</v>
      </c>
      <c r="AO287" s="154"/>
      <c r="AP287" s="154"/>
    </row>
    <row r="288">
      <c r="A288" s="154"/>
      <c r="B288" s="255">
        <v>45729.0</v>
      </c>
      <c r="C288" s="174">
        <v>14.96</v>
      </c>
      <c r="D288" s="256">
        <f t="shared" si="1"/>
        <v>-0.002666666667</v>
      </c>
      <c r="E288" s="154"/>
      <c r="F288" s="255">
        <v>45729.0</v>
      </c>
      <c r="G288" s="174">
        <v>8.98</v>
      </c>
      <c r="H288" s="256">
        <f t="shared" si="2"/>
        <v>-0.02813852814</v>
      </c>
      <c r="I288" s="154"/>
      <c r="J288" s="255">
        <v>45729.0</v>
      </c>
      <c r="K288" s="174">
        <v>16.46</v>
      </c>
      <c r="L288" s="256">
        <f t="shared" si="3"/>
        <v>-0.001213592233</v>
      </c>
      <c r="M288" s="154"/>
      <c r="N288" s="255">
        <v>45729.0</v>
      </c>
      <c r="O288" s="174">
        <v>2016.0</v>
      </c>
      <c r="P288" s="256">
        <f t="shared" si="4"/>
        <v>-0.02702702703</v>
      </c>
      <c r="Q288" s="154"/>
      <c r="R288" s="255">
        <v>45729.0</v>
      </c>
      <c r="S288" s="174">
        <v>26.84</v>
      </c>
      <c r="T288" s="256">
        <f t="shared" si="5"/>
        <v>-0.02328966521</v>
      </c>
      <c r="U288" s="154"/>
      <c r="V288" s="255">
        <v>45729.0</v>
      </c>
      <c r="W288" s="174">
        <v>1107.95</v>
      </c>
      <c r="X288" s="256">
        <f t="shared" si="6"/>
        <v>0.002533592725</v>
      </c>
      <c r="Y288" s="154"/>
      <c r="Z288" s="255">
        <v>45729.0</v>
      </c>
      <c r="AA288" s="174">
        <v>1461.9</v>
      </c>
      <c r="AB288" s="256">
        <f t="shared" si="7"/>
        <v>0.005225881868</v>
      </c>
      <c r="AC288" s="154"/>
      <c r="AD288" s="255">
        <v>45729.0</v>
      </c>
      <c r="AE288" s="174">
        <v>11.18</v>
      </c>
      <c r="AF288" s="256">
        <f t="shared" si="8"/>
        <v>-0.01671064204</v>
      </c>
      <c r="AG288" s="257"/>
      <c r="AH288" s="255">
        <v>45729.0</v>
      </c>
      <c r="AI288" s="174">
        <v>323.05</v>
      </c>
      <c r="AJ288" s="256">
        <f t="shared" si="9"/>
        <v>-0.006305752076</v>
      </c>
      <c r="AK288" s="257"/>
      <c r="AL288" s="255">
        <v>45729.0</v>
      </c>
      <c r="AM288" s="174">
        <v>5521.52</v>
      </c>
      <c r="AN288" s="256">
        <f t="shared" si="10"/>
        <v>-0.01389102209</v>
      </c>
      <c r="AO288" s="154"/>
      <c r="AP288" s="154"/>
    </row>
    <row r="289">
      <c r="A289" s="154"/>
      <c r="B289" s="255">
        <v>45728.0</v>
      </c>
      <c r="C289" s="174">
        <v>15.0</v>
      </c>
      <c r="D289" s="256">
        <f t="shared" si="1"/>
        <v>-0.03846153846</v>
      </c>
      <c r="E289" s="154"/>
      <c r="F289" s="255">
        <v>45728.0</v>
      </c>
      <c r="G289" s="174">
        <v>9.24</v>
      </c>
      <c r="H289" s="256">
        <f t="shared" si="2"/>
        <v>-0.01070663812</v>
      </c>
      <c r="I289" s="154"/>
      <c r="J289" s="255">
        <v>45728.0</v>
      </c>
      <c r="K289" s="174">
        <v>16.48</v>
      </c>
      <c r="L289" s="256">
        <f t="shared" si="3"/>
        <v>0.02360248447</v>
      </c>
      <c r="M289" s="154"/>
      <c r="N289" s="255">
        <v>45728.0</v>
      </c>
      <c r="O289" s="174">
        <v>2072.0</v>
      </c>
      <c r="P289" s="256">
        <f t="shared" si="4"/>
        <v>-0.01520912548</v>
      </c>
      <c r="Q289" s="154"/>
      <c r="R289" s="255">
        <v>45728.0</v>
      </c>
      <c r="S289" s="174">
        <v>27.48</v>
      </c>
      <c r="T289" s="256">
        <f t="shared" si="5"/>
        <v>-0.0143472023</v>
      </c>
      <c r="U289" s="154"/>
      <c r="V289" s="255">
        <v>45728.0</v>
      </c>
      <c r="W289" s="174">
        <v>1105.15</v>
      </c>
      <c r="X289" s="256">
        <f t="shared" si="6"/>
        <v>-0.01029866117</v>
      </c>
      <c r="Y289" s="154"/>
      <c r="Z289" s="255">
        <v>45728.0</v>
      </c>
      <c r="AA289" s="174">
        <v>1454.3</v>
      </c>
      <c r="AB289" s="256">
        <f t="shared" si="7"/>
        <v>0.005913885527</v>
      </c>
      <c r="AC289" s="154"/>
      <c r="AD289" s="255">
        <v>45728.0</v>
      </c>
      <c r="AE289" s="174">
        <v>11.37</v>
      </c>
      <c r="AF289" s="256">
        <f t="shared" si="8"/>
        <v>0.05180388529</v>
      </c>
      <c r="AG289" s="257"/>
      <c r="AH289" s="255">
        <v>45728.0</v>
      </c>
      <c r="AI289" s="174">
        <v>325.1</v>
      </c>
      <c r="AJ289" s="256">
        <f t="shared" si="9"/>
        <v>-0.01155366373</v>
      </c>
      <c r="AK289" s="257"/>
      <c r="AL289" s="255">
        <v>45728.0</v>
      </c>
      <c r="AM289" s="174">
        <v>5599.3</v>
      </c>
      <c r="AN289" s="256">
        <f t="shared" si="10"/>
        <v>0.00488687328</v>
      </c>
      <c r="AO289" s="154"/>
      <c r="AP289" s="154"/>
    </row>
    <row r="290">
      <c r="A290" s="154"/>
      <c r="B290" s="255">
        <v>45727.0</v>
      </c>
      <c r="C290" s="174">
        <v>15.6</v>
      </c>
      <c r="D290" s="256">
        <f t="shared" si="1"/>
        <v>-0.00826446281</v>
      </c>
      <c r="E290" s="154"/>
      <c r="F290" s="255">
        <v>45727.0</v>
      </c>
      <c r="G290" s="174">
        <v>9.34</v>
      </c>
      <c r="H290" s="256">
        <f t="shared" si="2"/>
        <v>-0.01684210526</v>
      </c>
      <c r="I290" s="154"/>
      <c r="J290" s="255">
        <v>45727.0</v>
      </c>
      <c r="K290" s="174">
        <v>16.1</v>
      </c>
      <c r="L290" s="256">
        <f t="shared" si="3"/>
        <v>0.09747784594</v>
      </c>
      <c r="M290" s="154"/>
      <c r="N290" s="255">
        <v>45727.0</v>
      </c>
      <c r="O290" s="174">
        <v>2104.0</v>
      </c>
      <c r="P290" s="256">
        <f t="shared" si="4"/>
        <v>-0.006610009443</v>
      </c>
      <c r="Q290" s="154"/>
      <c r="R290" s="255">
        <v>45727.0</v>
      </c>
      <c r="S290" s="174">
        <v>27.88</v>
      </c>
      <c r="T290" s="256">
        <f t="shared" si="5"/>
        <v>0.01603498542</v>
      </c>
      <c r="U290" s="154"/>
      <c r="V290" s="255">
        <v>45727.0</v>
      </c>
      <c r="W290" s="174">
        <v>1116.65</v>
      </c>
      <c r="X290" s="256">
        <f t="shared" si="6"/>
        <v>-0.003169076951</v>
      </c>
      <c r="Y290" s="154"/>
      <c r="Z290" s="255">
        <v>45727.0</v>
      </c>
      <c r="AA290" s="174">
        <v>1445.75</v>
      </c>
      <c r="AB290" s="256">
        <f t="shared" si="7"/>
        <v>-0.01162194497</v>
      </c>
      <c r="AC290" s="154"/>
      <c r="AD290" s="255">
        <v>45727.0</v>
      </c>
      <c r="AE290" s="174">
        <v>10.81</v>
      </c>
      <c r="AF290" s="256">
        <f t="shared" si="8"/>
        <v>0.01028037383</v>
      </c>
      <c r="AG290" s="257"/>
      <c r="AH290" s="255">
        <v>45727.0</v>
      </c>
      <c r="AI290" s="174">
        <v>328.9</v>
      </c>
      <c r="AJ290" s="256">
        <f t="shared" si="9"/>
        <v>0.002285540149</v>
      </c>
      <c r="AK290" s="257"/>
      <c r="AL290" s="255">
        <v>45727.0</v>
      </c>
      <c r="AM290" s="174">
        <v>5572.07</v>
      </c>
      <c r="AN290" s="256">
        <f t="shared" si="10"/>
        <v>-0.007567823658</v>
      </c>
      <c r="AO290" s="154"/>
      <c r="AP290" s="154"/>
    </row>
    <row r="291">
      <c r="A291" s="154"/>
      <c r="B291" s="255">
        <v>45726.0</v>
      </c>
      <c r="C291" s="174">
        <v>15.73</v>
      </c>
      <c r="D291" s="256">
        <f t="shared" si="1"/>
        <v>0.01878238342</v>
      </c>
      <c r="E291" s="154"/>
      <c r="F291" s="255">
        <v>45726.0</v>
      </c>
      <c r="G291" s="174">
        <v>9.5</v>
      </c>
      <c r="H291" s="256">
        <f t="shared" si="2"/>
        <v>-0.01554404145</v>
      </c>
      <c r="I291" s="154"/>
      <c r="J291" s="255">
        <v>45726.0</v>
      </c>
      <c r="K291" s="174">
        <v>14.67</v>
      </c>
      <c r="L291" s="256">
        <f t="shared" si="3"/>
        <v>-0.044921875</v>
      </c>
      <c r="M291" s="154"/>
      <c r="N291" s="255">
        <v>45726.0</v>
      </c>
      <c r="O291" s="174">
        <v>2118.0</v>
      </c>
      <c r="P291" s="256">
        <f t="shared" si="4"/>
        <v>-0.002824858757</v>
      </c>
      <c r="Q291" s="154"/>
      <c r="R291" s="255">
        <v>45726.0</v>
      </c>
      <c r="S291" s="174">
        <v>27.44</v>
      </c>
      <c r="T291" s="256">
        <f t="shared" si="5"/>
        <v>-0.01152737752</v>
      </c>
      <c r="U291" s="154"/>
      <c r="V291" s="255">
        <v>45726.0</v>
      </c>
      <c r="W291" s="174">
        <v>1120.2</v>
      </c>
      <c r="X291" s="256">
        <f t="shared" si="6"/>
        <v>-0.01151555261</v>
      </c>
      <c r="Y291" s="154"/>
      <c r="Z291" s="255">
        <v>45726.0</v>
      </c>
      <c r="AA291" s="174">
        <v>1462.75</v>
      </c>
      <c r="AB291" s="256">
        <f t="shared" si="7"/>
        <v>0.002948335562</v>
      </c>
      <c r="AC291" s="154"/>
      <c r="AD291" s="255">
        <v>45726.0</v>
      </c>
      <c r="AE291" s="174">
        <v>10.7</v>
      </c>
      <c r="AF291" s="256">
        <f t="shared" si="8"/>
        <v>-0.04035874439</v>
      </c>
      <c r="AG291" s="257"/>
      <c r="AH291" s="255">
        <v>45726.0</v>
      </c>
      <c r="AI291" s="174">
        <v>328.15</v>
      </c>
      <c r="AJ291" s="256">
        <f t="shared" si="9"/>
        <v>-0.01663170512</v>
      </c>
      <c r="AK291" s="257"/>
      <c r="AL291" s="255">
        <v>45726.0</v>
      </c>
      <c r="AM291" s="174">
        <v>5614.56</v>
      </c>
      <c r="AN291" s="256">
        <f t="shared" si="10"/>
        <v>-0.02697306852</v>
      </c>
      <c r="AO291" s="154"/>
      <c r="AP291" s="154"/>
    </row>
    <row r="292">
      <c r="A292" s="154"/>
      <c r="B292" s="255">
        <v>45723.0</v>
      </c>
      <c r="C292" s="174">
        <v>15.44</v>
      </c>
      <c r="D292" s="256">
        <f t="shared" si="1"/>
        <v>0.03903095559</v>
      </c>
      <c r="E292" s="154"/>
      <c r="F292" s="255">
        <v>45723.0</v>
      </c>
      <c r="G292" s="174">
        <v>9.65</v>
      </c>
      <c r="H292" s="256">
        <f t="shared" si="2"/>
        <v>0.01472134595</v>
      </c>
      <c r="I292" s="154"/>
      <c r="J292" s="255">
        <v>45723.0</v>
      </c>
      <c r="K292" s="174">
        <v>15.36</v>
      </c>
      <c r="L292" s="256">
        <f t="shared" si="3"/>
        <v>0.000651465798</v>
      </c>
      <c r="M292" s="154"/>
      <c r="N292" s="255">
        <v>45723.0</v>
      </c>
      <c r="O292" s="174">
        <v>2124.0</v>
      </c>
      <c r="P292" s="256">
        <f t="shared" si="4"/>
        <v>-0.01848428835</v>
      </c>
      <c r="Q292" s="154"/>
      <c r="R292" s="255">
        <v>45723.0</v>
      </c>
      <c r="S292" s="174">
        <v>27.76</v>
      </c>
      <c r="T292" s="256">
        <f t="shared" si="5"/>
        <v>-0.03207810321</v>
      </c>
      <c r="U292" s="154"/>
      <c r="V292" s="255">
        <v>45723.0</v>
      </c>
      <c r="W292" s="174">
        <v>1133.25</v>
      </c>
      <c r="X292" s="256">
        <f t="shared" si="6"/>
        <v>-0.006008244891</v>
      </c>
      <c r="Y292" s="154"/>
      <c r="Z292" s="255">
        <v>45723.0</v>
      </c>
      <c r="AA292" s="174">
        <v>1458.45</v>
      </c>
      <c r="AB292" s="256">
        <f t="shared" si="7"/>
        <v>-0.002257567984</v>
      </c>
      <c r="AC292" s="154"/>
      <c r="AD292" s="255">
        <v>45723.0</v>
      </c>
      <c r="AE292" s="174">
        <v>11.15</v>
      </c>
      <c r="AF292" s="256">
        <f t="shared" si="8"/>
        <v>0.001796945193</v>
      </c>
      <c r="AG292" s="257"/>
      <c r="AH292" s="255">
        <v>45723.0</v>
      </c>
      <c r="AI292" s="174">
        <v>333.7</v>
      </c>
      <c r="AJ292" s="256">
        <f t="shared" si="9"/>
        <v>0.002102102102</v>
      </c>
      <c r="AK292" s="257"/>
      <c r="AL292" s="255">
        <v>45723.0</v>
      </c>
      <c r="AM292" s="174">
        <v>5770.2</v>
      </c>
      <c r="AN292" s="256">
        <f t="shared" si="10"/>
        <v>0.00552058719</v>
      </c>
      <c r="AO292" s="154"/>
      <c r="AP292" s="154"/>
    </row>
    <row r="293">
      <c r="A293" s="154"/>
      <c r="B293" s="255">
        <v>45722.0</v>
      </c>
      <c r="C293" s="174">
        <v>14.86</v>
      </c>
      <c r="D293" s="256">
        <f t="shared" si="1"/>
        <v>0.02837370242</v>
      </c>
      <c r="E293" s="154"/>
      <c r="F293" s="255">
        <v>45722.0</v>
      </c>
      <c r="G293" s="174">
        <v>9.51</v>
      </c>
      <c r="H293" s="256">
        <f t="shared" si="2"/>
        <v>0.003164556962</v>
      </c>
      <c r="I293" s="154"/>
      <c r="J293" s="255">
        <v>45722.0</v>
      </c>
      <c r="K293" s="174">
        <v>15.35</v>
      </c>
      <c r="L293" s="256">
        <f t="shared" si="3"/>
        <v>-0.03459119497</v>
      </c>
      <c r="M293" s="154"/>
      <c r="N293" s="255">
        <v>45722.0</v>
      </c>
      <c r="O293" s="174">
        <v>2164.0</v>
      </c>
      <c r="P293" s="256">
        <f t="shared" si="4"/>
        <v>0.007448789572</v>
      </c>
      <c r="Q293" s="154"/>
      <c r="R293" s="255">
        <v>45722.0</v>
      </c>
      <c r="S293" s="174">
        <v>28.68</v>
      </c>
      <c r="T293" s="256">
        <f t="shared" si="5"/>
        <v>-0.02680692229</v>
      </c>
      <c r="U293" s="154"/>
      <c r="V293" s="255">
        <v>45722.0</v>
      </c>
      <c r="W293" s="174">
        <v>1140.1</v>
      </c>
      <c r="X293" s="256">
        <f t="shared" si="6"/>
        <v>0.01216264205</v>
      </c>
      <c r="Y293" s="154"/>
      <c r="Z293" s="255">
        <v>45722.0</v>
      </c>
      <c r="AA293" s="174">
        <v>1461.75</v>
      </c>
      <c r="AB293" s="256">
        <f t="shared" si="7"/>
        <v>0.02958267301</v>
      </c>
      <c r="AC293" s="154"/>
      <c r="AD293" s="255">
        <v>45722.0</v>
      </c>
      <c r="AE293" s="174">
        <v>11.13</v>
      </c>
      <c r="AF293" s="256">
        <f t="shared" si="8"/>
        <v>-0.01417183348</v>
      </c>
      <c r="AG293" s="257"/>
      <c r="AH293" s="255">
        <v>45722.0</v>
      </c>
      <c r="AI293" s="174">
        <v>333.0</v>
      </c>
      <c r="AJ293" s="256">
        <f t="shared" si="9"/>
        <v>0.02508850239</v>
      </c>
      <c r="AK293" s="257"/>
      <c r="AL293" s="255">
        <v>45722.0</v>
      </c>
      <c r="AM293" s="174">
        <v>5738.52</v>
      </c>
      <c r="AN293" s="256">
        <f t="shared" si="10"/>
        <v>-0.01781903013</v>
      </c>
      <c r="AO293" s="154"/>
      <c r="AP293" s="154"/>
    </row>
    <row r="294">
      <c r="A294" s="154"/>
      <c r="B294" s="255">
        <v>45721.0</v>
      </c>
      <c r="C294" s="174">
        <v>14.45</v>
      </c>
      <c r="D294" s="256">
        <f t="shared" si="1"/>
        <v>0.01119664101</v>
      </c>
      <c r="E294" s="154"/>
      <c r="F294" s="255">
        <v>45721.0</v>
      </c>
      <c r="G294" s="174">
        <v>9.48</v>
      </c>
      <c r="H294" s="256">
        <f t="shared" si="2"/>
        <v>0.01173959445</v>
      </c>
      <c r="I294" s="154"/>
      <c r="J294" s="255">
        <v>45721.0</v>
      </c>
      <c r="K294" s="174">
        <v>15.9</v>
      </c>
      <c r="L294" s="256">
        <f t="shared" si="3"/>
        <v>0.01338432122</v>
      </c>
      <c r="M294" s="154"/>
      <c r="N294" s="255">
        <v>45721.0</v>
      </c>
      <c r="O294" s="174">
        <v>2148.0</v>
      </c>
      <c r="P294" s="256">
        <f t="shared" si="4"/>
        <v>-0.004633920297</v>
      </c>
      <c r="Q294" s="154"/>
      <c r="R294" s="255">
        <v>45721.0</v>
      </c>
      <c r="S294" s="174">
        <v>29.47</v>
      </c>
      <c r="T294" s="256">
        <f t="shared" si="5"/>
        <v>0.00614544213</v>
      </c>
      <c r="U294" s="154"/>
      <c r="V294" s="255">
        <v>45721.0</v>
      </c>
      <c r="W294" s="174">
        <v>1126.4</v>
      </c>
      <c r="X294" s="256">
        <f t="shared" si="6"/>
        <v>0.005579609874</v>
      </c>
      <c r="Y294" s="154"/>
      <c r="Z294" s="255">
        <v>45721.0</v>
      </c>
      <c r="AA294" s="174">
        <v>1419.75</v>
      </c>
      <c r="AB294" s="256">
        <f t="shared" si="7"/>
        <v>0.01280496504</v>
      </c>
      <c r="AC294" s="154"/>
      <c r="AD294" s="255">
        <v>45721.0</v>
      </c>
      <c r="AE294" s="174">
        <v>11.29</v>
      </c>
      <c r="AF294" s="256">
        <f t="shared" si="8"/>
        <v>0.04440333025</v>
      </c>
      <c r="AG294" s="257"/>
      <c r="AH294" s="255">
        <v>45721.0</v>
      </c>
      <c r="AI294" s="174">
        <v>324.85</v>
      </c>
      <c r="AJ294" s="256">
        <f t="shared" si="9"/>
        <v>0.03192503177</v>
      </c>
      <c r="AK294" s="257"/>
      <c r="AL294" s="255">
        <v>45721.0</v>
      </c>
      <c r="AM294" s="174">
        <v>5842.63</v>
      </c>
      <c r="AN294" s="256">
        <f t="shared" si="10"/>
        <v>0.01115928108</v>
      </c>
      <c r="AO294" s="154"/>
      <c r="AP294" s="154"/>
    </row>
    <row r="295">
      <c r="A295" s="154"/>
      <c r="B295" s="255">
        <v>45720.0</v>
      </c>
      <c r="C295" s="174">
        <v>14.29</v>
      </c>
      <c r="D295" s="256">
        <f t="shared" si="1"/>
        <v>-0.004181184669</v>
      </c>
      <c r="E295" s="154"/>
      <c r="F295" s="255">
        <v>45720.0</v>
      </c>
      <c r="G295" s="174">
        <v>9.37</v>
      </c>
      <c r="H295" s="256">
        <f t="shared" si="2"/>
        <v>0.004287245445</v>
      </c>
      <c r="I295" s="154"/>
      <c r="J295" s="255">
        <v>45720.0</v>
      </c>
      <c r="K295" s="174">
        <v>15.69</v>
      </c>
      <c r="L295" s="256">
        <f t="shared" si="3"/>
        <v>-0.019375</v>
      </c>
      <c r="M295" s="154"/>
      <c r="N295" s="255">
        <v>45720.0</v>
      </c>
      <c r="O295" s="174">
        <v>2158.0</v>
      </c>
      <c r="P295" s="256">
        <f t="shared" si="4"/>
        <v>-0.008272058824</v>
      </c>
      <c r="Q295" s="154"/>
      <c r="R295" s="255">
        <v>45720.0</v>
      </c>
      <c r="S295" s="174">
        <v>29.29</v>
      </c>
      <c r="T295" s="256">
        <f t="shared" si="5"/>
        <v>0.01</v>
      </c>
      <c r="U295" s="154"/>
      <c r="V295" s="255">
        <v>45720.0</v>
      </c>
      <c r="W295" s="174">
        <v>1120.15</v>
      </c>
      <c r="X295" s="256">
        <f t="shared" si="6"/>
        <v>0.0004912468739</v>
      </c>
      <c r="Y295" s="154"/>
      <c r="Z295" s="255">
        <v>45720.0</v>
      </c>
      <c r="AA295" s="174">
        <v>1401.8</v>
      </c>
      <c r="AB295" s="256">
        <f t="shared" si="7"/>
        <v>-0.004085112429</v>
      </c>
      <c r="AC295" s="154"/>
      <c r="AD295" s="255">
        <v>45720.0</v>
      </c>
      <c r="AE295" s="174">
        <v>10.81</v>
      </c>
      <c r="AF295" s="256">
        <f t="shared" si="8"/>
        <v>-0.02612612613</v>
      </c>
      <c r="AG295" s="257"/>
      <c r="AH295" s="255">
        <v>45720.0</v>
      </c>
      <c r="AI295" s="174">
        <v>314.8</v>
      </c>
      <c r="AJ295" s="256">
        <f t="shared" si="9"/>
        <v>0.03196197345</v>
      </c>
      <c r="AK295" s="257"/>
      <c r="AL295" s="255">
        <v>45720.0</v>
      </c>
      <c r="AM295" s="174">
        <v>5778.15</v>
      </c>
      <c r="AN295" s="256">
        <f t="shared" si="10"/>
        <v>-0.01223477363</v>
      </c>
      <c r="AO295" s="154"/>
      <c r="AP295" s="154"/>
    </row>
    <row r="296">
      <c r="A296" s="154"/>
      <c r="B296" s="255">
        <v>45719.0</v>
      </c>
      <c r="C296" s="174">
        <v>14.35</v>
      </c>
      <c r="D296" s="256">
        <f t="shared" si="1"/>
        <v>-0.03755868545</v>
      </c>
      <c r="E296" s="154"/>
      <c r="F296" s="255">
        <v>45719.0</v>
      </c>
      <c r="G296" s="174">
        <v>9.33</v>
      </c>
      <c r="H296" s="256">
        <f t="shared" si="2"/>
        <v>0.01083423619</v>
      </c>
      <c r="I296" s="154"/>
      <c r="J296" s="255">
        <v>45719.0</v>
      </c>
      <c r="K296" s="174">
        <v>16.0</v>
      </c>
      <c r="L296" s="256">
        <f t="shared" si="3"/>
        <v>-0.02794653706</v>
      </c>
      <c r="M296" s="154"/>
      <c r="N296" s="255">
        <v>45719.0</v>
      </c>
      <c r="O296" s="174">
        <v>2176.0</v>
      </c>
      <c r="P296" s="256">
        <f t="shared" si="4"/>
        <v>0.007407407407</v>
      </c>
      <c r="Q296" s="154"/>
      <c r="R296" s="255">
        <v>45719.0</v>
      </c>
      <c r="S296" s="174">
        <v>29.0</v>
      </c>
      <c r="T296" s="256">
        <f t="shared" si="5"/>
        <v>0</v>
      </c>
      <c r="U296" s="154"/>
      <c r="V296" s="255">
        <v>45719.0</v>
      </c>
      <c r="W296" s="174">
        <v>1119.6</v>
      </c>
      <c r="X296" s="256">
        <f t="shared" si="6"/>
        <v>0.002776533811</v>
      </c>
      <c r="Y296" s="154"/>
      <c r="Z296" s="255">
        <v>45719.0</v>
      </c>
      <c r="AA296" s="174">
        <v>1407.55</v>
      </c>
      <c r="AB296" s="256">
        <f t="shared" si="7"/>
        <v>0.00003552397869</v>
      </c>
      <c r="AC296" s="154"/>
      <c r="AD296" s="255">
        <v>45719.0</v>
      </c>
      <c r="AE296" s="174">
        <v>11.1</v>
      </c>
      <c r="AF296" s="256">
        <f t="shared" si="8"/>
        <v>-0.02288732394</v>
      </c>
      <c r="AG296" s="257"/>
      <c r="AH296" s="255">
        <v>45719.0</v>
      </c>
      <c r="AI296" s="174">
        <v>305.05</v>
      </c>
      <c r="AJ296" s="256">
        <f t="shared" si="9"/>
        <v>0.008596462225</v>
      </c>
      <c r="AK296" s="257"/>
      <c r="AL296" s="255">
        <v>45719.0</v>
      </c>
      <c r="AM296" s="174">
        <v>5849.72</v>
      </c>
      <c r="AN296" s="256">
        <f t="shared" si="10"/>
        <v>-0.01759677555</v>
      </c>
      <c r="AO296" s="154"/>
      <c r="AP296" s="154"/>
    </row>
    <row r="297">
      <c r="A297" s="154"/>
      <c r="B297" s="255">
        <v>45716.0</v>
      </c>
      <c r="C297" s="174">
        <v>14.91</v>
      </c>
      <c r="D297" s="256">
        <f t="shared" si="1"/>
        <v>-0.008643617021</v>
      </c>
      <c r="E297" s="154"/>
      <c r="F297" s="255">
        <v>45716.0</v>
      </c>
      <c r="G297" s="174">
        <v>9.23</v>
      </c>
      <c r="H297" s="256">
        <f t="shared" si="2"/>
        <v>-0.0314795383</v>
      </c>
      <c r="I297" s="154"/>
      <c r="J297" s="255">
        <v>45716.0</v>
      </c>
      <c r="K297" s="174">
        <v>16.46</v>
      </c>
      <c r="L297" s="256">
        <f t="shared" si="3"/>
        <v>0.008578431373</v>
      </c>
      <c r="M297" s="154"/>
      <c r="N297" s="255">
        <v>45716.0</v>
      </c>
      <c r="O297" s="174">
        <v>2160.0</v>
      </c>
      <c r="P297" s="256">
        <f t="shared" si="4"/>
        <v>-0.01008249313</v>
      </c>
      <c r="Q297" s="154"/>
      <c r="R297" s="255">
        <v>45716.0</v>
      </c>
      <c r="S297" s="174">
        <v>29.0</v>
      </c>
      <c r="T297" s="256">
        <f t="shared" si="5"/>
        <v>0.2018234563</v>
      </c>
      <c r="U297" s="154"/>
      <c r="V297" s="255">
        <v>45716.0</v>
      </c>
      <c r="W297" s="174">
        <v>1116.5</v>
      </c>
      <c r="X297" s="256">
        <f t="shared" si="6"/>
        <v>-0.008040513527</v>
      </c>
      <c r="Y297" s="154"/>
      <c r="Z297" s="255">
        <v>45716.0</v>
      </c>
      <c r="AA297" s="174">
        <v>1407.5</v>
      </c>
      <c r="AB297" s="256">
        <f t="shared" si="7"/>
        <v>-0.02334940846</v>
      </c>
      <c r="AC297" s="154"/>
      <c r="AD297" s="255">
        <v>45716.0</v>
      </c>
      <c r="AE297" s="174">
        <v>11.36</v>
      </c>
      <c r="AF297" s="256">
        <f t="shared" si="8"/>
        <v>-0.00872600349</v>
      </c>
      <c r="AG297" s="257"/>
      <c r="AH297" s="255">
        <v>45716.0</v>
      </c>
      <c r="AI297" s="174">
        <v>302.45</v>
      </c>
      <c r="AJ297" s="256">
        <f t="shared" si="9"/>
        <v>-0.03014269681</v>
      </c>
      <c r="AK297" s="257"/>
      <c r="AL297" s="255">
        <v>45716.0</v>
      </c>
      <c r="AM297" s="174">
        <v>5954.5</v>
      </c>
      <c r="AN297" s="256">
        <f t="shared" si="10"/>
        <v>0.01585411417</v>
      </c>
      <c r="AO297" s="154"/>
      <c r="AP297" s="154"/>
    </row>
    <row r="298">
      <c r="A298" s="154"/>
      <c r="B298" s="255">
        <v>45715.0</v>
      </c>
      <c r="C298" s="174">
        <v>15.04</v>
      </c>
      <c r="D298" s="256">
        <f t="shared" si="1"/>
        <v>-0.02842377261</v>
      </c>
      <c r="E298" s="154"/>
      <c r="F298" s="255">
        <v>45715.0</v>
      </c>
      <c r="G298" s="174">
        <v>9.53</v>
      </c>
      <c r="H298" s="256">
        <f t="shared" si="2"/>
        <v>-0.1521352313</v>
      </c>
      <c r="I298" s="154"/>
      <c r="J298" s="255">
        <v>45715.0</v>
      </c>
      <c r="K298" s="174">
        <v>16.32</v>
      </c>
      <c r="L298" s="256">
        <f t="shared" si="3"/>
        <v>-0.0274135876</v>
      </c>
      <c r="M298" s="154"/>
      <c r="N298" s="255">
        <v>45715.0</v>
      </c>
      <c r="O298" s="174">
        <v>2182.0</v>
      </c>
      <c r="P298" s="256">
        <f t="shared" si="4"/>
        <v>0.01299907149</v>
      </c>
      <c r="Q298" s="154"/>
      <c r="R298" s="255">
        <v>45715.0</v>
      </c>
      <c r="S298" s="174">
        <v>24.13</v>
      </c>
      <c r="T298" s="256">
        <f t="shared" si="5"/>
        <v>-0.03092369478</v>
      </c>
      <c r="U298" s="154"/>
      <c r="V298" s="255">
        <v>45715.0</v>
      </c>
      <c r="W298" s="174">
        <v>1125.55</v>
      </c>
      <c r="X298" s="256">
        <f t="shared" si="6"/>
        <v>-0.002304658069</v>
      </c>
      <c r="Y298" s="154"/>
      <c r="Z298" s="255">
        <v>45715.0</v>
      </c>
      <c r="AA298" s="174">
        <v>1441.15</v>
      </c>
      <c r="AB298" s="256">
        <f t="shared" si="7"/>
        <v>-0.01517067004</v>
      </c>
      <c r="AC298" s="154"/>
      <c r="AD298" s="255">
        <v>45715.0</v>
      </c>
      <c r="AE298" s="174">
        <v>11.46</v>
      </c>
      <c r="AF298" s="256">
        <f t="shared" si="8"/>
        <v>-0.02633814783</v>
      </c>
      <c r="AG298" s="257"/>
      <c r="AH298" s="255">
        <v>45715.0</v>
      </c>
      <c r="AI298" s="174">
        <v>311.85</v>
      </c>
      <c r="AJ298" s="256">
        <f t="shared" si="9"/>
        <v>-0.02910958904</v>
      </c>
      <c r="AK298" s="257"/>
      <c r="AL298" s="255">
        <v>45715.0</v>
      </c>
      <c r="AM298" s="174">
        <v>5861.57</v>
      </c>
      <c r="AN298" s="256">
        <f t="shared" si="10"/>
        <v>-0.01586451446</v>
      </c>
      <c r="AO298" s="154"/>
      <c r="AP298" s="154"/>
    </row>
    <row r="299">
      <c r="A299" s="154"/>
      <c r="B299" s="255">
        <v>45714.0</v>
      </c>
      <c r="C299" s="174">
        <v>15.48</v>
      </c>
      <c r="D299" s="256">
        <f t="shared" si="1"/>
        <v>-0.04029758215</v>
      </c>
      <c r="E299" s="154"/>
      <c r="F299" s="255">
        <v>45714.0</v>
      </c>
      <c r="G299" s="174">
        <v>11.24</v>
      </c>
      <c r="H299" s="256">
        <f t="shared" si="2"/>
        <v>-0.02090592334</v>
      </c>
      <c r="I299" s="154"/>
      <c r="J299" s="255">
        <v>45714.0</v>
      </c>
      <c r="K299" s="174">
        <v>16.78</v>
      </c>
      <c r="L299" s="256">
        <f t="shared" si="3"/>
        <v>0.01023479831</v>
      </c>
      <c r="M299" s="154"/>
      <c r="N299" s="255">
        <v>45714.0</v>
      </c>
      <c r="O299" s="174">
        <v>2154.0</v>
      </c>
      <c r="P299" s="256">
        <f t="shared" si="4"/>
        <v>-0.0618466899</v>
      </c>
      <c r="Q299" s="154"/>
      <c r="R299" s="255">
        <v>45714.0</v>
      </c>
      <c r="S299" s="174">
        <v>24.9</v>
      </c>
      <c r="T299" s="256">
        <f t="shared" si="5"/>
        <v>-0.01268834259</v>
      </c>
      <c r="U299" s="154"/>
      <c r="V299" s="255">
        <v>45713.0</v>
      </c>
      <c r="W299" s="174">
        <v>1128.15</v>
      </c>
      <c r="X299" s="256">
        <f t="shared" si="6"/>
        <v>-0.0312567086</v>
      </c>
      <c r="Y299" s="154"/>
      <c r="Z299" s="255">
        <v>45713.0</v>
      </c>
      <c r="AA299" s="174">
        <v>1463.35</v>
      </c>
      <c r="AB299" s="256">
        <f t="shared" si="7"/>
        <v>-0.009073980024</v>
      </c>
      <c r="AC299" s="154"/>
      <c r="AD299" s="255">
        <v>45714.0</v>
      </c>
      <c r="AE299" s="174">
        <v>11.77</v>
      </c>
      <c r="AF299" s="256">
        <f t="shared" si="8"/>
        <v>-0.004230118443</v>
      </c>
      <c r="AG299" s="257"/>
      <c r="AH299" s="255">
        <v>45713.0</v>
      </c>
      <c r="AI299" s="174">
        <v>321.2</v>
      </c>
      <c r="AJ299" s="256">
        <f t="shared" si="9"/>
        <v>0.001090852423</v>
      </c>
      <c r="AK299" s="257"/>
      <c r="AL299" s="255">
        <v>45714.0</v>
      </c>
      <c r="AM299" s="174">
        <v>5956.06</v>
      </c>
      <c r="AN299" s="256">
        <f t="shared" si="10"/>
        <v>0.000136014441</v>
      </c>
      <c r="AO299" s="154"/>
      <c r="AP299" s="154"/>
    </row>
    <row r="300">
      <c r="A300" s="154"/>
      <c r="B300" s="255">
        <v>45713.0</v>
      </c>
      <c r="C300" s="174">
        <v>16.13</v>
      </c>
      <c r="D300" s="256">
        <f t="shared" si="1"/>
        <v>0.06962864721</v>
      </c>
      <c r="E300" s="154"/>
      <c r="F300" s="255">
        <v>45713.0</v>
      </c>
      <c r="G300" s="174">
        <v>11.48</v>
      </c>
      <c r="H300" s="256">
        <f t="shared" si="2"/>
        <v>0.00790166813</v>
      </c>
      <c r="I300" s="154"/>
      <c r="J300" s="255">
        <v>45713.0</v>
      </c>
      <c r="K300" s="174">
        <v>16.61</v>
      </c>
      <c r="L300" s="256">
        <f t="shared" si="3"/>
        <v>-0.01013110846</v>
      </c>
      <c r="M300" s="154"/>
      <c r="N300" s="255">
        <v>45713.0</v>
      </c>
      <c r="O300" s="174">
        <v>2296.0</v>
      </c>
      <c r="P300" s="256">
        <f t="shared" si="4"/>
        <v>-0.003472222222</v>
      </c>
      <c r="Q300" s="154"/>
      <c r="R300" s="255">
        <v>45713.0</v>
      </c>
      <c r="S300" s="174">
        <v>25.22</v>
      </c>
      <c r="T300" s="256">
        <f t="shared" si="5"/>
        <v>-0.0007923930269</v>
      </c>
      <c r="U300" s="154"/>
      <c r="V300" s="255">
        <v>45712.0</v>
      </c>
      <c r="W300" s="174">
        <v>1164.55</v>
      </c>
      <c r="X300" s="256">
        <f t="shared" si="6"/>
        <v>0.01106963014</v>
      </c>
      <c r="Y300" s="154"/>
      <c r="Z300" s="255">
        <v>45712.0</v>
      </c>
      <c r="AA300" s="174">
        <v>1476.75</v>
      </c>
      <c r="AB300" s="256">
        <f t="shared" si="7"/>
        <v>0.0006776215484</v>
      </c>
      <c r="AC300" s="154"/>
      <c r="AD300" s="255">
        <v>45713.0</v>
      </c>
      <c r="AE300" s="174">
        <v>11.82</v>
      </c>
      <c r="AF300" s="256">
        <f t="shared" si="8"/>
        <v>-0.004212299916</v>
      </c>
      <c r="AG300" s="257"/>
      <c r="AH300" s="255">
        <v>45712.0</v>
      </c>
      <c r="AI300" s="174">
        <v>320.85</v>
      </c>
      <c r="AJ300" s="256">
        <f t="shared" si="9"/>
        <v>-0.00511627907</v>
      </c>
      <c r="AK300" s="257"/>
      <c r="AL300" s="255">
        <v>45713.0</v>
      </c>
      <c r="AM300" s="174">
        <v>5955.25</v>
      </c>
      <c r="AN300" s="256">
        <f t="shared" si="10"/>
        <v>-0.004679730915</v>
      </c>
      <c r="AO300" s="154"/>
      <c r="AP300" s="154"/>
    </row>
    <row r="301">
      <c r="A301" s="154"/>
      <c r="B301" s="255">
        <v>45712.0</v>
      </c>
      <c r="C301" s="174">
        <v>15.08</v>
      </c>
      <c r="D301" s="256">
        <f t="shared" si="1"/>
        <v>-0.02646868948</v>
      </c>
      <c r="E301" s="154"/>
      <c r="F301" s="255">
        <v>45712.0</v>
      </c>
      <c r="G301" s="174">
        <v>11.39</v>
      </c>
      <c r="H301" s="256">
        <f t="shared" si="2"/>
        <v>0.01244444444</v>
      </c>
      <c r="I301" s="154"/>
      <c r="J301" s="255">
        <v>45712.0</v>
      </c>
      <c r="K301" s="174">
        <v>16.78</v>
      </c>
      <c r="L301" s="256">
        <f t="shared" si="3"/>
        <v>0.00238948626</v>
      </c>
      <c r="M301" s="154"/>
      <c r="N301" s="255">
        <v>45712.0</v>
      </c>
      <c r="O301" s="174">
        <v>2304.0</v>
      </c>
      <c r="P301" s="256">
        <f t="shared" si="4"/>
        <v>-0.002597402597</v>
      </c>
      <c r="Q301" s="154"/>
      <c r="R301" s="255">
        <v>45712.0</v>
      </c>
      <c r="S301" s="174">
        <v>25.24</v>
      </c>
      <c r="T301" s="256">
        <f t="shared" si="5"/>
        <v>-0.003946329913</v>
      </c>
      <c r="U301" s="154"/>
      <c r="V301" s="255">
        <v>45709.0</v>
      </c>
      <c r="W301" s="174">
        <v>1151.8</v>
      </c>
      <c r="X301" s="256">
        <f t="shared" si="6"/>
        <v>-0.01635424228</v>
      </c>
      <c r="Y301" s="154"/>
      <c r="Z301" s="255">
        <v>45709.0</v>
      </c>
      <c r="AA301" s="174">
        <v>1475.75</v>
      </c>
      <c r="AB301" s="256">
        <f t="shared" si="7"/>
        <v>-0.002669460026</v>
      </c>
      <c r="AC301" s="154"/>
      <c r="AD301" s="255">
        <v>45712.0</v>
      </c>
      <c r="AE301" s="174">
        <v>11.87</v>
      </c>
      <c r="AF301" s="256">
        <f t="shared" si="8"/>
        <v>-0.03338762215</v>
      </c>
      <c r="AG301" s="257"/>
      <c r="AH301" s="255">
        <v>45709.0</v>
      </c>
      <c r="AI301" s="174">
        <v>322.5</v>
      </c>
      <c r="AJ301" s="256">
        <f t="shared" si="9"/>
        <v>-0.04017857143</v>
      </c>
      <c r="AK301" s="257"/>
      <c r="AL301" s="255">
        <v>45712.0</v>
      </c>
      <c r="AM301" s="174">
        <v>5983.25</v>
      </c>
      <c r="AN301" s="256">
        <f t="shared" si="10"/>
        <v>-0.004969125896</v>
      </c>
      <c r="AO301" s="154"/>
      <c r="AP301" s="154"/>
    </row>
    <row r="302">
      <c r="A302" s="154"/>
      <c r="B302" s="255">
        <v>45709.0</v>
      </c>
      <c r="C302" s="174">
        <v>15.49</v>
      </c>
      <c r="D302" s="256">
        <f t="shared" si="1"/>
        <v>-0.01274697259</v>
      </c>
      <c r="E302" s="154"/>
      <c r="F302" s="255">
        <v>45709.0</v>
      </c>
      <c r="G302" s="174">
        <v>11.25</v>
      </c>
      <c r="H302" s="256">
        <f t="shared" si="2"/>
        <v>0.01717902351</v>
      </c>
      <c r="I302" s="154"/>
      <c r="J302" s="255">
        <v>45709.0</v>
      </c>
      <c r="K302" s="174">
        <v>16.74</v>
      </c>
      <c r="L302" s="256">
        <f t="shared" si="3"/>
        <v>-0.01529411765</v>
      </c>
      <c r="M302" s="154"/>
      <c r="N302" s="255">
        <v>45709.0</v>
      </c>
      <c r="O302" s="174">
        <v>2310.0</v>
      </c>
      <c r="P302" s="256">
        <f t="shared" si="4"/>
        <v>0.01315789474</v>
      </c>
      <c r="Q302" s="154"/>
      <c r="R302" s="255">
        <v>45709.0</v>
      </c>
      <c r="S302" s="174">
        <v>25.34</v>
      </c>
      <c r="T302" s="256">
        <f t="shared" si="5"/>
        <v>0.003961965135</v>
      </c>
      <c r="U302" s="154"/>
      <c r="V302" s="255">
        <v>45708.0</v>
      </c>
      <c r="W302" s="174">
        <v>1170.95</v>
      </c>
      <c r="X302" s="256">
        <f t="shared" si="6"/>
        <v>0.004374490715</v>
      </c>
      <c r="Y302" s="154"/>
      <c r="Z302" s="255">
        <v>45708.0</v>
      </c>
      <c r="AA302" s="174">
        <v>1479.7</v>
      </c>
      <c r="AB302" s="256">
        <f t="shared" si="7"/>
        <v>0.01062049653</v>
      </c>
      <c r="AC302" s="154"/>
      <c r="AD302" s="255">
        <v>45709.0</v>
      </c>
      <c r="AE302" s="174">
        <v>12.28</v>
      </c>
      <c r="AF302" s="256">
        <f t="shared" si="8"/>
        <v>0.04957264957</v>
      </c>
      <c r="AG302" s="257"/>
      <c r="AH302" s="255">
        <v>45708.0</v>
      </c>
      <c r="AI302" s="174">
        <v>336.0</v>
      </c>
      <c r="AJ302" s="256">
        <f t="shared" si="9"/>
        <v>-0.002375296912</v>
      </c>
      <c r="AK302" s="257"/>
      <c r="AL302" s="255">
        <v>45709.0</v>
      </c>
      <c r="AM302" s="174">
        <v>6013.13</v>
      </c>
      <c r="AN302" s="256">
        <f t="shared" si="10"/>
        <v>-0.01706410441</v>
      </c>
      <c r="AO302" s="154"/>
      <c r="AP302" s="154"/>
    </row>
    <row r="303">
      <c r="A303" s="154"/>
      <c r="B303" s="255">
        <v>45708.0</v>
      </c>
      <c r="C303" s="174">
        <v>15.69</v>
      </c>
      <c r="D303" s="256">
        <f t="shared" si="1"/>
        <v>0.02616088947</v>
      </c>
      <c r="E303" s="154"/>
      <c r="F303" s="255">
        <v>45708.0</v>
      </c>
      <c r="G303" s="174">
        <v>11.06</v>
      </c>
      <c r="H303" s="256">
        <f t="shared" si="2"/>
        <v>0.01189387008</v>
      </c>
      <c r="I303" s="154"/>
      <c r="J303" s="255">
        <v>45708.0</v>
      </c>
      <c r="K303" s="174">
        <v>17.0</v>
      </c>
      <c r="L303" s="256">
        <f t="shared" si="3"/>
        <v>-0.009324009324</v>
      </c>
      <c r="M303" s="154"/>
      <c r="N303" s="255">
        <v>45708.0</v>
      </c>
      <c r="O303" s="174">
        <v>2280.0</v>
      </c>
      <c r="P303" s="256">
        <f t="shared" si="4"/>
        <v>-0.006102877071</v>
      </c>
      <c r="Q303" s="154"/>
      <c r="R303" s="255">
        <v>45708.0</v>
      </c>
      <c r="S303" s="174">
        <v>25.24</v>
      </c>
      <c r="T303" s="256">
        <f t="shared" si="5"/>
        <v>0.01774193548</v>
      </c>
      <c r="U303" s="154"/>
      <c r="V303" s="255">
        <v>45707.0</v>
      </c>
      <c r="W303" s="174">
        <v>1165.85</v>
      </c>
      <c r="X303" s="256">
        <f t="shared" si="6"/>
        <v>-0.02634875564</v>
      </c>
      <c r="Y303" s="154"/>
      <c r="Z303" s="255">
        <v>45707.0</v>
      </c>
      <c r="AA303" s="174">
        <v>1464.15</v>
      </c>
      <c r="AB303" s="256">
        <f t="shared" si="7"/>
        <v>-0.01211119358</v>
      </c>
      <c r="AC303" s="154"/>
      <c r="AD303" s="255">
        <v>45708.0</v>
      </c>
      <c r="AE303" s="174">
        <v>11.7</v>
      </c>
      <c r="AF303" s="256">
        <f t="shared" si="8"/>
        <v>-0.001706484642</v>
      </c>
      <c r="AG303" s="257"/>
      <c r="AH303" s="255">
        <v>45707.0</v>
      </c>
      <c r="AI303" s="174">
        <v>336.8</v>
      </c>
      <c r="AJ303" s="256">
        <f t="shared" si="9"/>
        <v>-0.004139562389</v>
      </c>
      <c r="AK303" s="257"/>
      <c r="AL303" s="255">
        <v>45708.0</v>
      </c>
      <c r="AM303" s="174">
        <v>6117.52</v>
      </c>
      <c r="AN303" s="256">
        <f t="shared" si="10"/>
        <v>-0.00433420408</v>
      </c>
      <c r="AO303" s="154"/>
      <c r="AP303" s="154"/>
    </row>
    <row r="304">
      <c r="A304" s="154"/>
      <c r="B304" s="255">
        <v>45707.0</v>
      </c>
      <c r="C304" s="174">
        <v>15.29</v>
      </c>
      <c r="D304" s="256">
        <f t="shared" si="1"/>
        <v>-0.01227390181</v>
      </c>
      <c r="E304" s="154"/>
      <c r="F304" s="255">
        <v>45707.0</v>
      </c>
      <c r="G304" s="174">
        <v>10.93</v>
      </c>
      <c r="H304" s="256">
        <f t="shared" si="2"/>
        <v>0.006445672192</v>
      </c>
      <c r="I304" s="154"/>
      <c r="J304" s="255">
        <v>45707.0</v>
      </c>
      <c r="K304" s="174">
        <v>17.16</v>
      </c>
      <c r="L304" s="256">
        <f t="shared" si="3"/>
        <v>0.0356065178</v>
      </c>
      <c r="M304" s="154"/>
      <c r="N304" s="255">
        <v>45707.0</v>
      </c>
      <c r="O304" s="174">
        <v>2294.0</v>
      </c>
      <c r="P304" s="256">
        <f t="shared" si="4"/>
        <v>-0.01035375324</v>
      </c>
      <c r="Q304" s="154"/>
      <c r="R304" s="255">
        <v>45707.0</v>
      </c>
      <c r="S304" s="174">
        <v>24.8</v>
      </c>
      <c r="T304" s="256">
        <f t="shared" si="5"/>
        <v>0.02734051367</v>
      </c>
      <c r="U304" s="154"/>
      <c r="V304" s="255">
        <v>45706.0</v>
      </c>
      <c r="W304" s="174">
        <v>1197.4</v>
      </c>
      <c r="X304" s="256">
        <f t="shared" si="6"/>
        <v>-0.001292797865</v>
      </c>
      <c r="Y304" s="154"/>
      <c r="Z304" s="255">
        <v>45706.0</v>
      </c>
      <c r="AA304" s="174">
        <v>1482.1</v>
      </c>
      <c r="AB304" s="256">
        <f t="shared" si="7"/>
        <v>0.005052046248</v>
      </c>
      <c r="AC304" s="154"/>
      <c r="AD304" s="255">
        <v>45707.0</v>
      </c>
      <c r="AE304" s="174">
        <v>11.72</v>
      </c>
      <c r="AF304" s="256">
        <f t="shared" si="8"/>
        <v>-0.06836248013</v>
      </c>
      <c r="AG304" s="257"/>
      <c r="AH304" s="255">
        <v>45706.0</v>
      </c>
      <c r="AI304" s="174">
        <v>338.2</v>
      </c>
      <c r="AJ304" s="256">
        <f t="shared" si="9"/>
        <v>-0.02690260394</v>
      </c>
      <c r="AK304" s="257"/>
      <c r="AL304" s="255">
        <v>45707.0</v>
      </c>
      <c r="AM304" s="174">
        <v>6144.15</v>
      </c>
      <c r="AN304" s="256">
        <f t="shared" si="10"/>
        <v>0.002376998098</v>
      </c>
      <c r="AO304" s="154"/>
      <c r="AP304" s="154"/>
    </row>
    <row r="305">
      <c r="A305" s="154"/>
      <c r="B305" s="255">
        <v>45706.0</v>
      </c>
      <c r="C305" s="174">
        <v>15.48</v>
      </c>
      <c r="D305" s="256">
        <f t="shared" si="1"/>
        <v>0.01308900524</v>
      </c>
      <c r="E305" s="154"/>
      <c r="F305" s="255">
        <v>45706.0</v>
      </c>
      <c r="G305" s="174">
        <v>10.86</v>
      </c>
      <c r="H305" s="256">
        <f t="shared" si="2"/>
        <v>0.005555555556</v>
      </c>
      <c r="I305" s="154"/>
      <c r="J305" s="255">
        <v>45706.0</v>
      </c>
      <c r="K305" s="174">
        <v>16.57</v>
      </c>
      <c r="L305" s="256">
        <f t="shared" si="3"/>
        <v>0.01969230769</v>
      </c>
      <c r="M305" s="154"/>
      <c r="N305" s="255">
        <v>45706.0</v>
      </c>
      <c r="O305" s="174">
        <v>2318.0</v>
      </c>
      <c r="P305" s="256">
        <f t="shared" si="4"/>
        <v>0.01134380454</v>
      </c>
      <c r="Q305" s="154"/>
      <c r="R305" s="255">
        <v>45706.0</v>
      </c>
      <c r="S305" s="174">
        <v>24.14</v>
      </c>
      <c r="T305" s="256">
        <f t="shared" si="5"/>
        <v>-0.01429154757</v>
      </c>
      <c r="U305" s="154"/>
      <c r="V305" s="255">
        <v>45705.0</v>
      </c>
      <c r="W305" s="174">
        <v>1198.95</v>
      </c>
      <c r="X305" s="256">
        <f t="shared" si="6"/>
        <v>0.001587235287</v>
      </c>
      <c r="Y305" s="154"/>
      <c r="Z305" s="255">
        <v>45705.0</v>
      </c>
      <c r="AA305" s="174">
        <v>1474.65</v>
      </c>
      <c r="AB305" s="256">
        <f t="shared" si="7"/>
        <v>0.01041488232</v>
      </c>
      <c r="AC305" s="154"/>
      <c r="AD305" s="255">
        <v>45706.0</v>
      </c>
      <c r="AE305" s="174">
        <v>12.58</v>
      </c>
      <c r="AF305" s="256">
        <f t="shared" si="8"/>
        <v>-0.03156274057</v>
      </c>
      <c r="AG305" s="257"/>
      <c r="AH305" s="255">
        <v>45705.0</v>
      </c>
      <c r="AI305" s="174">
        <v>347.55</v>
      </c>
      <c r="AJ305" s="256">
        <f t="shared" si="9"/>
        <v>-0.005152425934</v>
      </c>
      <c r="AK305" s="257"/>
      <c r="AL305" s="255">
        <v>45706.0</v>
      </c>
      <c r="AM305" s="174">
        <v>6129.58</v>
      </c>
      <c r="AN305" s="256">
        <f t="shared" si="10"/>
        <v>0.002444955786</v>
      </c>
      <c r="AO305" s="154"/>
      <c r="AP305" s="154"/>
    </row>
    <row r="306">
      <c r="A306" s="154"/>
      <c r="B306" s="255">
        <v>45702.0</v>
      </c>
      <c r="C306" s="174">
        <v>15.28</v>
      </c>
      <c r="D306" s="256">
        <f t="shared" si="1"/>
        <v>-0.0637254902</v>
      </c>
      <c r="E306" s="154"/>
      <c r="F306" s="255">
        <v>45702.0</v>
      </c>
      <c r="G306" s="174">
        <v>10.8</v>
      </c>
      <c r="H306" s="256">
        <f t="shared" si="2"/>
        <v>0</v>
      </c>
      <c r="I306" s="154"/>
      <c r="J306" s="255">
        <v>45702.0</v>
      </c>
      <c r="K306" s="174">
        <v>16.25</v>
      </c>
      <c r="L306" s="256">
        <f t="shared" si="3"/>
        <v>-0.0228502706</v>
      </c>
      <c r="M306" s="154"/>
      <c r="N306" s="255">
        <v>45702.0</v>
      </c>
      <c r="O306" s="174">
        <v>2292.0</v>
      </c>
      <c r="P306" s="256">
        <f t="shared" si="4"/>
        <v>-0.02051282051</v>
      </c>
      <c r="Q306" s="154"/>
      <c r="R306" s="255">
        <v>45702.0</v>
      </c>
      <c r="S306" s="174">
        <v>24.49</v>
      </c>
      <c r="T306" s="256">
        <f t="shared" si="5"/>
        <v>-0.0125</v>
      </c>
      <c r="U306" s="154"/>
      <c r="V306" s="255">
        <v>45702.0</v>
      </c>
      <c r="W306" s="174">
        <v>1197.05</v>
      </c>
      <c r="X306" s="256">
        <f t="shared" si="6"/>
        <v>-0.02169826741</v>
      </c>
      <c r="Y306" s="154"/>
      <c r="Z306" s="255">
        <v>45702.0</v>
      </c>
      <c r="AA306" s="174">
        <v>1459.45</v>
      </c>
      <c r="AB306" s="256">
        <f t="shared" si="7"/>
        <v>-0.008626838298</v>
      </c>
      <c r="AC306" s="154"/>
      <c r="AD306" s="255">
        <v>45702.0</v>
      </c>
      <c r="AE306" s="174">
        <v>12.99</v>
      </c>
      <c r="AF306" s="256">
        <f t="shared" si="8"/>
        <v>0.01643192488</v>
      </c>
      <c r="AG306" s="257"/>
      <c r="AH306" s="255">
        <v>45702.0</v>
      </c>
      <c r="AI306" s="174">
        <v>349.35</v>
      </c>
      <c r="AJ306" s="256">
        <f t="shared" si="9"/>
        <v>-0.02769273588</v>
      </c>
      <c r="AK306" s="257"/>
      <c r="AL306" s="255">
        <v>45702.0</v>
      </c>
      <c r="AM306" s="174">
        <v>6114.63</v>
      </c>
      <c r="AN306" s="256">
        <f t="shared" si="10"/>
        <v>-0.00007195338729</v>
      </c>
      <c r="AO306" s="154"/>
      <c r="AP306" s="154"/>
    </row>
    <row r="307">
      <c r="A307" s="154"/>
      <c r="B307" s="255">
        <v>45701.0</v>
      </c>
      <c r="C307" s="174">
        <v>16.32</v>
      </c>
      <c r="D307" s="256">
        <f t="shared" si="1"/>
        <v>0.1102040816</v>
      </c>
      <c r="E307" s="154"/>
      <c r="F307" s="255">
        <v>45701.0</v>
      </c>
      <c r="G307" s="174">
        <v>10.8</v>
      </c>
      <c r="H307" s="256">
        <f t="shared" si="2"/>
        <v>0.01886792453</v>
      </c>
      <c r="I307" s="154"/>
      <c r="J307" s="255">
        <v>45701.0</v>
      </c>
      <c r="K307" s="174">
        <v>16.63</v>
      </c>
      <c r="L307" s="256">
        <f t="shared" si="3"/>
        <v>0.01774785802</v>
      </c>
      <c r="M307" s="154"/>
      <c r="N307" s="255">
        <v>45701.0</v>
      </c>
      <c r="O307" s="174">
        <v>2340.0</v>
      </c>
      <c r="P307" s="256">
        <f t="shared" si="4"/>
        <v>0.0008554319932</v>
      </c>
      <c r="Q307" s="154"/>
      <c r="R307" s="255">
        <v>45701.0</v>
      </c>
      <c r="S307" s="174">
        <v>24.8</v>
      </c>
      <c r="T307" s="256">
        <f t="shared" si="5"/>
        <v>0.02057613169</v>
      </c>
      <c r="U307" s="154"/>
      <c r="V307" s="255">
        <v>45701.0</v>
      </c>
      <c r="W307" s="174">
        <v>1223.6</v>
      </c>
      <c r="X307" s="256">
        <f t="shared" si="6"/>
        <v>0.006374141547</v>
      </c>
      <c r="Y307" s="154"/>
      <c r="Z307" s="255">
        <v>45701.0</v>
      </c>
      <c r="AA307" s="174">
        <v>1472.15</v>
      </c>
      <c r="AB307" s="256">
        <f t="shared" si="7"/>
        <v>0.01583632349</v>
      </c>
      <c r="AC307" s="154"/>
      <c r="AD307" s="255">
        <v>45701.0</v>
      </c>
      <c r="AE307" s="174">
        <v>12.78</v>
      </c>
      <c r="AF307" s="256">
        <f t="shared" si="8"/>
        <v>0.01027667984</v>
      </c>
      <c r="AG307" s="257"/>
      <c r="AH307" s="255">
        <v>45701.0</v>
      </c>
      <c r="AI307" s="174">
        <v>359.3</v>
      </c>
      <c r="AJ307" s="256">
        <f t="shared" si="9"/>
        <v>0.00941143419</v>
      </c>
      <c r="AK307" s="257"/>
      <c r="AL307" s="255">
        <v>45701.0</v>
      </c>
      <c r="AM307" s="174">
        <v>6115.07</v>
      </c>
      <c r="AN307" s="256">
        <f t="shared" si="10"/>
        <v>0.01042635704</v>
      </c>
      <c r="AO307" s="154"/>
      <c r="AP307" s="154"/>
    </row>
    <row r="308">
      <c r="A308" s="154"/>
      <c r="B308" s="255">
        <v>45700.0</v>
      </c>
      <c r="C308" s="174">
        <v>14.7</v>
      </c>
      <c r="D308" s="256">
        <f t="shared" si="1"/>
        <v>-0.01672240803</v>
      </c>
      <c r="E308" s="154"/>
      <c r="F308" s="255">
        <v>45700.0</v>
      </c>
      <c r="G308" s="174">
        <v>10.6</v>
      </c>
      <c r="H308" s="256">
        <f t="shared" si="2"/>
        <v>-0.0009425070688</v>
      </c>
      <c r="I308" s="154"/>
      <c r="J308" s="255">
        <v>45700.0</v>
      </c>
      <c r="K308" s="174">
        <v>16.34</v>
      </c>
      <c r="L308" s="256">
        <f t="shared" si="3"/>
        <v>-0.01506931887</v>
      </c>
      <c r="M308" s="154"/>
      <c r="N308" s="255">
        <v>45700.0</v>
      </c>
      <c r="O308" s="174">
        <v>2338.0</v>
      </c>
      <c r="P308" s="256">
        <f t="shared" si="4"/>
        <v>0</v>
      </c>
      <c r="Q308" s="154"/>
      <c r="R308" s="255">
        <v>45700.0</v>
      </c>
      <c r="S308" s="174">
        <v>24.3</v>
      </c>
      <c r="T308" s="256">
        <f t="shared" si="5"/>
        <v>0.004132231405</v>
      </c>
      <c r="U308" s="154"/>
      <c r="V308" s="255">
        <v>45700.0</v>
      </c>
      <c r="W308" s="174">
        <v>1215.85</v>
      </c>
      <c r="X308" s="256">
        <f t="shared" si="6"/>
        <v>0.005000826583</v>
      </c>
      <c r="Y308" s="154"/>
      <c r="Z308" s="255">
        <v>45700.0</v>
      </c>
      <c r="AA308" s="174">
        <v>1449.2</v>
      </c>
      <c r="AB308" s="256">
        <f t="shared" si="7"/>
        <v>-0.002718232805</v>
      </c>
      <c r="AC308" s="154"/>
      <c r="AD308" s="255">
        <v>45700.0</v>
      </c>
      <c r="AE308" s="174">
        <v>12.65</v>
      </c>
      <c r="AF308" s="256">
        <f t="shared" si="8"/>
        <v>-0.002365930599</v>
      </c>
      <c r="AG308" s="257"/>
      <c r="AH308" s="255">
        <v>45700.0</v>
      </c>
      <c r="AI308" s="174">
        <v>355.95</v>
      </c>
      <c r="AJ308" s="256">
        <f t="shared" si="9"/>
        <v>-0.01671270718</v>
      </c>
      <c r="AK308" s="257"/>
      <c r="AL308" s="255">
        <v>45700.0</v>
      </c>
      <c r="AM308" s="174">
        <v>6051.97</v>
      </c>
      <c r="AN308" s="256">
        <f t="shared" si="10"/>
        <v>-0.002723902117</v>
      </c>
      <c r="AO308" s="154"/>
      <c r="AP308" s="154"/>
    </row>
    <row r="309">
      <c r="A309" s="154"/>
      <c r="B309" s="255">
        <v>45699.0</v>
      </c>
      <c r="C309" s="174">
        <v>14.95</v>
      </c>
      <c r="D309" s="256">
        <f t="shared" si="1"/>
        <v>-0.005984042553</v>
      </c>
      <c r="E309" s="154"/>
      <c r="F309" s="255">
        <v>45699.0</v>
      </c>
      <c r="G309" s="174">
        <v>10.61</v>
      </c>
      <c r="H309" s="256">
        <f t="shared" si="2"/>
        <v>-0.0009416195857</v>
      </c>
      <c r="I309" s="154"/>
      <c r="J309" s="255">
        <v>45699.0</v>
      </c>
      <c r="K309" s="174">
        <v>16.59</v>
      </c>
      <c r="L309" s="256">
        <f t="shared" si="3"/>
        <v>-0.01308744795</v>
      </c>
      <c r="M309" s="154"/>
      <c r="N309" s="255">
        <v>45699.0</v>
      </c>
      <c r="O309" s="174">
        <v>2338.0</v>
      </c>
      <c r="P309" s="256">
        <f t="shared" si="4"/>
        <v>0.0129982669</v>
      </c>
      <c r="Q309" s="154"/>
      <c r="R309" s="255">
        <v>45699.0</v>
      </c>
      <c r="S309" s="174">
        <v>24.2</v>
      </c>
      <c r="T309" s="256">
        <f t="shared" si="5"/>
        <v>-0.01224489796</v>
      </c>
      <c r="U309" s="154"/>
      <c r="V309" s="255">
        <v>45699.0</v>
      </c>
      <c r="W309" s="174">
        <v>1209.8</v>
      </c>
      <c r="X309" s="256">
        <f t="shared" si="6"/>
        <v>-0.009132233097</v>
      </c>
      <c r="Y309" s="154"/>
      <c r="Z309" s="255">
        <v>45699.0</v>
      </c>
      <c r="AA309" s="174">
        <v>1453.15</v>
      </c>
      <c r="AB309" s="256">
        <f t="shared" si="7"/>
        <v>-0.003907187168</v>
      </c>
      <c r="AC309" s="154"/>
      <c r="AD309" s="255">
        <v>45699.0</v>
      </c>
      <c r="AE309" s="174">
        <v>12.68</v>
      </c>
      <c r="AF309" s="256">
        <f t="shared" si="8"/>
        <v>-0.005490196078</v>
      </c>
      <c r="AG309" s="257"/>
      <c r="AH309" s="255">
        <v>45699.0</v>
      </c>
      <c r="AI309" s="174">
        <v>362.0</v>
      </c>
      <c r="AJ309" s="256">
        <f t="shared" si="9"/>
        <v>-0.04016969376</v>
      </c>
      <c r="AK309" s="257"/>
      <c r="AL309" s="255">
        <v>45699.0</v>
      </c>
      <c r="AM309" s="174">
        <v>6068.5</v>
      </c>
      <c r="AN309" s="256">
        <f t="shared" si="10"/>
        <v>0.0003395731269</v>
      </c>
      <c r="AO309" s="154"/>
      <c r="AP309" s="154"/>
    </row>
    <row r="310">
      <c r="A310" s="154"/>
      <c r="B310" s="255">
        <v>45698.0</v>
      </c>
      <c r="C310" s="174">
        <v>15.04</v>
      </c>
      <c r="D310" s="256">
        <f t="shared" si="1"/>
        <v>0.02872777018</v>
      </c>
      <c r="E310" s="154"/>
      <c r="F310" s="255">
        <v>45698.0</v>
      </c>
      <c r="G310" s="174">
        <v>10.62</v>
      </c>
      <c r="H310" s="256">
        <f t="shared" si="2"/>
        <v>-0.01025163094</v>
      </c>
      <c r="I310" s="154"/>
      <c r="J310" s="255">
        <v>45698.0</v>
      </c>
      <c r="K310" s="174">
        <v>16.81</v>
      </c>
      <c r="L310" s="256">
        <f t="shared" si="3"/>
        <v>-0.00118835413</v>
      </c>
      <c r="M310" s="154"/>
      <c r="N310" s="255">
        <v>45698.0</v>
      </c>
      <c r="O310" s="174">
        <v>2308.0</v>
      </c>
      <c r="P310" s="256">
        <f t="shared" si="4"/>
        <v>0.01050788091</v>
      </c>
      <c r="Q310" s="154"/>
      <c r="R310" s="255">
        <v>45698.0</v>
      </c>
      <c r="S310" s="174">
        <v>24.5</v>
      </c>
      <c r="T310" s="256">
        <f t="shared" si="5"/>
        <v>-0.00406504065</v>
      </c>
      <c r="U310" s="154"/>
      <c r="V310" s="255">
        <v>45698.0</v>
      </c>
      <c r="W310" s="174">
        <v>1220.95</v>
      </c>
      <c r="X310" s="256">
        <f t="shared" si="6"/>
        <v>-0.01568042567</v>
      </c>
      <c r="Y310" s="154"/>
      <c r="Z310" s="255">
        <v>45698.0</v>
      </c>
      <c r="AA310" s="174">
        <v>1458.85</v>
      </c>
      <c r="AB310" s="256">
        <f t="shared" si="7"/>
        <v>-0.009101715062</v>
      </c>
      <c r="AC310" s="154"/>
      <c r="AD310" s="255">
        <v>45698.0</v>
      </c>
      <c r="AE310" s="174">
        <v>12.75</v>
      </c>
      <c r="AF310" s="256">
        <f t="shared" si="8"/>
        <v>-0.01239349342</v>
      </c>
      <c r="AG310" s="257"/>
      <c r="AH310" s="255">
        <v>45698.0</v>
      </c>
      <c r="AI310" s="174">
        <v>377.15</v>
      </c>
      <c r="AJ310" s="256">
        <f t="shared" si="9"/>
        <v>-0.02494829369</v>
      </c>
      <c r="AK310" s="257"/>
      <c r="AL310" s="255">
        <v>45698.0</v>
      </c>
      <c r="AM310" s="174">
        <v>6066.44</v>
      </c>
      <c r="AN310" s="256">
        <f t="shared" si="10"/>
        <v>0.006712589964</v>
      </c>
      <c r="AO310" s="154"/>
      <c r="AP310" s="154"/>
    </row>
    <row r="311">
      <c r="A311" s="154"/>
      <c r="B311" s="255">
        <v>45695.0</v>
      </c>
      <c r="C311" s="174">
        <v>14.62</v>
      </c>
      <c r="D311" s="256">
        <f t="shared" si="1"/>
        <v>-0.01813297515</v>
      </c>
      <c r="E311" s="154"/>
      <c r="F311" s="255">
        <v>45695.0</v>
      </c>
      <c r="G311" s="174">
        <v>10.73</v>
      </c>
      <c r="H311" s="256">
        <f t="shared" si="2"/>
        <v>-0.01559633028</v>
      </c>
      <c r="I311" s="154"/>
      <c r="J311" s="255">
        <v>45695.0</v>
      </c>
      <c r="K311" s="174">
        <v>16.83</v>
      </c>
      <c r="L311" s="256">
        <f t="shared" si="3"/>
        <v>-0.02660497397</v>
      </c>
      <c r="M311" s="154"/>
      <c r="N311" s="255">
        <v>45695.0</v>
      </c>
      <c r="O311" s="174">
        <v>2284.0</v>
      </c>
      <c r="P311" s="256">
        <f t="shared" si="4"/>
        <v>-0.004359197908</v>
      </c>
      <c r="Q311" s="154"/>
      <c r="R311" s="255">
        <v>45695.0</v>
      </c>
      <c r="S311" s="174">
        <v>24.6</v>
      </c>
      <c r="T311" s="256">
        <f t="shared" si="5"/>
        <v>-0.01481778134</v>
      </c>
      <c r="U311" s="154"/>
      <c r="V311" s="255">
        <v>45695.0</v>
      </c>
      <c r="W311" s="174">
        <v>1240.4</v>
      </c>
      <c r="X311" s="256">
        <f t="shared" si="6"/>
        <v>0.003032385881</v>
      </c>
      <c r="Y311" s="154"/>
      <c r="Z311" s="255">
        <v>45695.0</v>
      </c>
      <c r="AA311" s="174">
        <v>1472.25</v>
      </c>
      <c r="AB311" s="256">
        <f t="shared" si="7"/>
        <v>0.0005096839959</v>
      </c>
      <c r="AC311" s="154"/>
      <c r="AD311" s="255">
        <v>45695.0</v>
      </c>
      <c r="AE311" s="174">
        <v>12.91</v>
      </c>
      <c r="AF311" s="256">
        <f t="shared" si="8"/>
        <v>0.0046692607</v>
      </c>
      <c r="AG311" s="257"/>
      <c r="AH311" s="255">
        <v>45695.0</v>
      </c>
      <c r="AI311" s="174">
        <v>386.8</v>
      </c>
      <c r="AJ311" s="256">
        <f t="shared" si="9"/>
        <v>-0.02556997103</v>
      </c>
      <c r="AK311" s="257"/>
      <c r="AL311" s="255">
        <v>45695.0</v>
      </c>
      <c r="AM311" s="174">
        <v>6025.99</v>
      </c>
      <c r="AN311" s="256">
        <f t="shared" si="10"/>
        <v>-0.009464837258</v>
      </c>
      <c r="AO311" s="154"/>
      <c r="AP311" s="154"/>
    </row>
    <row r="312">
      <c r="A312" s="154"/>
      <c r="B312" s="255">
        <v>45694.0</v>
      </c>
      <c r="C312" s="174">
        <v>14.89</v>
      </c>
      <c r="D312" s="256">
        <f t="shared" si="1"/>
        <v>-0.02616088947</v>
      </c>
      <c r="E312" s="154"/>
      <c r="F312" s="255">
        <v>45694.0</v>
      </c>
      <c r="G312" s="174">
        <v>10.9</v>
      </c>
      <c r="H312" s="256">
        <f t="shared" si="2"/>
        <v>-0.004566210046</v>
      </c>
      <c r="I312" s="154"/>
      <c r="J312" s="255">
        <v>45694.0</v>
      </c>
      <c r="K312" s="174">
        <v>17.29</v>
      </c>
      <c r="L312" s="256">
        <f t="shared" si="3"/>
        <v>0.004648460198</v>
      </c>
      <c r="M312" s="154"/>
      <c r="N312" s="255">
        <v>45694.0</v>
      </c>
      <c r="O312" s="174">
        <v>2294.0</v>
      </c>
      <c r="P312" s="256">
        <f t="shared" si="4"/>
        <v>0.005258545136</v>
      </c>
      <c r="Q312" s="154"/>
      <c r="R312" s="255">
        <v>45694.0</v>
      </c>
      <c r="S312" s="174">
        <v>24.97</v>
      </c>
      <c r="T312" s="256">
        <f t="shared" si="5"/>
        <v>-0.005179282869</v>
      </c>
      <c r="U312" s="154"/>
      <c r="V312" s="255">
        <v>45694.0</v>
      </c>
      <c r="W312" s="174">
        <v>1236.65</v>
      </c>
      <c r="X312" s="256">
        <f t="shared" si="6"/>
        <v>0.007413139994</v>
      </c>
      <c r="Y312" s="154"/>
      <c r="Z312" s="255">
        <v>45694.0</v>
      </c>
      <c r="AA312" s="174">
        <v>1471.5</v>
      </c>
      <c r="AB312" s="256">
        <f t="shared" si="7"/>
        <v>0.02415089087</v>
      </c>
      <c r="AC312" s="154"/>
      <c r="AD312" s="255">
        <v>45694.0</v>
      </c>
      <c r="AE312" s="174">
        <v>12.85</v>
      </c>
      <c r="AF312" s="256">
        <f t="shared" si="8"/>
        <v>0.02472089314</v>
      </c>
      <c r="AG312" s="257"/>
      <c r="AH312" s="255">
        <v>45694.0</v>
      </c>
      <c r="AI312" s="174">
        <v>396.95</v>
      </c>
      <c r="AJ312" s="256">
        <f t="shared" si="9"/>
        <v>0.01716848174</v>
      </c>
      <c r="AK312" s="257"/>
      <c r="AL312" s="255">
        <v>45694.0</v>
      </c>
      <c r="AM312" s="174">
        <v>6083.57</v>
      </c>
      <c r="AN312" s="256">
        <f t="shared" si="10"/>
        <v>0.003644324488</v>
      </c>
      <c r="AO312" s="154"/>
      <c r="AP312" s="154"/>
    </row>
    <row r="313">
      <c r="A313" s="154"/>
      <c r="B313" s="255">
        <v>45693.0</v>
      </c>
      <c r="C313" s="174">
        <v>15.29</v>
      </c>
      <c r="D313" s="256">
        <f t="shared" si="1"/>
        <v>0.0234270415</v>
      </c>
      <c r="E313" s="154"/>
      <c r="F313" s="255">
        <v>45693.0</v>
      </c>
      <c r="G313" s="174">
        <v>10.95</v>
      </c>
      <c r="H313" s="256">
        <f t="shared" si="2"/>
        <v>0.005509641873</v>
      </c>
      <c r="I313" s="154"/>
      <c r="J313" s="255">
        <v>45693.0</v>
      </c>
      <c r="K313" s="174">
        <v>17.21</v>
      </c>
      <c r="L313" s="256">
        <f t="shared" si="3"/>
        <v>0.008792497069</v>
      </c>
      <c r="M313" s="154"/>
      <c r="N313" s="255">
        <v>45693.0</v>
      </c>
      <c r="O313" s="174">
        <v>2282.0</v>
      </c>
      <c r="P313" s="256">
        <f t="shared" si="4"/>
        <v>0.004401408451</v>
      </c>
      <c r="Q313" s="154"/>
      <c r="R313" s="255">
        <v>45693.0</v>
      </c>
      <c r="S313" s="174">
        <v>25.1</v>
      </c>
      <c r="T313" s="256">
        <f t="shared" si="5"/>
        <v>0.0003985651654</v>
      </c>
      <c r="U313" s="154"/>
      <c r="V313" s="255">
        <v>45693.0</v>
      </c>
      <c r="W313" s="174">
        <v>1227.55</v>
      </c>
      <c r="X313" s="256">
        <f t="shared" si="6"/>
        <v>0.006229763515</v>
      </c>
      <c r="Y313" s="154"/>
      <c r="Z313" s="255">
        <v>45693.0</v>
      </c>
      <c r="AA313" s="174">
        <v>1436.8</v>
      </c>
      <c r="AB313" s="256">
        <f t="shared" si="7"/>
        <v>-0.008453814568</v>
      </c>
      <c r="AC313" s="154"/>
      <c r="AD313" s="255">
        <v>45693.0</v>
      </c>
      <c r="AE313" s="174">
        <v>12.54</v>
      </c>
      <c r="AF313" s="256">
        <f t="shared" si="8"/>
        <v>0.008038585209</v>
      </c>
      <c r="AG313" s="257"/>
      <c r="AH313" s="255">
        <v>45693.0</v>
      </c>
      <c r="AI313" s="174">
        <v>390.25</v>
      </c>
      <c r="AJ313" s="256">
        <f t="shared" si="9"/>
        <v>0.05174504784</v>
      </c>
      <c r="AK313" s="257"/>
      <c r="AL313" s="255">
        <v>45693.0</v>
      </c>
      <c r="AM313" s="174">
        <v>6061.48</v>
      </c>
      <c r="AN313" s="256">
        <f t="shared" si="10"/>
        <v>0.003908656681</v>
      </c>
      <c r="AO313" s="154"/>
      <c r="AP313" s="154"/>
    </row>
    <row r="314">
      <c r="A314" s="154"/>
      <c r="B314" s="255">
        <v>45692.0</v>
      </c>
      <c r="C314" s="174">
        <v>14.94</v>
      </c>
      <c r="D314" s="256">
        <f t="shared" si="1"/>
        <v>0.002012072435</v>
      </c>
      <c r="E314" s="154"/>
      <c r="F314" s="255">
        <v>45692.0</v>
      </c>
      <c r="G314" s="174">
        <v>10.89</v>
      </c>
      <c r="H314" s="256">
        <f t="shared" si="2"/>
        <v>-0.01358695652</v>
      </c>
      <c r="I314" s="154"/>
      <c r="J314" s="255">
        <v>45692.0</v>
      </c>
      <c r="K314" s="174">
        <v>17.06</v>
      </c>
      <c r="L314" s="256">
        <f t="shared" si="3"/>
        <v>-0.01671469741</v>
      </c>
      <c r="M314" s="154"/>
      <c r="N314" s="255">
        <v>45692.0</v>
      </c>
      <c r="O314" s="174">
        <v>2272.0</v>
      </c>
      <c r="P314" s="256">
        <f t="shared" si="4"/>
        <v>-0.004382120947</v>
      </c>
      <c r="Q314" s="154"/>
      <c r="R314" s="255">
        <v>45692.0</v>
      </c>
      <c r="S314" s="174">
        <v>25.09</v>
      </c>
      <c r="T314" s="256">
        <f t="shared" si="5"/>
        <v>0</v>
      </c>
      <c r="U314" s="154"/>
      <c r="V314" s="255">
        <v>45692.0</v>
      </c>
      <c r="W314" s="174">
        <v>1219.95</v>
      </c>
      <c r="X314" s="256">
        <f t="shared" si="6"/>
        <v>0.01337375919</v>
      </c>
      <c r="Y314" s="154"/>
      <c r="Z314" s="255">
        <v>45692.0</v>
      </c>
      <c r="AA314" s="174">
        <v>1449.05</v>
      </c>
      <c r="AB314" s="256">
        <f t="shared" si="7"/>
        <v>0.02006265179</v>
      </c>
      <c r="AC314" s="154"/>
      <c r="AD314" s="255">
        <v>45692.0</v>
      </c>
      <c r="AE314" s="174">
        <v>12.44</v>
      </c>
      <c r="AF314" s="256">
        <f t="shared" si="8"/>
        <v>0.004846526656</v>
      </c>
      <c r="AG314" s="257"/>
      <c r="AH314" s="255">
        <v>45692.0</v>
      </c>
      <c r="AI314" s="174">
        <v>371.05</v>
      </c>
      <c r="AJ314" s="256">
        <f t="shared" si="9"/>
        <v>0.01810948004</v>
      </c>
      <c r="AK314" s="257"/>
      <c r="AL314" s="255">
        <v>45692.0</v>
      </c>
      <c r="AM314" s="174">
        <v>6037.88</v>
      </c>
      <c r="AN314" s="256">
        <f t="shared" si="10"/>
        <v>0.007224871842</v>
      </c>
      <c r="AO314" s="154"/>
      <c r="AP314" s="154"/>
    </row>
    <row r="315">
      <c r="A315" s="154"/>
      <c r="B315" s="255">
        <v>45691.0</v>
      </c>
      <c r="C315" s="174">
        <v>14.91</v>
      </c>
      <c r="D315" s="256">
        <f t="shared" si="1"/>
        <v>-0.04177377892</v>
      </c>
      <c r="E315" s="154"/>
      <c r="F315" s="255">
        <v>45691.0</v>
      </c>
      <c r="G315" s="174">
        <v>11.04</v>
      </c>
      <c r="H315" s="256">
        <f t="shared" si="2"/>
        <v>-0.02127659574</v>
      </c>
      <c r="I315" s="154"/>
      <c r="J315" s="255">
        <v>45691.0</v>
      </c>
      <c r="K315" s="174">
        <v>17.35</v>
      </c>
      <c r="L315" s="256">
        <f t="shared" si="3"/>
        <v>-0.02143260011</v>
      </c>
      <c r="M315" s="154"/>
      <c r="N315" s="255">
        <v>45691.0</v>
      </c>
      <c r="O315" s="174">
        <v>2282.0</v>
      </c>
      <c r="P315" s="256">
        <f t="shared" si="4"/>
        <v>-0.004363001745</v>
      </c>
      <c r="Q315" s="154"/>
      <c r="R315" s="255">
        <v>45691.0</v>
      </c>
      <c r="S315" s="174">
        <v>25.09</v>
      </c>
      <c r="T315" s="256">
        <f t="shared" si="5"/>
        <v>0.007226013649</v>
      </c>
      <c r="U315" s="154"/>
      <c r="V315" s="255">
        <v>45691.0</v>
      </c>
      <c r="W315" s="174">
        <v>1203.85</v>
      </c>
      <c r="X315" s="256">
        <f t="shared" si="6"/>
        <v>-0.01108966197</v>
      </c>
      <c r="Y315" s="154"/>
      <c r="Z315" s="255">
        <v>45691.0</v>
      </c>
      <c r="AA315" s="174">
        <v>1420.55</v>
      </c>
      <c r="AB315" s="256">
        <f t="shared" si="7"/>
        <v>-0.03977964039</v>
      </c>
      <c r="AC315" s="154"/>
      <c r="AD315" s="255">
        <v>45691.0</v>
      </c>
      <c r="AE315" s="174">
        <v>12.38</v>
      </c>
      <c r="AF315" s="256">
        <f t="shared" si="8"/>
        <v>-0.02672955975</v>
      </c>
      <c r="AG315" s="257"/>
      <c r="AH315" s="255">
        <v>45691.0</v>
      </c>
      <c r="AI315" s="174">
        <v>364.45</v>
      </c>
      <c r="AJ315" s="256">
        <f t="shared" si="9"/>
        <v>0.005240656461</v>
      </c>
      <c r="AK315" s="257"/>
      <c r="AL315" s="255">
        <v>45691.0</v>
      </c>
      <c r="AM315" s="174">
        <v>5994.57</v>
      </c>
      <c r="AN315" s="256">
        <f t="shared" si="10"/>
        <v>-0.007608603881</v>
      </c>
      <c r="AO315" s="154"/>
      <c r="AP315" s="154"/>
    </row>
    <row r="316">
      <c r="A316" s="154"/>
      <c r="B316" s="255">
        <v>45688.0</v>
      </c>
      <c r="C316" s="174">
        <v>15.56</v>
      </c>
      <c r="D316" s="256">
        <f t="shared" si="1"/>
        <v>-0.02567313713</v>
      </c>
      <c r="E316" s="154"/>
      <c r="F316" s="255">
        <v>45688.0</v>
      </c>
      <c r="G316" s="174">
        <v>11.28</v>
      </c>
      <c r="H316" s="256">
        <f t="shared" si="2"/>
        <v>-0.0122591944</v>
      </c>
      <c r="I316" s="154"/>
      <c r="J316" s="255">
        <v>45688.0</v>
      </c>
      <c r="K316" s="174">
        <v>17.73</v>
      </c>
      <c r="L316" s="256">
        <f t="shared" si="3"/>
        <v>-0.006165919283</v>
      </c>
      <c r="M316" s="154"/>
      <c r="N316" s="255">
        <v>45688.0</v>
      </c>
      <c r="O316" s="174">
        <v>2292.0</v>
      </c>
      <c r="P316" s="256">
        <f t="shared" si="4"/>
        <v>0.005263157895</v>
      </c>
      <c r="Q316" s="154"/>
      <c r="R316" s="255">
        <v>45688.0</v>
      </c>
      <c r="S316" s="174">
        <v>24.91</v>
      </c>
      <c r="T316" s="256">
        <f t="shared" si="5"/>
        <v>-0.0008022462896</v>
      </c>
      <c r="U316" s="154"/>
      <c r="V316" s="255">
        <v>45688.0</v>
      </c>
      <c r="W316" s="174">
        <v>1217.35</v>
      </c>
      <c r="X316" s="256">
        <f t="shared" si="6"/>
        <v>0.01912934282</v>
      </c>
      <c r="Y316" s="154"/>
      <c r="Z316" s="255">
        <v>45688.0</v>
      </c>
      <c r="AA316" s="174">
        <v>1479.4</v>
      </c>
      <c r="AB316" s="256">
        <f t="shared" si="7"/>
        <v>0.01506055096</v>
      </c>
      <c r="AC316" s="154"/>
      <c r="AD316" s="255">
        <v>45688.0</v>
      </c>
      <c r="AE316" s="174">
        <v>12.72</v>
      </c>
      <c r="AF316" s="256">
        <f t="shared" si="8"/>
        <v>0.02497985496</v>
      </c>
      <c r="AG316" s="257"/>
      <c r="AH316" s="255">
        <v>45688.0</v>
      </c>
      <c r="AI316" s="174">
        <v>362.55</v>
      </c>
      <c r="AJ316" s="256">
        <f t="shared" si="9"/>
        <v>0.01554621849</v>
      </c>
      <c r="AK316" s="257"/>
      <c r="AL316" s="255">
        <v>45688.0</v>
      </c>
      <c r="AM316" s="174">
        <v>6040.53</v>
      </c>
      <c r="AN316" s="256">
        <f t="shared" si="10"/>
        <v>-0.00504680317</v>
      </c>
      <c r="AO316" s="154"/>
      <c r="AP316" s="154"/>
    </row>
    <row r="317">
      <c r="A317" s="154"/>
      <c r="B317" s="255">
        <v>45687.0</v>
      </c>
      <c r="C317" s="174">
        <v>15.97</v>
      </c>
      <c r="D317" s="256">
        <f t="shared" si="1"/>
        <v>0.008207070707</v>
      </c>
      <c r="E317" s="154"/>
      <c r="F317" s="255">
        <v>45687.0</v>
      </c>
      <c r="G317" s="174">
        <v>11.42</v>
      </c>
      <c r="H317" s="256">
        <f t="shared" si="2"/>
        <v>0.007943512798</v>
      </c>
      <c r="I317" s="154"/>
      <c r="J317" s="255">
        <v>45687.0</v>
      </c>
      <c r="K317" s="174">
        <v>17.84</v>
      </c>
      <c r="L317" s="256">
        <f t="shared" si="3"/>
        <v>-0.0377562028</v>
      </c>
      <c r="M317" s="154"/>
      <c r="N317" s="255">
        <v>45687.0</v>
      </c>
      <c r="O317" s="174">
        <v>2280.0</v>
      </c>
      <c r="P317" s="256">
        <f t="shared" si="4"/>
        <v>0.01423487544</v>
      </c>
      <c r="Q317" s="154"/>
      <c r="R317" s="255">
        <v>45687.0</v>
      </c>
      <c r="S317" s="174">
        <v>24.93</v>
      </c>
      <c r="T317" s="256">
        <f t="shared" si="5"/>
        <v>0.01053911634</v>
      </c>
      <c r="U317" s="154"/>
      <c r="V317" s="255">
        <v>45687.0</v>
      </c>
      <c r="W317" s="174">
        <v>1194.5</v>
      </c>
      <c r="X317" s="256">
        <f t="shared" si="6"/>
        <v>0.01125973586</v>
      </c>
      <c r="Y317" s="154"/>
      <c r="Z317" s="255">
        <v>45687.0</v>
      </c>
      <c r="AA317" s="174">
        <v>1457.45</v>
      </c>
      <c r="AB317" s="256">
        <f t="shared" si="7"/>
        <v>0.02352610696</v>
      </c>
      <c r="AC317" s="154"/>
      <c r="AD317" s="255">
        <v>45687.0</v>
      </c>
      <c r="AE317" s="174">
        <v>12.41</v>
      </c>
      <c r="AF317" s="256">
        <f t="shared" si="8"/>
        <v>-0.01272871917</v>
      </c>
      <c r="AG317" s="257"/>
      <c r="AH317" s="255">
        <v>45687.0</v>
      </c>
      <c r="AI317" s="174">
        <v>357.0</v>
      </c>
      <c r="AJ317" s="256">
        <f t="shared" si="9"/>
        <v>0.003654765252</v>
      </c>
      <c r="AK317" s="257"/>
      <c r="AL317" s="255">
        <v>45687.0</v>
      </c>
      <c r="AM317" s="174">
        <v>6071.17</v>
      </c>
      <c r="AN317" s="256">
        <f t="shared" si="10"/>
        <v>0.005275437095</v>
      </c>
      <c r="AO317" s="154"/>
      <c r="AP317" s="154"/>
    </row>
    <row r="318">
      <c r="A318" s="154"/>
      <c r="B318" s="255">
        <v>45686.0</v>
      </c>
      <c r="C318" s="174">
        <v>15.84</v>
      </c>
      <c r="D318" s="256">
        <f t="shared" si="1"/>
        <v>-0.01369863014</v>
      </c>
      <c r="E318" s="154"/>
      <c r="F318" s="255">
        <v>45686.0</v>
      </c>
      <c r="G318" s="174">
        <v>11.33</v>
      </c>
      <c r="H318" s="256">
        <f t="shared" si="2"/>
        <v>0.01160714286</v>
      </c>
      <c r="I318" s="154"/>
      <c r="J318" s="255">
        <v>45686.0</v>
      </c>
      <c r="K318" s="174">
        <v>18.54</v>
      </c>
      <c r="L318" s="256">
        <f t="shared" si="3"/>
        <v>-0.138875987</v>
      </c>
      <c r="M318" s="154"/>
      <c r="N318" s="255">
        <v>45686.0</v>
      </c>
      <c r="O318" s="174">
        <v>2248.0</v>
      </c>
      <c r="P318" s="256">
        <f t="shared" si="4"/>
        <v>0.01627486438</v>
      </c>
      <c r="Q318" s="154"/>
      <c r="R318" s="255">
        <v>45686.0</v>
      </c>
      <c r="S318" s="174">
        <v>24.67</v>
      </c>
      <c r="T318" s="256">
        <f t="shared" si="5"/>
        <v>-0.004840661557</v>
      </c>
      <c r="U318" s="154"/>
      <c r="V318" s="255">
        <v>45686.0</v>
      </c>
      <c r="W318" s="174">
        <v>1181.2</v>
      </c>
      <c r="X318" s="256">
        <f t="shared" si="6"/>
        <v>-0.00004232804233</v>
      </c>
      <c r="Y318" s="154"/>
      <c r="Z318" s="255">
        <v>45686.0</v>
      </c>
      <c r="AA318" s="174">
        <v>1423.95</v>
      </c>
      <c r="AB318" s="256">
        <f t="shared" si="7"/>
        <v>0.002358158525</v>
      </c>
      <c r="AC318" s="154"/>
      <c r="AD318" s="255">
        <v>45686.0</v>
      </c>
      <c r="AE318" s="174">
        <v>12.57</v>
      </c>
      <c r="AF318" s="256">
        <f t="shared" si="8"/>
        <v>-0.01334379906</v>
      </c>
      <c r="AG318" s="257"/>
      <c r="AH318" s="255">
        <v>45686.0</v>
      </c>
      <c r="AI318" s="174">
        <v>355.7</v>
      </c>
      <c r="AJ318" s="256">
        <f t="shared" si="9"/>
        <v>-0.01166990831</v>
      </c>
      <c r="AK318" s="257"/>
      <c r="AL318" s="255">
        <v>45686.0</v>
      </c>
      <c r="AM318" s="174">
        <v>6039.31</v>
      </c>
      <c r="AN318" s="256">
        <f t="shared" si="10"/>
        <v>-0.004678873379</v>
      </c>
      <c r="AO318" s="154"/>
      <c r="AP318" s="154"/>
    </row>
    <row r="319">
      <c r="A319" s="154"/>
      <c r="B319" s="255">
        <v>45685.0</v>
      </c>
      <c r="C319" s="174">
        <v>16.06</v>
      </c>
      <c r="D319" s="256">
        <f t="shared" si="1"/>
        <v>-0.012300123</v>
      </c>
      <c r="E319" s="154"/>
      <c r="F319" s="255">
        <v>45685.0</v>
      </c>
      <c r="G319" s="174">
        <v>11.2</v>
      </c>
      <c r="H319" s="256">
        <f t="shared" si="2"/>
        <v>-0.01926444834</v>
      </c>
      <c r="I319" s="154"/>
      <c r="J319" s="255">
        <v>45685.0</v>
      </c>
      <c r="K319" s="174">
        <v>21.53</v>
      </c>
      <c r="L319" s="256">
        <f t="shared" si="3"/>
        <v>-0.01147842057</v>
      </c>
      <c r="M319" s="154"/>
      <c r="N319" s="255">
        <v>45685.0</v>
      </c>
      <c r="O319" s="174">
        <v>2212.0</v>
      </c>
      <c r="P319" s="256">
        <f t="shared" si="4"/>
        <v>0.01841620626</v>
      </c>
      <c r="Q319" s="154"/>
      <c r="R319" s="255">
        <v>45685.0</v>
      </c>
      <c r="S319" s="174">
        <v>24.79</v>
      </c>
      <c r="T319" s="256">
        <f t="shared" si="5"/>
        <v>-0.01431411531</v>
      </c>
      <c r="U319" s="154"/>
      <c r="V319" s="255">
        <v>45685.0</v>
      </c>
      <c r="W319" s="174">
        <v>1181.25</v>
      </c>
      <c r="X319" s="256">
        <f t="shared" si="6"/>
        <v>-0.01369348307</v>
      </c>
      <c r="Y319" s="154"/>
      <c r="Z319" s="255">
        <v>45685.0</v>
      </c>
      <c r="AA319" s="174">
        <v>1420.6</v>
      </c>
      <c r="AB319" s="256">
        <f t="shared" si="7"/>
        <v>0.01754888618</v>
      </c>
      <c r="AC319" s="154"/>
      <c r="AD319" s="255">
        <v>45685.0</v>
      </c>
      <c r="AE319" s="174">
        <v>12.74</v>
      </c>
      <c r="AF319" s="256">
        <f t="shared" si="8"/>
        <v>-0.02450229709</v>
      </c>
      <c r="AG319" s="257"/>
      <c r="AH319" s="255">
        <v>45685.0</v>
      </c>
      <c r="AI319" s="174">
        <v>359.9</v>
      </c>
      <c r="AJ319" s="256">
        <f t="shared" si="9"/>
        <v>-0.02795408508</v>
      </c>
      <c r="AK319" s="257"/>
      <c r="AL319" s="255">
        <v>45685.0</v>
      </c>
      <c r="AM319" s="174">
        <v>6067.7</v>
      </c>
      <c r="AN319" s="256">
        <f t="shared" si="10"/>
        <v>0.009217800901</v>
      </c>
      <c r="AO319" s="154"/>
      <c r="AP319" s="154"/>
    </row>
    <row r="320">
      <c r="A320" s="154"/>
      <c r="B320" s="255">
        <v>45684.0</v>
      </c>
      <c r="C320" s="174">
        <v>16.26</v>
      </c>
      <c r="D320" s="256">
        <f t="shared" si="1"/>
        <v>0.01815904822</v>
      </c>
      <c r="E320" s="154"/>
      <c r="F320" s="255">
        <v>45684.0</v>
      </c>
      <c r="G320" s="174">
        <v>11.42</v>
      </c>
      <c r="H320" s="256">
        <f t="shared" si="2"/>
        <v>0.01964285714</v>
      </c>
      <c r="I320" s="154"/>
      <c r="J320" s="255">
        <v>45684.0</v>
      </c>
      <c r="K320" s="174">
        <v>21.78</v>
      </c>
      <c r="L320" s="256">
        <f t="shared" si="3"/>
        <v>0.004612546125</v>
      </c>
      <c r="M320" s="154"/>
      <c r="N320" s="255">
        <v>45684.0</v>
      </c>
      <c r="O320" s="174">
        <v>2172.0</v>
      </c>
      <c r="P320" s="256">
        <f t="shared" si="4"/>
        <v>0.01971830986</v>
      </c>
      <c r="Q320" s="154"/>
      <c r="R320" s="255">
        <v>45684.0</v>
      </c>
      <c r="S320" s="174">
        <v>25.15</v>
      </c>
      <c r="T320" s="256">
        <f t="shared" si="5"/>
        <v>0.01780655605</v>
      </c>
      <c r="U320" s="154"/>
      <c r="V320" s="255">
        <v>45684.0</v>
      </c>
      <c r="W320" s="174">
        <v>1197.65</v>
      </c>
      <c r="X320" s="256">
        <f t="shared" si="6"/>
        <v>-0.02184743548</v>
      </c>
      <c r="Y320" s="154"/>
      <c r="Z320" s="255">
        <v>45684.0</v>
      </c>
      <c r="AA320" s="174">
        <v>1396.1</v>
      </c>
      <c r="AB320" s="256">
        <f t="shared" si="7"/>
        <v>-0.01084030041</v>
      </c>
      <c r="AC320" s="154"/>
      <c r="AD320" s="255">
        <v>45684.0</v>
      </c>
      <c r="AE320" s="174">
        <v>13.06</v>
      </c>
      <c r="AF320" s="256">
        <f t="shared" si="8"/>
        <v>0.005388760585</v>
      </c>
      <c r="AG320" s="257"/>
      <c r="AH320" s="255">
        <v>45684.0</v>
      </c>
      <c r="AI320" s="174">
        <v>370.25</v>
      </c>
      <c r="AJ320" s="256">
        <f t="shared" si="9"/>
        <v>-0.04636188023</v>
      </c>
      <c r="AK320" s="257"/>
      <c r="AL320" s="255">
        <v>45684.0</v>
      </c>
      <c r="AM320" s="174">
        <v>6012.28</v>
      </c>
      <c r="AN320" s="256">
        <f t="shared" si="10"/>
        <v>-0.01458064262</v>
      </c>
      <c r="AO320" s="154"/>
      <c r="AP320" s="154"/>
    </row>
    <row r="321">
      <c r="A321" s="154"/>
      <c r="B321" s="255">
        <v>45681.0</v>
      </c>
      <c r="C321" s="174">
        <v>15.97</v>
      </c>
      <c r="D321" s="256">
        <f t="shared" si="1"/>
        <v>-0.02681291895</v>
      </c>
      <c r="E321" s="154"/>
      <c r="F321" s="255">
        <v>45681.0</v>
      </c>
      <c r="G321" s="174">
        <v>11.2</v>
      </c>
      <c r="H321" s="256">
        <f t="shared" si="2"/>
        <v>0.005385996409</v>
      </c>
      <c r="I321" s="154"/>
      <c r="J321" s="255">
        <v>45681.0</v>
      </c>
      <c r="K321" s="174">
        <v>21.68</v>
      </c>
      <c r="L321" s="256">
        <f t="shared" si="3"/>
        <v>-0.005048187242</v>
      </c>
      <c r="M321" s="154"/>
      <c r="N321" s="255">
        <v>45681.0</v>
      </c>
      <c r="O321" s="174">
        <v>2130.0</v>
      </c>
      <c r="P321" s="256">
        <f t="shared" si="4"/>
        <v>-0.007455731594</v>
      </c>
      <c r="Q321" s="154"/>
      <c r="R321" s="255">
        <v>45681.0</v>
      </c>
      <c r="S321" s="174">
        <v>24.71</v>
      </c>
      <c r="T321" s="256">
        <f t="shared" si="5"/>
        <v>-0.001616161616</v>
      </c>
      <c r="U321" s="154"/>
      <c r="V321" s="255">
        <v>45681.0</v>
      </c>
      <c r="W321" s="174">
        <v>1224.4</v>
      </c>
      <c r="X321" s="256">
        <f t="shared" si="6"/>
        <v>-0.0504110439</v>
      </c>
      <c r="Y321" s="154"/>
      <c r="Z321" s="255">
        <v>45681.0</v>
      </c>
      <c r="AA321" s="174">
        <v>1411.4</v>
      </c>
      <c r="AB321" s="256">
        <f t="shared" si="7"/>
        <v>-0.02739206836</v>
      </c>
      <c r="AC321" s="154"/>
      <c r="AD321" s="255">
        <v>45681.0</v>
      </c>
      <c r="AE321" s="174">
        <v>12.99</v>
      </c>
      <c r="AF321" s="256">
        <f t="shared" si="8"/>
        <v>-0.009908536585</v>
      </c>
      <c r="AG321" s="257"/>
      <c r="AH321" s="255">
        <v>45681.0</v>
      </c>
      <c r="AI321" s="174">
        <v>388.25</v>
      </c>
      <c r="AJ321" s="256">
        <f t="shared" si="9"/>
        <v>-0.02277875661</v>
      </c>
      <c r="AK321" s="257"/>
      <c r="AL321" s="255">
        <v>45681.0</v>
      </c>
      <c r="AM321" s="174">
        <v>6101.24</v>
      </c>
      <c r="AN321" s="256">
        <f t="shared" si="10"/>
        <v>-0.00285517699</v>
      </c>
      <c r="AO321" s="154"/>
      <c r="AP321" s="154"/>
    </row>
    <row r="322">
      <c r="A322" s="154"/>
      <c r="B322" s="255">
        <v>45680.0</v>
      </c>
      <c r="C322" s="174">
        <v>16.41</v>
      </c>
      <c r="D322" s="256">
        <f t="shared" si="1"/>
        <v>0.03402646503</v>
      </c>
      <c r="E322" s="154"/>
      <c r="F322" s="255">
        <v>45680.0</v>
      </c>
      <c r="G322" s="174">
        <v>11.14</v>
      </c>
      <c r="H322" s="256">
        <f t="shared" si="2"/>
        <v>0</v>
      </c>
      <c r="I322" s="154"/>
      <c r="J322" s="255">
        <v>45680.0</v>
      </c>
      <c r="K322" s="174">
        <v>21.79</v>
      </c>
      <c r="L322" s="256">
        <f t="shared" si="3"/>
        <v>-0.009995456611</v>
      </c>
      <c r="M322" s="154"/>
      <c r="N322" s="255">
        <v>45680.0</v>
      </c>
      <c r="O322" s="174">
        <v>2146.0</v>
      </c>
      <c r="P322" s="256">
        <f t="shared" si="4"/>
        <v>0.007511737089</v>
      </c>
      <c r="Q322" s="154"/>
      <c r="R322" s="255">
        <v>45680.0</v>
      </c>
      <c r="S322" s="174">
        <v>24.75</v>
      </c>
      <c r="T322" s="256">
        <f t="shared" si="5"/>
        <v>0.02910602911</v>
      </c>
      <c r="U322" s="154"/>
      <c r="V322" s="255">
        <v>45680.0</v>
      </c>
      <c r="W322" s="174">
        <v>1289.4</v>
      </c>
      <c r="X322" s="256">
        <f t="shared" si="6"/>
        <v>-0.005284474446</v>
      </c>
      <c r="Y322" s="154"/>
      <c r="Z322" s="255">
        <v>45680.0</v>
      </c>
      <c r="AA322" s="174">
        <v>1451.15</v>
      </c>
      <c r="AB322" s="256">
        <f t="shared" si="7"/>
        <v>0.008163123524</v>
      </c>
      <c r="AC322" s="154"/>
      <c r="AD322" s="255">
        <v>45680.0</v>
      </c>
      <c r="AE322" s="174">
        <v>13.12</v>
      </c>
      <c r="AF322" s="256">
        <f t="shared" si="8"/>
        <v>-0.01279157261</v>
      </c>
      <c r="AG322" s="257"/>
      <c r="AH322" s="255">
        <v>45680.0</v>
      </c>
      <c r="AI322" s="174">
        <v>397.3</v>
      </c>
      <c r="AJ322" s="256">
        <f t="shared" si="9"/>
        <v>0.02383713439</v>
      </c>
      <c r="AK322" s="257"/>
      <c r="AL322" s="255">
        <v>45680.0</v>
      </c>
      <c r="AM322" s="174">
        <v>6118.71</v>
      </c>
      <c r="AN322" s="256">
        <f t="shared" si="10"/>
        <v>0.005313511995</v>
      </c>
      <c r="AO322" s="154"/>
      <c r="AP322" s="154"/>
    </row>
    <row r="323">
      <c r="A323" s="154"/>
      <c r="B323" s="255">
        <v>45679.0</v>
      </c>
      <c r="C323" s="174">
        <v>15.87</v>
      </c>
      <c r="D323" s="256">
        <f t="shared" si="1"/>
        <v>-0.0006297229219</v>
      </c>
      <c r="E323" s="154"/>
      <c r="F323" s="255">
        <v>45679.0</v>
      </c>
      <c r="G323" s="174">
        <v>11.14</v>
      </c>
      <c r="H323" s="256">
        <f t="shared" si="2"/>
        <v>-0.01676963813</v>
      </c>
      <c r="I323" s="154"/>
      <c r="J323" s="255">
        <v>45679.0</v>
      </c>
      <c r="K323" s="174">
        <v>22.01</v>
      </c>
      <c r="L323" s="256">
        <f t="shared" si="3"/>
        <v>0.008707607699</v>
      </c>
      <c r="M323" s="154"/>
      <c r="N323" s="255">
        <v>45679.0</v>
      </c>
      <c r="O323" s="174">
        <v>2130.0</v>
      </c>
      <c r="P323" s="256">
        <f t="shared" si="4"/>
        <v>0.009478672986</v>
      </c>
      <c r="Q323" s="154"/>
      <c r="R323" s="255">
        <v>45679.0</v>
      </c>
      <c r="S323" s="174">
        <v>24.05</v>
      </c>
      <c r="T323" s="256">
        <f t="shared" si="5"/>
        <v>-0.0163599182</v>
      </c>
      <c r="U323" s="154"/>
      <c r="V323" s="255">
        <v>45679.0</v>
      </c>
      <c r="W323" s="174">
        <v>1296.25</v>
      </c>
      <c r="X323" s="256">
        <f t="shared" si="6"/>
        <v>0.006288087567</v>
      </c>
      <c r="Y323" s="154"/>
      <c r="Z323" s="255">
        <v>45679.0</v>
      </c>
      <c r="AA323" s="174">
        <v>1439.4</v>
      </c>
      <c r="AB323" s="256">
        <f t="shared" si="7"/>
        <v>0.007983193277</v>
      </c>
      <c r="AC323" s="154"/>
      <c r="AD323" s="255">
        <v>45679.0</v>
      </c>
      <c r="AE323" s="174">
        <v>13.29</v>
      </c>
      <c r="AF323" s="256">
        <f t="shared" si="8"/>
        <v>-0.005239520958</v>
      </c>
      <c r="AG323" s="257"/>
      <c r="AH323" s="255">
        <v>45679.0</v>
      </c>
      <c r="AI323" s="174">
        <v>388.05</v>
      </c>
      <c r="AJ323" s="256">
        <f t="shared" si="9"/>
        <v>-0.006401229036</v>
      </c>
      <c r="AK323" s="257"/>
      <c r="AL323" s="255">
        <v>45679.0</v>
      </c>
      <c r="AM323" s="174">
        <v>6086.37</v>
      </c>
      <c r="AN323" s="256">
        <f t="shared" si="10"/>
        <v>0.006137961132</v>
      </c>
      <c r="AO323" s="154"/>
      <c r="AP323" s="154"/>
    </row>
    <row r="324">
      <c r="A324" s="154"/>
      <c r="B324" s="255">
        <v>45678.0</v>
      </c>
      <c r="C324" s="174">
        <v>15.88</v>
      </c>
      <c r="D324" s="256">
        <f t="shared" si="1"/>
        <v>0.008894536213</v>
      </c>
      <c r="E324" s="154"/>
      <c r="F324" s="255">
        <v>45678.0</v>
      </c>
      <c r="G324" s="174">
        <v>11.33</v>
      </c>
      <c r="H324" s="256">
        <f t="shared" si="2"/>
        <v>0.002654867257</v>
      </c>
      <c r="I324" s="154"/>
      <c r="J324" s="255">
        <v>45678.0</v>
      </c>
      <c r="K324" s="174">
        <v>21.82</v>
      </c>
      <c r="L324" s="256">
        <f t="shared" si="3"/>
        <v>-0.004562043796</v>
      </c>
      <c r="M324" s="154"/>
      <c r="N324" s="255">
        <v>45678.0</v>
      </c>
      <c r="O324" s="174">
        <v>2110.0</v>
      </c>
      <c r="P324" s="256">
        <f t="shared" si="4"/>
        <v>0.01150527325</v>
      </c>
      <c r="Q324" s="154"/>
      <c r="R324" s="255">
        <v>45678.0</v>
      </c>
      <c r="S324" s="174">
        <v>24.45</v>
      </c>
      <c r="T324" s="256">
        <f t="shared" si="5"/>
        <v>0.02558724832</v>
      </c>
      <c r="U324" s="154"/>
      <c r="V324" s="255">
        <v>45678.0</v>
      </c>
      <c r="W324" s="174">
        <v>1288.15</v>
      </c>
      <c r="X324" s="256">
        <f t="shared" si="6"/>
        <v>-0.01622880709</v>
      </c>
      <c r="Y324" s="154"/>
      <c r="Z324" s="255">
        <v>45678.0</v>
      </c>
      <c r="AA324" s="174">
        <v>1428.0</v>
      </c>
      <c r="AB324" s="256">
        <f t="shared" si="7"/>
        <v>-0.009914719545</v>
      </c>
      <c r="AC324" s="154"/>
      <c r="AD324" s="255">
        <v>45678.0</v>
      </c>
      <c r="AE324" s="174">
        <v>13.36</v>
      </c>
      <c r="AF324" s="256">
        <f t="shared" si="8"/>
        <v>0.006782215524</v>
      </c>
      <c r="AG324" s="257"/>
      <c r="AH324" s="255">
        <v>45678.0</v>
      </c>
      <c r="AI324" s="174">
        <v>390.55</v>
      </c>
      <c r="AJ324" s="256">
        <f t="shared" si="9"/>
        <v>-0.008001016002</v>
      </c>
      <c r="AK324" s="257"/>
      <c r="AL324" s="255">
        <v>45678.0</v>
      </c>
      <c r="AM324" s="174">
        <v>6049.24</v>
      </c>
      <c r="AN324" s="256">
        <f t="shared" si="10"/>
        <v>0.008768214306</v>
      </c>
      <c r="AO324" s="154"/>
      <c r="AP324" s="154"/>
    </row>
    <row r="325">
      <c r="A325" s="154"/>
      <c r="B325" s="255">
        <v>45674.0</v>
      </c>
      <c r="C325" s="174">
        <v>15.74</v>
      </c>
      <c r="D325" s="256">
        <f t="shared" si="1"/>
        <v>-0.02719406675</v>
      </c>
      <c r="E325" s="154"/>
      <c r="F325" s="255">
        <v>45674.0</v>
      </c>
      <c r="G325" s="174">
        <v>11.3</v>
      </c>
      <c r="H325" s="256">
        <f t="shared" si="2"/>
        <v>-0.003527336861</v>
      </c>
      <c r="I325" s="154"/>
      <c r="J325" s="255">
        <v>45674.0</v>
      </c>
      <c r="K325" s="174">
        <v>21.92</v>
      </c>
      <c r="L325" s="256">
        <f t="shared" si="3"/>
        <v>0.0110701107</v>
      </c>
      <c r="M325" s="154"/>
      <c r="N325" s="255">
        <v>45674.0</v>
      </c>
      <c r="O325" s="174">
        <v>2086.0</v>
      </c>
      <c r="P325" s="256">
        <f t="shared" si="4"/>
        <v>0.006756756757</v>
      </c>
      <c r="Q325" s="154"/>
      <c r="R325" s="255">
        <v>45674.0</v>
      </c>
      <c r="S325" s="174">
        <v>23.84</v>
      </c>
      <c r="T325" s="256">
        <f t="shared" si="5"/>
        <v>-0.0008382229673</v>
      </c>
      <c r="U325" s="154"/>
      <c r="V325" s="255">
        <v>45674.0</v>
      </c>
      <c r="W325" s="174">
        <v>1309.4</v>
      </c>
      <c r="X325" s="256">
        <f t="shared" si="6"/>
        <v>0.005104586452</v>
      </c>
      <c r="Y325" s="154"/>
      <c r="Z325" s="255">
        <v>45674.0</v>
      </c>
      <c r="AA325" s="174">
        <v>1442.3</v>
      </c>
      <c r="AB325" s="256">
        <f t="shared" si="7"/>
        <v>-0.0008313127814</v>
      </c>
      <c r="AC325" s="154"/>
      <c r="AD325" s="255">
        <v>45674.0</v>
      </c>
      <c r="AE325" s="174">
        <v>13.27</v>
      </c>
      <c r="AF325" s="256">
        <f t="shared" si="8"/>
        <v>0.003023431595</v>
      </c>
      <c r="AG325" s="257"/>
      <c r="AH325" s="255">
        <v>45674.0</v>
      </c>
      <c r="AI325" s="174">
        <v>393.7</v>
      </c>
      <c r="AJ325" s="256">
        <f t="shared" si="9"/>
        <v>0.001398957141</v>
      </c>
      <c r="AK325" s="257"/>
      <c r="AL325" s="255">
        <v>45674.0</v>
      </c>
      <c r="AM325" s="174">
        <v>5996.66</v>
      </c>
      <c r="AN325" s="256">
        <f t="shared" si="10"/>
        <v>0.009991006073</v>
      </c>
      <c r="AO325" s="154"/>
      <c r="AP325" s="154"/>
    </row>
    <row r="326">
      <c r="A326" s="154"/>
      <c r="B326" s="255">
        <v>45673.0</v>
      </c>
      <c r="C326" s="174">
        <v>16.18</v>
      </c>
      <c r="D326" s="256">
        <f t="shared" si="1"/>
        <v>0.02860775588</v>
      </c>
      <c r="E326" s="154"/>
      <c r="F326" s="255">
        <v>45673.0</v>
      </c>
      <c r="G326" s="174">
        <v>11.34</v>
      </c>
      <c r="H326" s="256">
        <f t="shared" si="2"/>
        <v>-0.004389815628</v>
      </c>
      <c r="I326" s="154"/>
      <c r="J326" s="255">
        <v>45673.0</v>
      </c>
      <c r="K326" s="174">
        <v>21.68</v>
      </c>
      <c r="L326" s="256">
        <f t="shared" si="3"/>
        <v>-0.01185050137</v>
      </c>
      <c r="M326" s="154"/>
      <c r="N326" s="255">
        <v>45673.0</v>
      </c>
      <c r="O326" s="174">
        <v>2072.0</v>
      </c>
      <c r="P326" s="256">
        <f t="shared" si="4"/>
        <v>0.02169625247</v>
      </c>
      <c r="Q326" s="154"/>
      <c r="R326" s="255">
        <v>45673.0</v>
      </c>
      <c r="S326" s="174">
        <v>23.86</v>
      </c>
      <c r="T326" s="256">
        <f t="shared" si="5"/>
        <v>0.01531914894</v>
      </c>
      <c r="U326" s="154"/>
      <c r="V326" s="255">
        <v>45673.0</v>
      </c>
      <c r="W326" s="174">
        <v>1302.75</v>
      </c>
      <c r="X326" s="256">
        <f t="shared" si="6"/>
        <v>-0.02576278792</v>
      </c>
      <c r="Y326" s="154"/>
      <c r="Z326" s="255">
        <v>45673.0</v>
      </c>
      <c r="AA326" s="174">
        <v>1443.5</v>
      </c>
      <c r="AB326" s="256">
        <f t="shared" si="7"/>
        <v>-0.002556661139</v>
      </c>
      <c r="AC326" s="154"/>
      <c r="AD326" s="255">
        <v>45673.0</v>
      </c>
      <c r="AE326" s="174">
        <v>13.23</v>
      </c>
      <c r="AF326" s="256">
        <f t="shared" si="8"/>
        <v>0.002272727273</v>
      </c>
      <c r="AG326" s="257"/>
      <c r="AH326" s="255">
        <v>45673.0</v>
      </c>
      <c r="AI326" s="174">
        <v>393.15</v>
      </c>
      <c r="AJ326" s="256">
        <f t="shared" si="9"/>
        <v>0.02905378877</v>
      </c>
      <c r="AK326" s="257"/>
      <c r="AL326" s="255">
        <v>45673.0</v>
      </c>
      <c r="AM326" s="174">
        <v>5937.34</v>
      </c>
      <c r="AN326" s="256">
        <f t="shared" si="10"/>
        <v>-0.002112636998</v>
      </c>
      <c r="AO326" s="154"/>
      <c r="AP326" s="154"/>
    </row>
    <row r="327">
      <c r="A327" s="154"/>
      <c r="B327" s="255">
        <v>45672.0</v>
      </c>
      <c r="C327" s="174">
        <v>15.73</v>
      </c>
      <c r="D327" s="256">
        <f t="shared" si="1"/>
        <v>-0.005060088552</v>
      </c>
      <c r="E327" s="154"/>
      <c r="F327" s="255">
        <v>45672.0</v>
      </c>
      <c r="G327" s="174">
        <v>11.39</v>
      </c>
      <c r="H327" s="256">
        <f t="shared" si="2"/>
        <v>-0.02815699659</v>
      </c>
      <c r="I327" s="154"/>
      <c r="J327" s="255">
        <v>45672.0</v>
      </c>
      <c r="K327" s="174">
        <v>21.94</v>
      </c>
      <c r="L327" s="256">
        <f t="shared" si="3"/>
        <v>0.04575786463</v>
      </c>
      <c r="M327" s="154"/>
      <c r="N327" s="255">
        <v>45672.0</v>
      </c>
      <c r="O327" s="174">
        <v>2028.0</v>
      </c>
      <c r="P327" s="256">
        <f t="shared" si="4"/>
        <v>0.01298701299</v>
      </c>
      <c r="Q327" s="154"/>
      <c r="R327" s="255">
        <v>45672.0</v>
      </c>
      <c r="S327" s="174">
        <v>23.5</v>
      </c>
      <c r="T327" s="256">
        <f t="shared" si="5"/>
        <v>-0.0004253509145</v>
      </c>
      <c r="U327" s="154"/>
      <c r="V327" s="255">
        <v>45672.0</v>
      </c>
      <c r="W327" s="174">
        <v>1337.2</v>
      </c>
      <c r="X327" s="256">
        <f t="shared" si="6"/>
        <v>-0.0002616724608</v>
      </c>
      <c r="Y327" s="154"/>
      <c r="Z327" s="255">
        <v>45672.0</v>
      </c>
      <c r="AA327" s="174">
        <v>1447.2</v>
      </c>
      <c r="AB327" s="256">
        <f t="shared" si="7"/>
        <v>-0.0003798998446</v>
      </c>
      <c r="AC327" s="154"/>
      <c r="AD327" s="255">
        <v>45672.0</v>
      </c>
      <c r="AE327" s="174">
        <v>13.2</v>
      </c>
      <c r="AF327" s="256">
        <f t="shared" si="8"/>
        <v>-0.00826446281</v>
      </c>
      <c r="AG327" s="257"/>
      <c r="AH327" s="255">
        <v>45672.0</v>
      </c>
      <c r="AI327" s="174">
        <v>382.05</v>
      </c>
      <c r="AJ327" s="256">
        <f t="shared" si="9"/>
        <v>-0.0144460209</v>
      </c>
      <c r="AK327" s="257"/>
      <c r="AL327" s="255">
        <v>45672.0</v>
      </c>
      <c r="AM327" s="174">
        <v>5949.91</v>
      </c>
      <c r="AN327" s="256">
        <f t="shared" si="10"/>
        <v>0.01831279277</v>
      </c>
      <c r="AO327" s="154"/>
      <c r="AP327" s="154"/>
    </row>
    <row r="328">
      <c r="A328" s="154"/>
      <c r="B328" s="255">
        <v>45671.0</v>
      </c>
      <c r="C328" s="174">
        <v>15.81</v>
      </c>
      <c r="D328" s="256">
        <f t="shared" si="1"/>
        <v>0.009578544061</v>
      </c>
      <c r="E328" s="154"/>
      <c r="F328" s="255">
        <v>45671.0</v>
      </c>
      <c r="G328" s="174">
        <v>11.72</v>
      </c>
      <c r="H328" s="256">
        <f t="shared" si="2"/>
        <v>-0.006779661017</v>
      </c>
      <c r="I328" s="154"/>
      <c r="J328" s="255">
        <v>45671.0</v>
      </c>
      <c r="K328" s="174">
        <v>20.98</v>
      </c>
      <c r="L328" s="256">
        <f t="shared" si="3"/>
        <v>0.02641878669</v>
      </c>
      <c r="M328" s="154"/>
      <c r="N328" s="255">
        <v>45671.0</v>
      </c>
      <c r="O328" s="174">
        <v>2002.0</v>
      </c>
      <c r="P328" s="256">
        <f t="shared" si="4"/>
        <v>-0.002988047809</v>
      </c>
      <c r="Q328" s="154"/>
      <c r="R328" s="255">
        <v>45671.0</v>
      </c>
      <c r="S328" s="174">
        <v>23.51</v>
      </c>
      <c r="T328" s="256">
        <f t="shared" si="5"/>
        <v>-0.03410024651</v>
      </c>
      <c r="U328" s="154"/>
      <c r="V328" s="255">
        <v>45671.0</v>
      </c>
      <c r="W328" s="174">
        <v>1337.55</v>
      </c>
      <c r="X328" s="256">
        <f t="shared" si="6"/>
        <v>0.001835068534</v>
      </c>
      <c r="Y328" s="154"/>
      <c r="Z328" s="255">
        <v>45671.0</v>
      </c>
      <c r="AA328" s="174">
        <v>1447.75</v>
      </c>
      <c r="AB328" s="256">
        <f t="shared" si="7"/>
        <v>0.005940800445</v>
      </c>
      <c r="AC328" s="154"/>
      <c r="AD328" s="255">
        <v>45671.0</v>
      </c>
      <c r="AE328" s="174">
        <v>13.31</v>
      </c>
      <c r="AF328" s="256">
        <f t="shared" si="8"/>
        <v>0.006807866868</v>
      </c>
      <c r="AG328" s="257"/>
      <c r="AH328" s="255">
        <v>45671.0</v>
      </c>
      <c r="AI328" s="174">
        <v>387.65</v>
      </c>
      <c r="AJ328" s="256">
        <f t="shared" si="9"/>
        <v>0.06147316539</v>
      </c>
      <c r="AK328" s="257"/>
      <c r="AL328" s="255">
        <v>45671.0</v>
      </c>
      <c r="AM328" s="174">
        <v>5842.91</v>
      </c>
      <c r="AN328" s="256">
        <f t="shared" si="10"/>
        <v>0.001146289893</v>
      </c>
      <c r="AO328" s="154"/>
      <c r="AP328" s="154"/>
    </row>
    <row r="329">
      <c r="A329" s="154"/>
      <c r="B329" s="255">
        <v>45670.0</v>
      </c>
      <c r="C329" s="174">
        <v>15.66</v>
      </c>
      <c r="D329" s="256">
        <f t="shared" si="1"/>
        <v>-0.0119873817</v>
      </c>
      <c r="E329" s="154"/>
      <c r="F329" s="255">
        <v>45670.0</v>
      </c>
      <c r="G329" s="174">
        <v>11.8</v>
      </c>
      <c r="H329" s="256">
        <f t="shared" si="2"/>
        <v>0.01113967438</v>
      </c>
      <c r="I329" s="154"/>
      <c r="J329" s="255">
        <v>45670.0</v>
      </c>
      <c r="K329" s="174">
        <v>20.44</v>
      </c>
      <c r="L329" s="256">
        <f t="shared" si="3"/>
        <v>-0.02387774594</v>
      </c>
      <c r="M329" s="154"/>
      <c r="N329" s="255">
        <v>45670.0</v>
      </c>
      <c r="O329" s="174">
        <v>2008.0</v>
      </c>
      <c r="P329" s="256">
        <f t="shared" si="4"/>
        <v>-0.006923837784</v>
      </c>
      <c r="Q329" s="154"/>
      <c r="R329" s="255">
        <v>45670.0</v>
      </c>
      <c r="S329" s="174">
        <v>24.34</v>
      </c>
      <c r="T329" s="256">
        <f t="shared" si="5"/>
        <v>-0.001640689089</v>
      </c>
      <c r="U329" s="154"/>
      <c r="V329" s="255">
        <v>45670.0</v>
      </c>
      <c r="W329" s="174">
        <v>1335.1</v>
      </c>
      <c r="X329" s="256">
        <f t="shared" si="6"/>
        <v>-0.01424985233</v>
      </c>
      <c r="Y329" s="154"/>
      <c r="Z329" s="255">
        <v>45670.0</v>
      </c>
      <c r="AA329" s="174">
        <v>1439.2</v>
      </c>
      <c r="AB329" s="256">
        <f t="shared" si="7"/>
        <v>-0.02015250545</v>
      </c>
      <c r="AC329" s="154"/>
      <c r="AD329" s="255">
        <v>45670.0</v>
      </c>
      <c r="AE329" s="174">
        <v>13.22</v>
      </c>
      <c r="AF329" s="256">
        <f t="shared" si="8"/>
        <v>-0.02218934911</v>
      </c>
      <c r="AG329" s="257"/>
      <c r="AH329" s="255">
        <v>45670.0</v>
      </c>
      <c r="AI329" s="174">
        <v>365.2</v>
      </c>
      <c r="AJ329" s="256">
        <f t="shared" si="9"/>
        <v>0.011774484</v>
      </c>
      <c r="AK329" s="257"/>
      <c r="AL329" s="255">
        <v>45670.0</v>
      </c>
      <c r="AM329" s="174">
        <v>5836.22</v>
      </c>
      <c r="AN329" s="256">
        <f t="shared" si="10"/>
        <v>0.001575413932</v>
      </c>
      <c r="AO329" s="154"/>
      <c r="AP329" s="154"/>
    </row>
    <row r="330">
      <c r="A330" s="154"/>
      <c r="B330" s="255">
        <v>45667.0</v>
      </c>
      <c r="C330" s="174">
        <v>15.85</v>
      </c>
      <c r="D330" s="256">
        <f t="shared" si="1"/>
        <v>-0.009375</v>
      </c>
      <c r="E330" s="154"/>
      <c r="F330" s="255">
        <v>45667.0</v>
      </c>
      <c r="G330" s="174">
        <v>11.67</v>
      </c>
      <c r="H330" s="256">
        <f t="shared" si="2"/>
        <v>-0.02424749164</v>
      </c>
      <c r="I330" s="154"/>
      <c r="J330" s="255">
        <v>45667.0</v>
      </c>
      <c r="K330" s="174">
        <v>20.94</v>
      </c>
      <c r="L330" s="256">
        <f t="shared" si="3"/>
        <v>-0.02559329921</v>
      </c>
      <c r="M330" s="154"/>
      <c r="N330" s="255">
        <v>45667.0</v>
      </c>
      <c r="O330" s="174">
        <v>2022.0</v>
      </c>
      <c r="P330" s="256">
        <f t="shared" si="4"/>
        <v>-0.0193986421</v>
      </c>
      <c r="Q330" s="154"/>
      <c r="R330" s="255">
        <v>45667.0</v>
      </c>
      <c r="S330" s="174">
        <v>24.38</v>
      </c>
      <c r="T330" s="256">
        <f t="shared" si="5"/>
        <v>-0.02674650699</v>
      </c>
      <c r="U330" s="154"/>
      <c r="V330" s="255">
        <v>45667.0</v>
      </c>
      <c r="W330" s="174">
        <v>1354.4</v>
      </c>
      <c r="X330" s="256">
        <f t="shared" si="6"/>
        <v>-0.01192777676</v>
      </c>
      <c r="Y330" s="154"/>
      <c r="Z330" s="255">
        <v>45667.0</v>
      </c>
      <c r="AA330" s="174">
        <v>1468.8</v>
      </c>
      <c r="AB330" s="256">
        <f t="shared" si="7"/>
        <v>-0.01745936183</v>
      </c>
      <c r="AC330" s="154"/>
      <c r="AD330" s="255">
        <v>45667.0</v>
      </c>
      <c r="AE330" s="174">
        <v>13.52</v>
      </c>
      <c r="AF330" s="256">
        <f t="shared" si="8"/>
        <v>0.02037735849</v>
      </c>
      <c r="AG330" s="257"/>
      <c r="AH330" s="255">
        <v>45667.0</v>
      </c>
      <c r="AI330" s="174">
        <v>360.95</v>
      </c>
      <c r="AJ330" s="256">
        <f t="shared" si="9"/>
        <v>-0.02761314655</v>
      </c>
      <c r="AK330" s="257"/>
      <c r="AL330" s="255">
        <v>45667.0</v>
      </c>
      <c r="AM330" s="174">
        <v>5827.04</v>
      </c>
      <c r="AN330" s="256">
        <f t="shared" si="10"/>
        <v>-0.0154116504</v>
      </c>
      <c r="AO330" s="154"/>
      <c r="AP330" s="154"/>
    </row>
    <row r="331">
      <c r="A331" s="154"/>
      <c r="B331" s="255">
        <v>45665.0</v>
      </c>
      <c r="C331" s="174">
        <v>16.0</v>
      </c>
      <c r="D331" s="256">
        <f t="shared" si="1"/>
        <v>0.01781170483</v>
      </c>
      <c r="E331" s="154"/>
      <c r="F331" s="255">
        <v>45665.0</v>
      </c>
      <c r="G331" s="174">
        <v>11.96</v>
      </c>
      <c r="H331" s="256">
        <f t="shared" si="2"/>
        <v>-0.003333333333</v>
      </c>
      <c r="I331" s="154"/>
      <c r="J331" s="255">
        <v>45665.0</v>
      </c>
      <c r="K331" s="174">
        <v>21.49</v>
      </c>
      <c r="L331" s="256">
        <f t="shared" si="3"/>
        <v>-0.005092592593</v>
      </c>
      <c r="M331" s="154"/>
      <c r="N331" s="255">
        <v>45666.0</v>
      </c>
      <c r="O331" s="174">
        <v>2062.0</v>
      </c>
      <c r="P331" s="256">
        <f t="shared" si="4"/>
        <v>0.02383316783</v>
      </c>
      <c r="Q331" s="154"/>
      <c r="R331" s="255">
        <v>45665.0</v>
      </c>
      <c r="S331" s="174">
        <v>25.05</v>
      </c>
      <c r="T331" s="256">
        <f t="shared" si="5"/>
        <v>0.004008016032</v>
      </c>
      <c r="U331" s="154"/>
      <c r="V331" s="255">
        <v>45665.0</v>
      </c>
      <c r="W331" s="174">
        <v>1370.75</v>
      </c>
      <c r="X331" s="256">
        <f t="shared" si="6"/>
        <v>0.01420591173</v>
      </c>
      <c r="Y331" s="154"/>
      <c r="Z331" s="255">
        <v>45665.0</v>
      </c>
      <c r="AA331" s="174">
        <v>1494.9</v>
      </c>
      <c r="AB331" s="256">
        <f t="shared" si="7"/>
        <v>-0.001702894921</v>
      </c>
      <c r="AC331" s="154"/>
      <c r="AD331" s="255">
        <v>45665.0</v>
      </c>
      <c r="AE331" s="174">
        <v>13.25</v>
      </c>
      <c r="AF331" s="256">
        <f t="shared" si="8"/>
        <v>0.01145038168</v>
      </c>
      <c r="AG331" s="257"/>
      <c r="AH331" s="255">
        <v>45665.0</v>
      </c>
      <c r="AI331" s="174">
        <v>371.2</v>
      </c>
      <c r="AJ331" s="256">
        <f t="shared" si="9"/>
        <v>-0.02916176278</v>
      </c>
      <c r="AK331" s="257"/>
      <c r="AL331" s="255">
        <v>45665.0</v>
      </c>
      <c r="AM331" s="174">
        <v>5918.25</v>
      </c>
      <c r="AN331" s="256">
        <f t="shared" si="10"/>
        <v>0.001560323776</v>
      </c>
      <c r="AO331" s="154"/>
      <c r="AP331" s="154"/>
    </row>
    <row r="332">
      <c r="A332" s="154"/>
      <c r="B332" s="255">
        <v>45664.0</v>
      </c>
      <c r="C332" s="174">
        <v>15.72</v>
      </c>
      <c r="D332" s="256">
        <f t="shared" si="1"/>
        <v>0.01550387597</v>
      </c>
      <c r="E332" s="154"/>
      <c r="F332" s="255">
        <v>45664.0</v>
      </c>
      <c r="G332" s="174">
        <v>12.0</v>
      </c>
      <c r="H332" s="256">
        <f t="shared" si="2"/>
        <v>0.004184100418</v>
      </c>
      <c r="I332" s="154"/>
      <c r="J332" s="255">
        <v>45664.0</v>
      </c>
      <c r="K332" s="174">
        <v>21.6</v>
      </c>
      <c r="L332" s="256">
        <f t="shared" si="3"/>
        <v>0.02515424775</v>
      </c>
      <c r="M332" s="154"/>
      <c r="N332" s="255">
        <v>45665.0</v>
      </c>
      <c r="O332" s="174">
        <v>2014.0</v>
      </c>
      <c r="P332" s="256">
        <f t="shared" si="4"/>
        <v>0.0009940357853</v>
      </c>
      <c r="Q332" s="154"/>
      <c r="R332" s="255">
        <v>45664.0</v>
      </c>
      <c r="S332" s="174">
        <v>24.95</v>
      </c>
      <c r="T332" s="256">
        <f t="shared" si="5"/>
        <v>-0.01461295419</v>
      </c>
      <c r="U332" s="154"/>
      <c r="V332" s="255">
        <v>45664.0</v>
      </c>
      <c r="W332" s="174">
        <v>1351.55</v>
      </c>
      <c r="X332" s="256">
        <f t="shared" si="6"/>
        <v>0.0008886584959</v>
      </c>
      <c r="Y332" s="154"/>
      <c r="Z332" s="255">
        <v>45664.0</v>
      </c>
      <c r="AA332" s="174">
        <v>1497.45</v>
      </c>
      <c r="AB332" s="256">
        <f t="shared" si="7"/>
        <v>0.004056591122</v>
      </c>
      <c r="AC332" s="154"/>
      <c r="AD332" s="255">
        <v>45664.0</v>
      </c>
      <c r="AE332" s="174">
        <v>13.1</v>
      </c>
      <c r="AF332" s="256">
        <f t="shared" si="8"/>
        <v>-0.01503759398</v>
      </c>
      <c r="AG332" s="257"/>
      <c r="AH332" s="255">
        <v>45664.0</v>
      </c>
      <c r="AI332" s="174">
        <v>382.35</v>
      </c>
      <c r="AJ332" s="256">
        <f t="shared" si="9"/>
        <v>0.06771851438</v>
      </c>
      <c r="AK332" s="257"/>
      <c r="AL332" s="255">
        <v>45664.0</v>
      </c>
      <c r="AM332" s="174">
        <v>5909.03</v>
      </c>
      <c r="AN332" s="256">
        <f t="shared" si="10"/>
        <v>-0.01110389632</v>
      </c>
      <c r="AO332" s="154"/>
      <c r="AP332" s="154"/>
    </row>
    <row r="333">
      <c r="A333" s="154"/>
      <c r="B333" s="255">
        <v>45663.0</v>
      </c>
      <c r="C333" s="174">
        <v>15.48</v>
      </c>
      <c r="D333" s="256">
        <f t="shared" si="1"/>
        <v>0.002590673575</v>
      </c>
      <c r="E333" s="154"/>
      <c r="F333" s="255">
        <v>45663.0</v>
      </c>
      <c r="G333" s="174">
        <v>11.95</v>
      </c>
      <c r="H333" s="256">
        <f t="shared" si="2"/>
        <v>-0.02687296417</v>
      </c>
      <c r="I333" s="154"/>
      <c r="J333" s="255">
        <v>45663.0</v>
      </c>
      <c r="K333" s="174">
        <v>21.07</v>
      </c>
      <c r="L333" s="256">
        <f t="shared" si="3"/>
        <v>-0.008003766478</v>
      </c>
      <c r="M333" s="154"/>
      <c r="N333" s="255">
        <v>45664.0</v>
      </c>
      <c r="O333" s="174">
        <v>2012.0</v>
      </c>
      <c r="P333" s="256">
        <f t="shared" si="4"/>
        <v>-0.00396039604</v>
      </c>
      <c r="Q333" s="154"/>
      <c r="R333" s="255">
        <v>45663.0</v>
      </c>
      <c r="S333" s="174">
        <v>25.32</v>
      </c>
      <c r="T333" s="256">
        <f t="shared" si="5"/>
        <v>-0.02427745665</v>
      </c>
      <c r="U333" s="154"/>
      <c r="V333" s="255">
        <v>45663.0</v>
      </c>
      <c r="W333" s="174">
        <v>1350.35</v>
      </c>
      <c r="X333" s="256">
        <f t="shared" si="6"/>
        <v>-0.001700365948</v>
      </c>
      <c r="Y333" s="154"/>
      <c r="Z333" s="255">
        <v>45663.0</v>
      </c>
      <c r="AA333" s="174">
        <v>1491.4</v>
      </c>
      <c r="AB333" s="256">
        <f t="shared" si="7"/>
        <v>-0.01313482217</v>
      </c>
      <c r="AC333" s="154"/>
      <c r="AD333" s="255">
        <v>45663.0</v>
      </c>
      <c r="AE333" s="174">
        <v>13.3</v>
      </c>
      <c r="AF333" s="256">
        <f t="shared" si="8"/>
        <v>0.003016591252</v>
      </c>
      <c r="AG333" s="257"/>
      <c r="AH333" s="255">
        <v>45663.0</v>
      </c>
      <c r="AI333" s="174">
        <v>358.1</v>
      </c>
      <c r="AJ333" s="256">
        <f t="shared" si="9"/>
        <v>-0.03019634394</v>
      </c>
      <c r="AK333" s="257"/>
      <c r="AL333" s="255">
        <v>45663.0</v>
      </c>
      <c r="AM333" s="174">
        <v>5975.38</v>
      </c>
      <c r="AN333" s="256">
        <f t="shared" si="10"/>
        <v>0.00553810116</v>
      </c>
      <c r="AO333" s="154"/>
      <c r="AP333" s="154"/>
    </row>
    <row r="334">
      <c r="A334" s="154"/>
      <c r="B334" s="255">
        <v>45660.0</v>
      </c>
      <c r="C334" s="174">
        <v>15.44</v>
      </c>
      <c r="D334" s="256">
        <f t="shared" si="1"/>
        <v>0.0320855615</v>
      </c>
      <c r="E334" s="154"/>
      <c r="F334" s="255">
        <v>45660.0</v>
      </c>
      <c r="G334" s="174">
        <v>12.28</v>
      </c>
      <c r="H334" s="256">
        <f t="shared" si="2"/>
        <v>-0.01127214171</v>
      </c>
      <c r="I334" s="154"/>
      <c r="J334" s="255">
        <v>45660.0</v>
      </c>
      <c r="K334" s="174">
        <v>21.24</v>
      </c>
      <c r="L334" s="256">
        <f t="shared" si="3"/>
        <v>-0.002816901408</v>
      </c>
      <c r="M334" s="154"/>
      <c r="N334" s="255">
        <v>45663.0</v>
      </c>
      <c r="O334" s="174">
        <v>2020.0</v>
      </c>
      <c r="P334" s="256">
        <f t="shared" si="4"/>
        <v>0.01354741596</v>
      </c>
      <c r="Q334" s="154"/>
      <c r="R334" s="255">
        <v>45660.0</v>
      </c>
      <c r="S334" s="174">
        <v>25.95</v>
      </c>
      <c r="T334" s="256">
        <f t="shared" si="5"/>
        <v>-0.001923076923</v>
      </c>
      <c r="U334" s="154"/>
      <c r="V334" s="255">
        <v>45660.0</v>
      </c>
      <c r="W334" s="174">
        <v>1352.65</v>
      </c>
      <c r="X334" s="256">
        <f t="shared" si="6"/>
        <v>-0.01629031672</v>
      </c>
      <c r="Y334" s="154"/>
      <c r="Z334" s="255">
        <v>45660.0</v>
      </c>
      <c r="AA334" s="174">
        <v>1511.25</v>
      </c>
      <c r="AB334" s="256">
        <f t="shared" si="7"/>
        <v>-0.01732882502</v>
      </c>
      <c r="AC334" s="154"/>
      <c r="AD334" s="255">
        <v>45660.0</v>
      </c>
      <c r="AE334" s="174">
        <v>13.26</v>
      </c>
      <c r="AF334" s="256">
        <f t="shared" si="8"/>
        <v>0.007598784195</v>
      </c>
      <c r="AG334" s="257"/>
      <c r="AH334" s="255">
        <v>45660.0</v>
      </c>
      <c r="AI334" s="174">
        <v>369.25</v>
      </c>
      <c r="AJ334" s="256">
        <f t="shared" si="9"/>
        <v>-0.01071667783</v>
      </c>
      <c r="AK334" s="257"/>
      <c r="AL334" s="255">
        <v>45660.0</v>
      </c>
      <c r="AM334" s="174">
        <v>5942.47</v>
      </c>
      <c r="AN334" s="256">
        <f t="shared" si="10"/>
        <v>0.01259595641</v>
      </c>
      <c r="AO334" s="154"/>
      <c r="AP334" s="154"/>
    </row>
    <row r="335">
      <c r="A335" s="154"/>
      <c r="B335" s="255">
        <v>45659.0</v>
      </c>
      <c r="C335" s="174">
        <v>14.96</v>
      </c>
      <c r="D335" s="256">
        <f t="shared" si="1"/>
        <v>0.002680965147</v>
      </c>
      <c r="E335" s="154"/>
      <c r="F335" s="255">
        <v>45659.0</v>
      </c>
      <c r="G335" s="174">
        <v>12.42</v>
      </c>
      <c r="H335" s="256">
        <f t="shared" si="2"/>
        <v>-0.002409638554</v>
      </c>
      <c r="I335" s="154"/>
      <c r="J335" s="255">
        <v>45659.0</v>
      </c>
      <c r="K335" s="174">
        <v>21.3</v>
      </c>
      <c r="L335" s="256">
        <f t="shared" si="3"/>
        <v>-0.0335753176</v>
      </c>
      <c r="M335" s="154"/>
      <c r="N335" s="255">
        <v>45660.0</v>
      </c>
      <c r="O335" s="174">
        <v>1993.0</v>
      </c>
      <c r="P335" s="256">
        <f t="shared" si="4"/>
        <v>-0.01042701092</v>
      </c>
      <c r="Q335" s="154"/>
      <c r="R335" s="255">
        <v>45659.0</v>
      </c>
      <c r="S335" s="174">
        <v>26.0</v>
      </c>
      <c r="T335" s="256">
        <f t="shared" si="5"/>
        <v>0.01127965772</v>
      </c>
      <c r="U335" s="154"/>
      <c r="V335" s="255">
        <v>45659.0</v>
      </c>
      <c r="W335" s="174">
        <v>1375.05</v>
      </c>
      <c r="X335" s="256">
        <f t="shared" si="6"/>
        <v>-0.009686712279</v>
      </c>
      <c r="Y335" s="154"/>
      <c r="Z335" s="255">
        <v>45659.0</v>
      </c>
      <c r="AA335" s="174">
        <v>1537.9</v>
      </c>
      <c r="AB335" s="256">
        <f t="shared" si="7"/>
        <v>0.005820797907</v>
      </c>
      <c r="AC335" s="154"/>
      <c r="AD335" s="255">
        <v>45659.0</v>
      </c>
      <c r="AE335" s="174">
        <v>13.16</v>
      </c>
      <c r="AF335" s="256">
        <f t="shared" si="8"/>
        <v>-0.005291005291</v>
      </c>
      <c r="AG335" s="257"/>
      <c r="AH335" s="255">
        <v>45659.0</v>
      </c>
      <c r="AI335" s="174">
        <v>373.25</v>
      </c>
      <c r="AJ335" s="256">
        <f t="shared" si="9"/>
        <v>0.02162310114</v>
      </c>
      <c r="AK335" s="257"/>
      <c r="AL335" s="255">
        <v>45659.0</v>
      </c>
      <c r="AM335" s="174">
        <v>5868.55</v>
      </c>
      <c r="AN335" s="256">
        <f t="shared" si="10"/>
        <v>-0.002223873314</v>
      </c>
      <c r="AO335" s="154"/>
      <c r="AP335" s="154"/>
    </row>
    <row r="336">
      <c r="A336" s="154"/>
      <c r="B336" s="263">
        <v>45657.0</v>
      </c>
      <c r="C336" s="174">
        <v>14.92</v>
      </c>
      <c r="D336" s="256">
        <f t="shared" si="1"/>
        <v>0.01912568306</v>
      </c>
      <c r="E336" s="154"/>
      <c r="F336" s="263">
        <v>45657.0</v>
      </c>
      <c r="G336" s="174">
        <v>12.45</v>
      </c>
      <c r="H336" s="256">
        <f t="shared" si="2"/>
        <v>0.005654281099</v>
      </c>
      <c r="I336" s="154"/>
      <c r="J336" s="263">
        <v>45657.0</v>
      </c>
      <c r="K336" s="174">
        <v>22.04</v>
      </c>
      <c r="L336" s="256">
        <f t="shared" si="3"/>
        <v>-0.01254480287</v>
      </c>
      <c r="M336" s="154"/>
      <c r="N336" s="255">
        <v>45659.0</v>
      </c>
      <c r="O336" s="174">
        <v>2014.0</v>
      </c>
      <c r="P336" s="256">
        <f t="shared" si="4"/>
        <v>0.01053687908</v>
      </c>
      <c r="Q336" s="154"/>
      <c r="R336" s="263">
        <v>45657.0</v>
      </c>
      <c r="S336" s="174">
        <v>25.71</v>
      </c>
      <c r="T336" s="256">
        <f t="shared" si="5"/>
        <v>0.01660735469</v>
      </c>
      <c r="U336" s="154"/>
      <c r="V336" s="263">
        <v>45657.0</v>
      </c>
      <c r="W336" s="174">
        <v>1388.5</v>
      </c>
      <c r="X336" s="256">
        <f t="shared" si="6"/>
        <v>0.008424722202</v>
      </c>
      <c r="Y336" s="154"/>
      <c r="Z336" s="263">
        <v>45657.0</v>
      </c>
      <c r="AA336" s="174">
        <v>1529.0</v>
      </c>
      <c r="AB336" s="256">
        <f t="shared" si="7"/>
        <v>0.004995398975</v>
      </c>
      <c r="AC336" s="154"/>
      <c r="AD336" s="263">
        <v>45657.0</v>
      </c>
      <c r="AE336" s="174">
        <v>13.23</v>
      </c>
      <c r="AF336" s="256">
        <f t="shared" si="8"/>
        <v>0.01612903226</v>
      </c>
      <c r="AG336" s="264"/>
      <c r="AH336" s="263">
        <v>45657.0</v>
      </c>
      <c r="AI336" s="174">
        <v>365.35</v>
      </c>
      <c r="AJ336" s="256">
        <f t="shared" si="9"/>
        <v>-0.006391079685</v>
      </c>
      <c r="AK336" s="264"/>
      <c r="AL336" s="263">
        <v>45657.0</v>
      </c>
      <c r="AM336" s="174">
        <v>5881.63</v>
      </c>
      <c r="AN336" s="256">
        <f t="shared" si="10"/>
        <v>-0.004284790433</v>
      </c>
      <c r="AO336" s="154"/>
      <c r="AP336" s="154"/>
    </row>
    <row r="337">
      <c r="A337" s="154"/>
      <c r="B337" s="263">
        <v>45656.0</v>
      </c>
      <c r="C337" s="174">
        <v>14.64</v>
      </c>
      <c r="D337" s="256">
        <f t="shared" si="1"/>
        <v>-0.02788844622</v>
      </c>
      <c r="E337" s="154"/>
      <c r="F337" s="263">
        <v>45656.0</v>
      </c>
      <c r="G337" s="174">
        <v>12.38</v>
      </c>
      <c r="H337" s="256">
        <f t="shared" si="2"/>
        <v>-0.008012820513</v>
      </c>
      <c r="I337" s="154"/>
      <c r="J337" s="263">
        <v>45656.0</v>
      </c>
      <c r="K337" s="174">
        <v>22.32</v>
      </c>
      <c r="L337" s="256">
        <f t="shared" si="3"/>
        <v>-0.01976284585</v>
      </c>
      <c r="M337" s="154"/>
      <c r="N337" s="263">
        <v>45657.0</v>
      </c>
      <c r="O337" s="174">
        <v>1993.0</v>
      </c>
      <c r="P337" s="256">
        <f t="shared" si="4"/>
        <v>0.004536290323</v>
      </c>
      <c r="Q337" s="154"/>
      <c r="R337" s="263">
        <v>45656.0</v>
      </c>
      <c r="S337" s="174">
        <v>25.29</v>
      </c>
      <c r="T337" s="256">
        <f t="shared" si="5"/>
        <v>-0.01172332943</v>
      </c>
      <c r="U337" s="154"/>
      <c r="V337" s="263">
        <v>45656.0</v>
      </c>
      <c r="W337" s="174">
        <v>1376.9</v>
      </c>
      <c r="X337" s="256">
        <f t="shared" si="6"/>
        <v>-0.00903235093</v>
      </c>
      <c r="Y337" s="154"/>
      <c r="Z337" s="263">
        <v>45656.0</v>
      </c>
      <c r="AA337" s="174">
        <v>1521.4</v>
      </c>
      <c r="AB337" s="256">
        <f t="shared" si="7"/>
        <v>0.009823443515</v>
      </c>
      <c r="AC337" s="154"/>
      <c r="AD337" s="263">
        <v>45656.0</v>
      </c>
      <c r="AE337" s="174">
        <v>13.02</v>
      </c>
      <c r="AF337" s="256">
        <f t="shared" si="8"/>
        <v>0.02762430939</v>
      </c>
      <c r="AG337" s="264"/>
      <c r="AH337" s="263">
        <v>45656.0</v>
      </c>
      <c r="AI337" s="174">
        <v>367.7</v>
      </c>
      <c r="AJ337" s="256">
        <f t="shared" si="9"/>
        <v>0.042972628</v>
      </c>
      <c r="AK337" s="264"/>
      <c r="AL337" s="263">
        <v>45656.0</v>
      </c>
      <c r="AM337" s="174">
        <v>5906.94</v>
      </c>
      <c r="AN337" s="256">
        <f t="shared" si="10"/>
        <v>-0.01070201178</v>
      </c>
      <c r="AO337" s="154"/>
      <c r="AP337" s="154"/>
    </row>
    <row r="338">
      <c r="A338" s="154"/>
      <c r="B338" s="263">
        <v>45653.0</v>
      </c>
      <c r="C338" s="174">
        <v>15.06</v>
      </c>
      <c r="D338" s="256">
        <f t="shared" si="1"/>
        <v>0.007357859532</v>
      </c>
      <c r="E338" s="154"/>
      <c r="F338" s="263">
        <v>45653.0</v>
      </c>
      <c r="G338" s="174">
        <v>12.48</v>
      </c>
      <c r="H338" s="256">
        <f t="shared" si="2"/>
        <v>-0.006369426752</v>
      </c>
      <c r="I338" s="154"/>
      <c r="J338" s="263">
        <v>45653.0</v>
      </c>
      <c r="K338" s="174">
        <v>22.77</v>
      </c>
      <c r="L338" s="256">
        <f t="shared" si="3"/>
        <v>0.006631299735</v>
      </c>
      <c r="M338" s="154"/>
      <c r="N338" s="263">
        <v>45656.0</v>
      </c>
      <c r="O338" s="174">
        <v>1984.0</v>
      </c>
      <c r="P338" s="256">
        <f t="shared" si="4"/>
        <v>0.001009081736</v>
      </c>
      <c r="Q338" s="154"/>
      <c r="R338" s="263">
        <v>45653.0</v>
      </c>
      <c r="S338" s="174">
        <v>25.59</v>
      </c>
      <c r="T338" s="256">
        <f t="shared" si="5"/>
        <v>-0.01614763552</v>
      </c>
      <c r="U338" s="154"/>
      <c r="V338" s="263">
        <v>45653.0</v>
      </c>
      <c r="W338" s="174">
        <v>1389.45</v>
      </c>
      <c r="X338" s="256">
        <f t="shared" si="6"/>
        <v>0.0253108512</v>
      </c>
      <c r="Y338" s="154"/>
      <c r="Z338" s="263">
        <v>45653.0</v>
      </c>
      <c r="AA338" s="174">
        <v>1506.6</v>
      </c>
      <c r="AB338" s="256">
        <f t="shared" si="7"/>
        <v>0.01076783738</v>
      </c>
      <c r="AC338" s="154"/>
      <c r="AD338" s="263">
        <v>45653.0</v>
      </c>
      <c r="AE338" s="174">
        <v>12.67</v>
      </c>
      <c r="AF338" s="256">
        <f t="shared" si="8"/>
        <v>0.005555555556</v>
      </c>
      <c r="AG338" s="264"/>
      <c r="AH338" s="263">
        <v>45653.0</v>
      </c>
      <c r="AI338" s="174">
        <v>352.55</v>
      </c>
      <c r="AJ338" s="256">
        <f t="shared" si="9"/>
        <v>0.01760715832</v>
      </c>
      <c r="AK338" s="264"/>
      <c r="AL338" s="263">
        <v>45653.0</v>
      </c>
      <c r="AM338" s="174">
        <v>5970.84</v>
      </c>
      <c r="AN338" s="256">
        <f t="shared" si="10"/>
        <v>-0.01105573582</v>
      </c>
      <c r="AO338" s="154"/>
      <c r="AP338" s="154"/>
    </row>
    <row r="339">
      <c r="A339" s="154"/>
      <c r="B339" s="263">
        <v>45652.0</v>
      </c>
      <c r="C339" s="174">
        <v>14.95</v>
      </c>
      <c r="D339" s="256">
        <f t="shared" si="1"/>
        <v>0.01493550577</v>
      </c>
      <c r="E339" s="154"/>
      <c r="F339" s="263">
        <v>45652.0</v>
      </c>
      <c r="G339" s="174">
        <v>12.56</v>
      </c>
      <c r="H339" s="256">
        <f t="shared" si="2"/>
        <v>0.01290322581</v>
      </c>
      <c r="I339" s="154"/>
      <c r="J339" s="263">
        <v>45652.0</v>
      </c>
      <c r="K339" s="174">
        <v>22.62</v>
      </c>
      <c r="L339" s="256">
        <f t="shared" si="3"/>
        <v>0.008920606601</v>
      </c>
      <c r="M339" s="154"/>
      <c r="N339" s="263">
        <v>45653.0</v>
      </c>
      <c r="O339" s="174">
        <v>1982.0</v>
      </c>
      <c r="P339" s="256">
        <f t="shared" si="4"/>
        <v>-0.003519356461</v>
      </c>
      <c r="Q339" s="154"/>
      <c r="R339" s="263">
        <v>45652.0</v>
      </c>
      <c r="S339" s="174">
        <v>26.01</v>
      </c>
      <c r="T339" s="256">
        <f t="shared" si="5"/>
        <v>0.01443057722</v>
      </c>
      <c r="U339" s="154"/>
      <c r="V339" s="263">
        <v>45652.0</v>
      </c>
      <c r="W339" s="174">
        <v>1355.15</v>
      </c>
      <c r="X339" s="256">
        <f t="shared" si="6"/>
        <v>0.003146050781</v>
      </c>
      <c r="Y339" s="154"/>
      <c r="Z339" s="263">
        <v>45652.0</v>
      </c>
      <c r="AA339" s="174">
        <v>1490.55</v>
      </c>
      <c r="AB339" s="256">
        <f t="shared" si="7"/>
        <v>0.01002879892</v>
      </c>
      <c r="AC339" s="154"/>
      <c r="AD339" s="263">
        <v>45652.0</v>
      </c>
      <c r="AE339" s="174">
        <v>12.6</v>
      </c>
      <c r="AF339" s="256">
        <f t="shared" si="8"/>
        <v>0.003184713376</v>
      </c>
      <c r="AG339" s="264"/>
      <c r="AH339" s="263">
        <v>45652.0</v>
      </c>
      <c r="AI339" s="174">
        <v>346.45</v>
      </c>
      <c r="AJ339" s="256">
        <f t="shared" si="9"/>
        <v>0.005660377358</v>
      </c>
      <c r="AK339" s="264"/>
      <c r="AL339" s="263">
        <v>45652.0</v>
      </c>
      <c r="AM339" s="174">
        <v>6037.59</v>
      </c>
      <c r="AN339" s="256">
        <f t="shared" si="10"/>
        <v>-0.0004056264528</v>
      </c>
      <c r="AO339" s="154"/>
      <c r="AP339" s="154"/>
    </row>
    <row r="340">
      <c r="A340" s="154"/>
      <c r="B340" s="263">
        <v>45650.0</v>
      </c>
      <c r="C340" s="174">
        <v>14.73</v>
      </c>
      <c r="D340" s="256">
        <f t="shared" si="1"/>
        <v>0.002040816327</v>
      </c>
      <c r="E340" s="154"/>
      <c r="F340" s="263">
        <v>45650.0</v>
      </c>
      <c r="G340" s="174">
        <v>12.4</v>
      </c>
      <c r="H340" s="256">
        <f t="shared" si="2"/>
        <v>-0.007205764612</v>
      </c>
      <c r="I340" s="154"/>
      <c r="J340" s="263">
        <v>45650.0</v>
      </c>
      <c r="K340" s="174">
        <v>22.42</v>
      </c>
      <c r="L340" s="256">
        <f t="shared" si="3"/>
        <v>0.00945520036</v>
      </c>
      <c r="M340" s="154"/>
      <c r="N340" s="263">
        <v>45650.0</v>
      </c>
      <c r="O340" s="174">
        <v>1989.0</v>
      </c>
      <c r="P340" s="256">
        <f t="shared" si="4"/>
        <v>0.0005030181087</v>
      </c>
      <c r="Q340" s="154"/>
      <c r="R340" s="263">
        <v>45650.0</v>
      </c>
      <c r="S340" s="174">
        <v>25.64</v>
      </c>
      <c r="T340" s="256">
        <f t="shared" si="5"/>
        <v>-0.0007794232268</v>
      </c>
      <c r="U340" s="154"/>
      <c r="V340" s="263">
        <v>45650.0</v>
      </c>
      <c r="W340" s="174">
        <v>1350.9</v>
      </c>
      <c r="X340" s="256">
        <f t="shared" si="6"/>
        <v>0.007119692847</v>
      </c>
      <c r="Y340" s="154"/>
      <c r="Z340" s="263">
        <v>45650.0</v>
      </c>
      <c r="AA340" s="174">
        <v>1475.75</v>
      </c>
      <c r="AB340" s="256">
        <f t="shared" si="7"/>
        <v>-0.0002032451475</v>
      </c>
      <c r="AC340" s="154"/>
      <c r="AD340" s="263">
        <v>45650.0</v>
      </c>
      <c r="AE340" s="174">
        <v>12.56</v>
      </c>
      <c r="AF340" s="256">
        <f t="shared" si="8"/>
        <v>0.003194888179</v>
      </c>
      <c r="AG340" s="264"/>
      <c r="AH340" s="263">
        <v>45650.0</v>
      </c>
      <c r="AI340" s="174">
        <v>344.5</v>
      </c>
      <c r="AJ340" s="256">
        <f t="shared" si="9"/>
        <v>0.04536489152</v>
      </c>
      <c r="AK340" s="264"/>
      <c r="AL340" s="263">
        <v>45650.0</v>
      </c>
      <c r="AM340" s="174">
        <v>6040.04</v>
      </c>
      <c r="AN340" s="256">
        <f t="shared" si="10"/>
        <v>0.01104272297</v>
      </c>
      <c r="AO340" s="154"/>
      <c r="AP340" s="154"/>
    </row>
    <row r="341">
      <c r="A341" s="154"/>
      <c r="B341" s="263">
        <v>45649.0</v>
      </c>
      <c r="C341" s="174">
        <v>14.7</v>
      </c>
      <c r="D341" s="256">
        <f t="shared" si="1"/>
        <v>0.008230452675</v>
      </c>
      <c r="E341" s="154"/>
      <c r="F341" s="263">
        <v>45649.0</v>
      </c>
      <c r="G341" s="174">
        <v>12.49</v>
      </c>
      <c r="H341" s="256">
        <f t="shared" si="2"/>
        <v>-0.002396166134</v>
      </c>
      <c r="I341" s="154"/>
      <c r="J341" s="263">
        <v>45649.0</v>
      </c>
      <c r="K341" s="174">
        <v>22.21</v>
      </c>
      <c r="L341" s="256">
        <f t="shared" si="3"/>
        <v>0.005432322318</v>
      </c>
      <c r="M341" s="154"/>
      <c r="N341" s="263">
        <v>45649.0</v>
      </c>
      <c r="O341" s="174">
        <v>1988.0</v>
      </c>
      <c r="P341" s="256">
        <f t="shared" si="4"/>
        <v>0.01792114695</v>
      </c>
      <c r="Q341" s="154"/>
      <c r="R341" s="263">
        <v>45649.0</v>
      </c>
      <c r="S341" s="174">
        <v>25.66</v>
      </c>
      <c r="T341" s="256">
        <f t="shared" si="5"/>
        <v>-0.003495145631</v>
      </c>
      <c r="U341" s="154"/>
      <c r="V341" s="263">
        <v>45649.0</v>
      </c>
      <c r="W341" s="174">
        <v>1341.35</v>
      </c>
      <c r="X341" s="256">
        <f t="shared" si="6"/>
        <v>-0.001711755293</v>
      </c>
      <c r="Y341" s="154"/>
      <c r="Z341" s="263">
        <v>45649.0</v>
      </c>
      <c r="AA341" s="174">
        <v>1476.05</v>
      </c>
      <c r="AB341" s="256">
        <f t="shared" si="7"/>
        <v>0.002717299005</v>
      </c>
      <c r="AC341" s="154"/>
      <c r="AD341" s="263">
        <v>45649.0</v>
      </c>
      <c r="AE341" s="174">
        <v>12.52</v>
      </c>
      <c r="AF341" s="256">
        <f t="shared" si="8"/>
        <v>0.05121746432</v>
      </c>
      <c r="AG341" s="264"/>
      <c r="AH341" s="263">
        <v>45649.0</v>
      </c>
      <c r="AI341" s="174">
        <v>329.55</v>
      </c>
      <c r="AJ341" s="256">
        <f t="shared" si="9"/>
        <v>-0.01905045394</v>
      </c>
      <c r="AK341" s="264"/>
      <c r="AL341" s="263">
        <v>45649.0</v>
      </c>
      <c r="AM341" s="174">
        <v>5974.07</v>
      </c>
      <c r="AN341" s="256">
        <f t="shared" si="10"/>
        <v>0.007287319693</v>
      </c>
      <c r="AO341" s="154"/>
      <c r="AP341" s="154"/>
    </row>
    <row r="342">
      <c r="A342" s="154"/>
      <c r="B342" s="263">
        <v>45646.0</v>
      </c>
      <c r="C342" s="174">
        <v>14.58</v>
      </c>
      <c r="D342" s="256">
        <f t="shared" si="1"/>
        <v>0.009695290859</v>
      </c>
      <c r="E342" s="154"/>
      <c r="F342" s="263">
        <v>45646.0</v>
      </c>
      <c r="G342" s="174">
        <v>12.52</v>
      </c>
      <c r="H342" s="256">
        <f t="shared" si="2"/>
        <v>0.03215169002</v>
      </c>
      <c r="I342" s="154"/>
      <c r="J342" s="263">
        <v>45646.0</v>
      </c>
      <c r="K342" s="174">
        <v>22.09</v>
      </c>
      <c r="L342" s="256">
        <f t="shared" si="3"/>
        <v>0.03660253402</v>
      </c>
      <c r="M342" s="154"/>
      <c r="N342" s="263">
        <v>45646.0</v>
      </c>
      <c r="O342" s="174">
        <v>1953.0</v>
      </c>
      <c r="P342" s="256">
        <f t="shared" si="4"/>
        <v>0.009302325581</v>
      </c>
      <c r="Q342" s="154"/>
      <c r="R342" s="263">
        <v>45646.0</v>
      </c>
      <c r="S342" s="174">
        <v>25.75</v>
      </c>
      <c r="T342" s="256">
        <f t="shared" si="5"/>
        <v>0.0007773027594</v>
      </c>
      <c r="U342" s="154"/>
      <c r="V342" s="263">
        <v>45646.0</v>
      </c>
      <c r="W342" s="174">
        <v>1343.65</v>
      </c>
      <c r="X342" s="256">
        <f t="shared" si="6"/>
        <v>0.01361647556</v>
      </c>
      <c r="Y342" s="154"/>
      <c r="Z342" s="263">
        <v>45646.0</v>
      </c>
      <c r="AA342" s="174">
        <v>1472.05</v>
      </c>
      <c r="AB342" s="256">
        <f t="shared" si="7"/>
        <v>-0.02290000332</v>
      </c>
      <c r="AC342" s="154"/>
      <c r="AD342" s="263">
        <v>45646.0</v>
      </c>
      <c r="AE342" s="174">
        <v>11.91</v>
      </c>
      <c r="AF342" s="256">
        <f t="shared" si="8"/>
        <v>-0.01651527663</v>
      </c>
      <c r="AG342" s="264"/>
      <c r="AH342" s="263">
        <v>45646.0</v>
      </c>
      <c r="AI342" s="174">
        <v>335.95</v>
      </c>
      <c r="AJ342" s="256">
        <f t="shared" si="9"/>
        <v>-0.04110175539</v>
      </c>
      <c r="AK342" s="264"/>
      <c r="AL342" s="263">
        <v>45646.0</v>
      </c>
      <c r="AM342" s="174">
        <v>5930.85</v>
      </c>
      <c r="AN342" s="256">
        <f t="shared" si="10"/>
        <v>0.01086912058</v>
      </c>
      <c r="AO342" s="154"/>
      <c r="AP342" s="154"/>
    </row>
    <row r="343">
      <c r="A343" s="154"/>
      <c r="B343" s="263">
        <v>45645.0</v>
      </c>
      <c r="C343" s="174">
        <v>14.44</v>
      </c>
      <c r="D343" s="256">
        <f t="shared" si="1"/>
        <v>-0.004824259132</v>
      </c>
      <c r="E343" s="154"/>
      <c r="F343" s="263">
        <v>45645.0</v>
      </c>
      <c r="G343" s="174">
        <v>12.13</v>
      </c>
      <c r="H343" s="256">
        <f t="shared" si="2"/>
        <v>-0.01060358891</v>
      </c>
      <c r="I343" s="154"/>
      <c r="J343" s="263">
        <v>45645.0</v>
      </c>
      <c r="K343" s="174">
        <v>21.31</v>
      </c>
      <c r="L343" s="256">
        <f t="shared" si="3"/>
        <v>0.005188679245</v>
      </c>
      <c r="M343" s="154"/>
      <c r="N343" s="263">
        <v>45645.0</v>
      </c>
      <c r="O343" s="174">
        <v>1935.0</v>
      </c>
      <c r="P343" s="256">
        <f t="shared" si="4"/>
        <v>0.003630705394</v>
      </c>
      <c r="Q343" s="154"/>
      <c r="R343" s="263">
        <v>45645.0</v>
      </c>
      <c r="S343" s="174">
        <v>25.73</v>
      </c>
      <c r="T343" s="256">
        <f t="shared" si="5"/>
        <v>0.01139937107</v>
      </c>
      <c r="U343" s="154"/>
      <c r="V343" s="263">
        <v>45645.0</v>
      </c>
      <c r="W343" s="174">
        <v>1325.6</v>
      </c>
      <c r="X343" s="256">
        <f t="shared" si="6"/>
        <v>0.03936020072</v>
      </c>
      <c r="Y343" s="154"/>
      <c r="Z343" s="263">
        <v>45645.0</v>
      </c>
      <c r="AA343" s="174">
        <v>1506.55</v>
      </c>
      <c r="AB343" s="256">
        <f t="shared" si="7"/>
        <v>0.0231934257</v>
      </c>
      <c r="AC343" s="154"/>
      <c r="AD343" s="263">
        <v>45645.0</v>
      </c>
      <c r="AE343" s="174">
        <v>12.11</v>
      </c>
      <c r="AF343" s="256">
        <f t="shared" si="8"/>
        <v>0.01169590643</v>
      </c>
      <c r="AG343" s="264"/>
      <c r="AH343" s="263">
        <v>45645.0</v>
      </c>
      <c r="AI343" s="174">
        <v>350.35</v>
      </c>
      <c r="AJ343" s="256">
        <f t="shared" si="9"/>
        <v>0.006608245942</v>
      </c>
      <c r="AK343" s="264"/>
      <c r="AL343" s="263">
        <v>45645.0</v>
      </c>
      <c r="AM343" s="174">
        <v>5867.08</v>
      </c>
      <c r="AN343" s="256">
        <f t="shared" si="10"/>
        <v>-0.0008650990436</v>
      </c>
      <c r="AO343" s="154"/>
      <c r="AP343" s="154"/>
    </row>
    <row r="344">
      <c r="A344" s="154"/>
      <c r="B344" s="263">
        <v>45644.0</v>
      </c>
      <c r="C344" s="174">
        <v>14.51</v>
      </c>
      <c r="D344" s="256">
        <f t="shared" si="1"/>
        <v>-0.01760324983</v>
      </c>
      <c r="E344" s="154"/>
      <c r="F344" s="263">
        <v>45644.0</v>
      </c>
      <c r="G344" s="174">
        <v>12.26</v>
      </c>
      <c r="H344" s="256">
        <f t="shared" si="2"/>
        <v>-0.02621127879</v>
      </c>
      <c r="I344" s="154"/>
      <c r="J344" s="263">
        <v>45644.0</v>
      </c>
      <c r="K344" s="174">
        <v>21.2</v>
      </c>
      <c r="L344" s="256">
        <f t="shared" si="3"/>
        <v>0.0153256705</v>
      </c>
      <c r="M344" s="154"/>
      <c r="N344" s="263">
        <v>45644.0</v>
      </c>
      <c r="O344" s="174">
        <v>1928.0</v>
      </c>
      <c r="P344" s="256">
        <f t="shared" si="4"/>
        <v>0.006788511749</v>
      </c>
      <c r="Q344" s="154"/>
      <c r="R344" s="263">
        <v>45644.0</v>
      </c>
      <c r="S344" s="174">
        <v>25.44</v>
      </c>
      <c r="T344" s="256">
        <f t="shared" si="5"/>
        <v>-0.03672851193</v>
      </c>
      <c r="U344" s="154"/>
      <c r="V344" s="263">
        <v>45644.0</v>
      </c>
      <c r="W344" s="174">
        <v>1275.4</v>
      </c>
      <c r="X344" s="256">
        <f t="shared" si="6"/>
        <v>0.02224181461</v>
      </c>
      <c r="Y344" s="154"/>
      <c r="Z344" s="263">
        <v>45644.0</v>
      </c>
      <c r="AA344" s="174">
        <v>1472.4</v>
      </c>
      <c r="AB344" s="256">
        <f t="shared" si="7"/>
        <v>0.01485336182</v>
      </c>
      <c r="AC344" s="154"/>
      <c r="AD344" s="263">
        <v>45644.0</v>
      </c>
      <c r="AE344" s="174">
        <v>11.97</v>
      </c>
      <c r="AF344" s="256">
        <f t="shared" si="8"/>
        <v>-0.01156069364</v>
      </c>
      <c r="AG344" s="264"/>
      <c r="AH344" s="263">
        <v>45644.0</v>
      </c>
      <c r="AI344" s="174">
        <v>348.05</v>
      </c>
      <c r="AJ344" s="256">
        <f t="shared" si="9"/>
        <v>-0.008263285368</v>
      </c>
      <c r="AK344" s="264"/>
      <c r="AL344" s="263">
        <v>45644.0</v>
      </c>
      <c r="AM344" s="174">
        <v>5872.16</v>
      </c>
      <c r="AN344" s="256">
        <f t="shared" si="10"/>
        <v>-0.0294928941</v>
      </c>
      <c r="AO344" s="154"/>
      <c r="AP344" s="154"/>
    </row>
    <row r="345">
      <c r="A345" s="154"/>
      <c r="B345" s="263">
        <v>45643.0</v>
      </c>
      <c r="C345" s="174">
        <v>14.77</v>
      </c>
      <c r="D345" s="256">
        <f t="shared" si="1"/>
        <v>0.01303155007</v>
      </c>
      <c r="E345" s="154"/>
      <c r="F345" s="263">
        <v>45643.0</v>
      </c>
      <c r="G345" s="174">
        <v>12.59</v>
      </c>
      <c r="H345" s="256">
        <f t="shared" si="2"/>
        <v>0.004788507582</v>
      </c>
      <c r="I345" s="154"/>
      <c r="J345" s="263">
        <v>45643.0</v>
      </c>
      <c r="K345" s="174">
        <v>20.88</v>
      </c>
      <c r="L345" s="256">
        <f t="shared" si="3"/>
        <v>0.2646880678</v>
      </c>
      <c r="M345" s="154"/>
      <c r="N345" s="263">
        <v>45643.0</v>
      </c>
      <c r="O345" s="174">
        <v>1915.0</v>
      </c>
      <c r="P345" s="256">
        <f t="shared" si="4"/>
        <v>-0.01186790506</v>
      </c>
      <c r="Q345" s="154"/>
      <c r="R345" s="263">
        <v>45643.0</v>
      </c>
      <c r="S345" s="174">
        <v>26.41</v>
      </c>
      <c r="T345" s="256">
        <f t="shared" si="5"/>
        <v>-0.01049082053</v>
      </c>
      <c r="U345" s="154"/>
      <c r="V345" s="263">
        <v>45643.0</v>
      </c>
      <c r="W345" s="174">
        <v>1247.65</v>
      </c>
      <c r="X345" s="256">
        <f t="shared" si="6"/>
        <v>-0.01755974645</v>
      </c>
      <c r="Y345" s="154"/>
      <c r="Z345" s="263">
        <v>45643.0</v>
      </c>
      <c r="AA345" s="174">
        <v>1450.85</v>
      </c>
      <c r="AB345" s="256">
        <f t="shared" si="7"/>
        <v>0.001656943629</v>
      </c>
      <c r="AC345" s="154"/>
      <c r="AD345" s="263">
        <v>45643.0</v>
      </c>
      <c r="AE345" s="174">
        <v>12.11</v>
      </c>
      <c r="AF345" s="256">
        <f t="shared" si="8"/>
        <v>0.004979253112</v>
      </c>
      <c r="AG345" s="264"/>
      <c r="AH345" s="263">
        <v>45643.0</v>
      </c>
      <c r="AI345" s="174">
        <v>350.95</v>
      </c>
      <c r="AJ345" s="256">
        <f t="shared" si="9"/>
        <v>-0.007774950523</v>
      </c>
      <c r="AK345" s="264"/>
      <c r="AL345" s="263">
        <v>45643.0</v>
      </c>
      <c r="AM345" s="174">
        <v>6050.61</v>
      </c>
      <c r="AN345" s="256">
        <f t="shared" si="10"/>
        <v>-0.003863959645</v>
      </c>
      <c r="AO345" s="154"/>
      <c r="AP345" s="154"/>
    </row>
    <row r="346">
      <c r="A346" s="154"/>
      <c r="B346" s="263">
        <v>45642.0</v>
      </c>
      <c r="C346" s="174">
        <v>14.58</v>
      </c>
      <c r="D346" s="256">
        <f t="shared" si="1"/>
        <v>-0.04705882353</v>
      </c>
      <c r="E346" s="154"/>
      <c r="F346" s="263">
        <v>45642.0</v>
      </c>
      <c r="G346" s="174">
        <v>12.53</v>
      </c>
      <c r="H346" s="256">
        <f t="shared" si="2"/>
        <v>-0.007917656374</v>
      </c>
      <c r="I346" s="154"/>
      <c r="J346" s="263">
        <v>45642.0</v>
      </c>
      <c r="K346" s="174">
        <v>16.51</v>
      </c>
      <c r="L346" s="256">
        <f t="shared" si="3"/>
        <v>0.0006060606061</v>
      </c>
      <c r="M346" s="154"/>
      <c r="N346" s="263">
        <v>45642.0</v>
      </c>
      <c r="O346" s="174">
        <v>1938.0</v>
      </c>
      <c r="P346" s="256">
        <f t="shared" si="4"/>
        <v>0.002068252327</v>
      </c>
      <c r="Q346" s="154"/>
      <c r="R346" s="263">
        <v>45642.0</v>
      </c>
      <c r="S346" s="174">
        <v>26.69</v>
      </c>
      <c r="T346" s="256">
        <f t="shared" si="5"/>
        <v>-0.0276867031</v>
      </c>
      <c r="U346" s="154"/>
      <c r="V346" s="263">
        <v>45642.0</v>
      </c>
      <c r="W346" s="174">
        <v>1269.95</v>
      </c>
      <c r="X346" s="256">
        <f t="shared" si="6"/>
        <v>0.01893529105</v>
      </c>
      <c r="Y346" s="154"/>
      <c r="Z346" s="263">
        <v>45642.0</v>
      </c>
      <c r="AA346" s="174">
        <v>1448.45</v>
      </c>
      <c r="AB346" s="256">
        <f t="shared" si="7"/>
        <v>0.0007945830167</v>
      </c>
      <c r="AC346" s="154"/>
      <c r="AD346" s="263">
        <v>45642.0</v>
      </c>
      <c r="AE346" s="174">
        <v>12.05</v>
      </c>
      <c r="AF346" s="256">
        <f t="shared" si="8"/>
        <v>0.02118644068</v>
      </c>
      <c r="AG346" s="264"/>
      <c r="AH346" s="263">
        <v>45642.0</v>
      </c>
      <c r="AI346" s="174">
        <v>353.7</v>
      </c>
      <c r="AJ346" s="256">
        <f t="shared" si="9"/>
        <v>0.002551020408</v>
      </c>
      <c r="AK346" s="264"/>
      <c r="AL346" s="263">
        <v>45642.0</v>
      </c>
      <c r="AM346" s="174">
        <v>6074.08</v>
      </c>
      <c r="AN346" s="256">
        <f t="shared" si="10"/>
        <v>0.003799315495</v>
      </c>
      <c r="AO346" s="154"/>
      <c r="AP346" s="154"/>
    </row>
    <row r="347">
      <c r="A347" s="154"/>
      <c r="B347" s="263">
        <v>45639.0</v>
      </c>
      <c r="C347" s="174">
        <v>15.3</v>
      </c>
      <c r="D347" s="256">
        <f t="shared" si="1"/>
        <v>-0.00325732899</v>
      </c>
      <c r="E347" s="154"/>
      <c r="F347" s="263">
        <v>45639.0</v>
      </c>
      <c r="G347" s="174">
        <v>12.63</v>
      </c>
      <c r="H347" s="256">
        <f t="shared" si="2"/>
        <v>-0.01482059282</v>
      </c>
      <c r="I347" s="154"/>
      <c r="J347" s="263">
        <v>45639.0</v>
      </c>
      <c r="K347" s="174">
        <v>16.5</v>
      </c>
      <c r="L347" s="256">
        <f t="shared" si="3"/>
        <v>-0.01844140393</v>
      </c>
      <c r="M347" s="154"/>
      <c r="N347" s="263">
        <v>45639.0</v>
      </c>
      <c r="O347" s="174">
        <v>1934.0</v>
      </c>
      <c r="P347" s="256">
        <f t="shared" si="4"/>
        <v>-0.01023541453</v>
      </c>
      <c r="Q347" s="154"/>
      <c r="R347" s="263">
        <v>45639.0</v>
      </c>
      <c r="S347" s="174">
        <v>27.45</v>
      </c>
      <c r="T347" s="256">
        <f t="shared" si="5"/>
        <v>-0.005074302283</v>
      </c>
      <c r="U347" s="154"/>
      <c r="V347" s="263">
        <v>45639.0</v>
      </c>
      <c r="W347" s="174">
        <v>1246.35</v>
      </c>
      <c r="X347" s="256">
        <f t="shared" si="6"/>
        <v>0.0007628071302</v>
      </c>
      <c r="Y347" s="154"/>
      <c r="Z347" s="263">
        <v>45639.0</v>
      </c>
      <c r="AA347" s="174">
        <v>1447.3</v>
      </c>
      <c r="AB347" s="256">
        <f t="shared" si="7"/>
        <v>0.001314515013</v>
      </c>
      <c r="AC347" s="154"/>
      <c r="AD347" s="263">
        <v>45639.0</v>
      </c>
      <c r="AE347" s="174">
        <v>11.8</v>
      </c>
      <c r="AF347" s="256">
        <f t="shared" si="8"/>
        <v>0.01200686106</v>
      </c>
      <c r="AG347" s="264"/>
      <c r="AH347" s="263">
        <v>45639.0</v>
      </c>
      <c r="AI347" s="174">
        <v>352.8</v>
      </c>
      <c r="AJ347" s="256">
        <f t="shared" si="9"/>
        <v>-0.01093355761</v>
      </c>
      <c r="AK347" s="264"/>
      <c r="AL347" s="263">
        <v>45639.0</v>
      </c>
      <c r="AM347" s="174">
        <v>6051.09</v>
      </c>
      <c r="AN347" s="256">
        <f t="shared" si="10"/>
        <v>-0.00002644081801</v>
      </c>
      <c r="AO347" s="154"/>
      <c r="AP347" s="154"/>
    </row>
    <row r="348">
      <c r="A348" s="154"/>
      <c r="B348" s="263">
        <v>45638.0</v>
      </c>
      <c r="C348" s="174">
        <v>15.35</v>
      </c>
      <c r="D348" s="256">
        <f t="shared" si="1"/>
        <v>-0.02104591837</v>
      </c>
      <c r="E348" s="154"/>
      <c r="F348" s="263">
        <v>45638.0</v>
      </c>
      <c r="G348" s="174">
        <v>12.82</v>
      </c>
      <c r="H348" s="256">
        <f t="shared" si="2"/>
        <v>0.005490196078</v>
      </c>
      <c r="I348" s="154"/>
      <c r="J348" s="263">
        <v>45638.0</v>
      </c>
      <c r="K348" s="174">
        <v>16.81</v>
      </c>
      <c r="L348" s="256">
        <f t="shared" si="3"/>
        <v>-0.03667621777</v>
      </c>
      <c r="M348" s="154"/>
      <c r="N348" s="263">
        <v>45638.0</v>
      </c>
      <c r="O348" s="174">
        <v>1954.0</v>
      </c>
      <c r="P348" s="256">
        <f t="shared" si="4"/>
        <v>-0.005091649695</v>
      </c>
      <c r="Q348" s="154"/>
      <c r="R348" s="263">
        <v>45638.0</v>
      </c>
      <c r="S348" s="174">
        <v>27.59</v>
      </c>
      <c r="T348" s="256">
        <f t="shared" si="5"/>
        <v>0.01099303774</v>
      </c>
      <c r="U348" s="154"/>
      <c r="V348" s="263">
        <v>45638.0</v>
      </c>
      <c r="W348" s="174">
        <v>1245.4</v>
      </c>
      <c r="X348" s="256">
        <f t="shared" si="6"/>
        <v>0.005530660853</v>
      </c>
      <c r="Y348" s="154"/>
      <c r="Z348" s="263">
        <v>45638.0</v>
      </c>
      <c r="AA348" s="174">
        <v>1445.4</v>
      </c>
      <c r="AB348" s="256">
        <f t="shared" si="7"/>
        <v>-0.005983082319</v>
      </c>
      <c r="AC348" s="154"/>
      <c r="AD348" s="263">
        <v>45638.0</v>
      </c>
      <c r="AE348" s="174">
        <v>11.66</v>
      </c>
      <c r="AF348" s="256">
        <f t="shared" si="8"/>
        <v>0.009523809524</v>
      </c>
      <c r="AG348" s="264"/>
      <c r="AH348" s="263">
        <v>45638.0</v>
      </c>
      <c r="AI348" s="174">
        <v>356.7</v>
      </c>
      <c r="AJ348" s="256">
        <f t="shared" si="9"/>
        <v>-0.03031126818</v>
      </c>
      <c r="AK348" s="264"/>
      <c r="AL348" s="263">
        <v>45638.0</v>
      </c>
      <c r="AM348" s="174">
        <v>6051.25</v>
      </c>
      <c r="AN348" s="256">
        <f t="shared" si="10"/>
        <v>-0.005414032106</v>
      </c>
      <c r="AO348" s="154"/>
      <c r="AP348" s="154"/>
    </row>
    <row r="349">
      <c r="A349" s="154"/>
      <c r="B349" s="263">
        <v>45637.0</v>
      </c>
      <c r="C349" s="174">
        <v>15.68</v>
      </c>
      <c r="D349" s="256">
        <f t="shared" si="1"/>
        <v>0.03703703704</v>
      </c>
      <c r="E349" s="154"/>
      <c r="F349" s="263">
        <v>45637.0</v>
      </c>
      <c r="G349" s="174">
        <v>12.75</v>
      </c>
      <c r="H349" s="256">
        <f t="shared" si="2"/>
        <v>0.01918465228</v>
      </c>
      <c r="I349" s="154"/>
      <c r="J349" s="263">
        <v>45637.0</v>
      </c>
      <c r="K349" s="174">
        <v>17.45</v>
      </c>
      <c r="L349" s="256">
        <f t="shared" si="3"/>
        <v>0.005763688761</v>
      </c>
      <c r="M349" s="154"/>
      <c r="N349" s="263">
        <v>45637.0</v>
      </c>
      <c r="O349" s="174">
        <v>1964.0</v>
      </c>
      <c r="P349" s="256">
        <f t="shared" si="4"/>
        <v>0.00408997955</v>
      </c>
      <c r="Q349" s="154"/>
      <c r="R349" s="263">
        <v>45637.0</v>
      </c>
      <c r="S349" s="174">
        <v>27.29</v>
      </c>
      <c r="T349" s="256">
        <f t="shared" si="5"/>
        <v>-0.01087350489</v>
      </c>
      <c r="U349" s="154"/>
      <c r="V349" s="263">
        <v>45637.0</v>
      </c>
      <c r="W349" s="174">
        <v>1238.55</v>
      </c>
      <c r="X349" s="256">
        <f t="shared" si="6"/>
        <v>-0.001451203289</v>
      </c>
      <c r="Y349" s="154"/>
      <c r="Z349" s="263">
        <v>45637.0</v>
      </c>
      <c r="AA349" s="174">
        <v>1454.1</v>
      </c>
      <c r="AB349" s="256">
        <f t="shared" si="7"/>
        <v>-0.0007559098406</v>
      </c>
      <c r="AC349" s="154"/>
      <c r="AD349" s="263">
        <v>45637.0</v>
      </c>
      <c r="AE349" s="174">
        <v>11.55</v>
      </c>
      <c r="AF349" s="256">
        <f t="shared" si="8"/>
        <v>0.005221932115</v>
      </c>
      <c r="AG349" s="264"/>
      <c r="AH349" s="263">
        <v>45637.0</v>
      </c>
      <c r="AI349" s="174">
        <v>367.85</v>
      </c>
      <c r="AJ349" s="256">
        <f t="shared" si="9"/>
        <v>-0.003656554713</v>
      </c>
      <c r="AK349" s="264"/>
      <c r="AL349" s="263">
        <v>45637.0</v>
      </c>
      <c r="AM349" s="174">
        <v>6084.19</v>
      </c>
      <c r="AN349" s="256">
        <f t="shared" si="10"/>
        <v>0.00816582186</v>
      </c>
      <c r="AO349" s="154"/>
      <c r="AP349" s="154"/>
    </row>
    <row r="350">
      <c r="A350" s="154"/>
      <c r="B350" s="263">
        <v>45636.0</v>
      </c>
      <c r="C350" s="174">
        <v>15.12</v>
      </c>
      <c r="D350" s="256">
        <f t="shared" si="1"/>
        <v>0.004651162791</v>
      </c>
      <c r="E350" s="154"/>
      <c r="F350" s="263">
        <v>45636.0</v>
      </c>
      <c r="G350" s="174">
        <v>12.51</v>
      </c>
      <c r="H350" s="256">
        <f t="shared" si="2"/>
        <v>-0.02265625</v>
      </c>
      <c r="I350" s="154"/>
      <c r="J350" s="263">
        <v>45636.0</v>
      </c>
      <c r="K350" s="174">
        <v>17.35</v>
      </c>
      <c r="L350" s="256">
        <f t="shared" si="3"/>
        <v>-0.01420454545</v>
      </c>
      <c r="M350" s="154"/>
      <c r="N350" s="263">
        <v>45636.0</v>
      </c>
      <c r="O350" s="174">
        <v>1956.0</v>
      </c>
      <c r="P350" s="256">
        <f t="shared" si="4"/>
        <v>-0.00102145046</v>
      </c>
      <c r="Q350" s="154"/>
      <c r="R350" s="263">
        <v>45636.0</v>
      </c>
      <c r="S350" s="174">
        <v>27.59</v>
      </c>
      <c r="T350" s="256">
        <f t="shared" si="5"/>
        <v>-0.01252684324</v>
      </c>
      <c r="U350" s="154"/>
      <c r="V350" s="263">
        <v>45636.0</v>
      </c>
      <c r="W350" s="174">
        <v>1240.35</v>
      </c>
      <c r="X350" s="256">
        <f t="shared" si="6"/>
        <v>-0.01179141935</v>
      </c>
      <c r="Y350" s="154"/>
      <c r="Z350" s="263">
        <v>45636.0</v>
      </c>
      <c r="AA350" s="174">
        <v>1455.2</v>
      </c>
      <c r="AB350" s="256">
        <f t="shared" si="7"/>
        <v>-0.009394145677</v>
      </c>
      <c r="AC350" s="154"/>
      <c r="AD350" s="263">
        <v>45636.0</v>
      </c>
      <c r="AE350" s="174">
        <v>11.49</v>
      </c>
      <c r="AF350" s="256">
        <f t="shared" si="8"/>
        <v>0.01861702128</v>
      </c>
      <c r="AG350" s="264"/>
      <c r="AH350" s="263">
        <v>45636.0</v>
      </c>
      <c r="AI350" s="174">
        <v>369.2</v>
      </c>
      <c r="AJ350" s="256">
        <f t="shared" si="9"/>
        <v>-0.001082251082</v>
      </c>
      <c r="AK350" s="264"/>
      <c r="AL350" s="263">
        <v>45636.0</v>
      </c>
      <c r="AM350" s="174">
        <v>6034.91</v>
      </c>
      <c r="AN350" s="256">
        <f t="shared" si="10"/>
        <v>-0.002963893042</v>
      </c>
      <c r="AO350" s="154"/>
      <c r="AP350" s="154"/>
    </row>
    <row r="351">
      <c r="A351" s="154"/>
      <c r="B351" s="255">
        <v>45635.0</v>
      </c>
      <c r="C351" s="174">
        <v>15.05</v>
      </c>
      <c r="D351" s="256">
        <f t="shared" si="1"/>
        <v>-0.00462962963</v>
      </c>
      <c r="E351" s="154"/>
      <c r="F351" s="255">
        <v>45635.0</v>
      </c>
      <c r="G351" s="174">
        <v>12.8</v>
      </c>
      <c r="H351" s="256">
        <f t="shared" si="2"/>
        <v>0.006289308176</v>
      </c>
      <c r="I351" s="154"/>
      <c r="J351" s="255">
        <v>45635.0</v>
      </c>
      <c r="K351" s="174">
        <v>17.6</v>
      </c>
      <c r="L351" s="256">
        <f t="shared" si="3"/>
        <v>0.01557991922</v>
      </c>
      <c r="M351" s="154"/>
      <c r="N351" s="255">
        <v>45635.0</v>
      </c>
      <c r="O351" s="174">
        <v>1958.0</v>
      </c>
      <c r="P351" s="256">
        <f t="shared" si="4"/>
        <v>0.01398239254</v>
      </c>
      <c r="Q351" s="154"/>
      <c r="R351" s="255">
        <v>45635.0</v>
      </c>
      <c r="S351" s="174">
        <v>27.94</v>
      </c>
      <c r="T351" s="256">
        <f t="shared" si="5"/>
        <v>-0.004631278945</v>
      </c>
      <c r="U351" s="154"/>
      <c r="V351" s="255">
        <v>45635.0</v>
      </c>
      <c r="W351" s="174">
        <v>1255.15</v>
      </c>
      <c r="X351" s="256">
        <f t="shared" si="6"/>
        <v>0.001156576533</v>
      </c>
      <c r="Y351" s="154"/>
      <c r="Z351" s="255">
        <v>45635.0</v>
      </c>
      <c r="AA351" s="174">
        <v>1469.0</v>
      </c>
      <c r="AB351" s="256">
        <f t="shared" si="7"/>
        <v>-0.005685664004</v>
      </c>
      <c r="AC351" s="154"/>
      <c r="AD351" s="255">
        <v>45635.0</v>
      </c>
      <c r="AE351" s="174">
        <v>11.28</v>
      </c>
      <c r="AF351" s="256">
        <f t="shared" si="8"/>
        <v>-0.01139351446</v>
      </c>
      <c r="AG351" s="257"/>
      <c r="AH351" s="255">
        <v>45635.0</v>
      </c>
      <c r="AI351" s="174">
        <v>369.6</v>
      </c>
      <c r="AJ351" s="256">
        <f t="shared" si="9"/>
        <v>-0.02749638205</v>
      </c>
      <c r="AK351" s="257"/>
      <c r="AL351" s="255">
        <v>45635.0</v>
      </c>
      <c r="AM351" s="174">
        <v>6052.85</v>
      </c>
      <c r="AN351" s="256">
        <f t="shared" si="10"/>
        <v>-0.006144226775</v>
      </c>
      <c r="AO351" s="154"/>
      <c r="AP351" s="154"/>
    </row>
    <row r="352">
      <c r="A352" s="154"/>
      <c r="B352" s="255">
        <v>45632.0</v>
      </c>
      <c r="C352" s="174">
        <v>15.12</v>
      </c>
      <c r="D352" s="256">
        <f t="shared" si="1"/>
        <v>-0.02827763496</v>
      </c>
      <c r="E352" s="154"/>
      <c r="F352" s="255">
        <v>45632.0</v>
      </c>
      <c r="G352" s="174">
        <v>12.72</v>
      </c>
      <c r="H352" s="256">
        <f t="shared" si="2"/>
        <v>-0.01318851823</v>
      </c>
      <c r="I352" s="154"/>
      <c r="J352" s="255">
        <v>45632.0</v>
      </c>
      <c r="K352" s="174">
        <v>17.33</v>
      </c>
      <c r="L352" s="256">
        <f t="shared" si="3"/>
        <v>-0.02749719416</v>
      </c>
      <c r="M352" s="154"/>
      <c r="N352" s="255">
        <v>45632.0</v>
      </c>
      <c r="O352" s="174">
        <v>1931.0</v>
      </c>
      <c r="P352" s="256">
        <f t="shared" si="4"/>
        <v>-0.004639175258</v>
      </c>
      <c r="Q352" s="154"/>
      <c r="R352" s="255">
        <v>45632.0</v>
      </c>
      <c r="S352" s="174">
        <v>28.07</v>
      </c>
      <c r="T352" s="256">
        <f t="shared" si="5"/>
        <v>-0.01266268027</v>
      </c>
      <c r="U352" s="154"/>
      <c r="V352" s="255">
        <v>45632.0</v>
      </c>
      <c r="W352" s="174">
        <v>1253.7</v>
      </c>
      <c r="X352" s="256">
        <f t="shared" si="6"/>
        <v>0.01117070613</v>
      </c>
      <c r="Y352" s="154"/>
      <c r="Z352" s="255">
        <v>45632.0</v>
      </c>
      <c r="AA352" s="174">
        <v>1477.4</v>
      </c>
      <c r="AB352" s="256">
        <f t="shared" si="7"/>
        <v>-0.01391623561</v>
      </c>
      <c r="AC352" s="154"/>
      <c r="AD352" s="255">
        <v>45632.0</v>
      </c>
      <c r="AE352" s="174">
        <v>11.41</v>
      </c>
      <c r="AF352" s="256">
        <f t="shared" si="8"/>
        <v>-0.004363001745</v>
      </c>
      <c r="AG352" s="257"/>
      <c r="AH352" s="255">
        <v>45632.0</v>
      </c>
      <c r="AI352" s="174">
        <v>380.05</v>
      </c>
      <c r="AJ352" s="256">
        <f t="shared" si="9"/>
        <v>0.01279147235</v>
      </c>
      <c r="AK352" s="257"/>
      <c r="AL352" s="255">
        <v>45632.0</v>
      </c>
      <c r="AM352" s="174">
        <v>6090.27</v>
      </c>
      <c r="AN352" s="256">
        <f t="shared" si="10"/>
        <v>0.002495428066</v>
      </c>
      <c r="AO352" s="154"/>
      <c r="AP352" s="154"/>
    </row>
    <row r="353">
      <c r="A353" s="154"/>
      <c r="B353" s="255">
        <v>45631.0</v>
      </c>
      <c r="C353" s="174">
        <v>15.56</v>
      </c>
      <c r="D353" s="256">
        <f t="shared" si="1"/>
        <v>0.01302083333</v>
      </c>
      <c r="E353" s="154"/>
      <c r="F353" s="255">
        <v>45631.0</v>
      </c>
      <c r="G353" s="174">
        <v>12.89</v>
      </c>
      <c r="H353" s="256">
        <f t="shared" si="2"/>
        <v>-0.01150306748</v>
      </c>
      <c r="I353" s="154"/>
      <c r="J353" s="255">
        <v>45631.0</v>
      </c>
      <c r="K353" s="174">
        <v>17.82</v>
      </c>
      <c r="L353" s="256">
        <f t="shared" si="3"/>
        <v>0.001123595506</v>
      </c>
      <c r="M353" s="154"/>
      <c r="N353" s="255">
        <v>45631.0</v>
      </c>
      <c r="O353" s="174">
        <v>1940.0</v>
      </c>
      <c r="P353" s="256">
        <f t="shared" si="4"/>
        <v>-0.007672634271</v>
      </c>
      <c r="Q353" s="154"/>
      <c r="R353" s="255">
        <v>45631.0</v>
      </c>
      <c r="S353" s="174">
        <v>28.43</v>
      </c>
      <c r="T353" s="256">
        <f t="shared" si="5"/>
        <v>-0.01660325147</v>
      </c>
      <c r="U353" s="154"/>
      <c r="V353" s="255">
        <v>45631.0</v>
      </c>
      <c r="W353" s="174">
        <v>1239.85</v>
      </c>
      <c r="X353" s="256">
        <f t="shared" si="6"/>
        <v>0.0199909506</v>
      </c>
      <c r="Y353" s="154"/>
      <c r="Z353" s="255">
        <v>45631.0</v>
      </c>
      <c r="AA353" s="174">
        <v>1498.25</v>
      </c>
      <c r="AB353" s="256">
        <f t="shared" si="7"/>
        <v>-0.001732351667</v>
      </c>
      <c r="AC353" s="154"/>
      <c r="AD353" s="255">
        <v>45631.0</v>
      </c>
      <c r="AE353" s="174">
        <v>11.46</v>
      </c>
      <c r="AF353" s="256">
        <f t="shared" si="8"/>
        <v>-0.00347826087</v>
      </c>
      <c r="AG353" s="257"/>
      <c r="AH353" s="255">
        <v>45631.0</v>
      </c>
      <c r="AI353" s="174">
        <v>375.25</v>
      </c>
      <c r="AJ353" s="256">
        <f t="shared" si="9"/>
        <v>-0.01171977877</v>
      </c>
      <c r="AK353" s="257"/>
      <c r="AL353" s="255">
        <v>45631.0</v>
      </c>
      <c r="AM353" s="174">
        <v>6075.11</v>
      </c>
      <c r="AN353" s="256">
        <f t="shared" si="10"/>
        <v>-0.001869714729</v>
      </c>
      <c r="AO353" s="154"/>
      <c r="AP353" s="154"/>
    </row>
    <row r="354">
      <c r="A354" s="154"/>
      <c r="B354" s="255">
        <v>45630.0</v>
      </c>
      <c r="C354" s="174">
        <v>15.36</v>
      </c>
      <c r="D354" s="256">
        <f t="shared" si="1"/>
        <v>-0.01915708812</v>
      </c>
      <c r="E354" s="154"/>
      <c r="F354" s="255">
        <v>45630.0</v>
      </c>
      <c r="G354" s="174">
        <v>13.04</v>
      </c>
      <c r="H354" s="256">
        <f t="shared" si="2"/>
        <v>0.003076923077</v>
      </c>
      <c r="I354" s="154"/>
      <c r="J354" s="255">
        <v>45630.0</v>
      </c>
      <c r="K354" s="174">
        <v>17.8</v>
      </c>
      <c r="L354" s="256">
        <f t="shared" si="3"/>
        <v>0.01540216771</v>
      </c>
      <c r="M354" s="154"/>
      <c r="N354" s="255">
        <v>45630.0</v>
      </c>
      <c r="O354" s="174">
        <v>1955.0</v>
      </c>
      <c r="P354" s="256">
        <f t="shared" si="4"/>
        <v>-0.003567787971</v>
      </c>
      <c r="Q354" s="154"/>
      <c r="R354" s="255">
        <v>45630.0</v>
      </c>
      <c r="S354" s="174">
        <v>28.91</v>
      </c>
      <c r="T354" s="256">
        <f t="shared" si="5"/>
        <v>0.01724137931</v>
      </c>
      <c r="U354" s="154"/>
      <c r="V354" s="255">
        <v>45630.0</v>
      </c>
      <c r="W354" s="174">
        <v>1215.55</v>
      </c>
      <c r="X354" s="256">
        <f t="shared" si="6"/>
        <v>-0.007309105757</v>
      </c>
      <c r="Y354" s="154"/>
      <c r="Z354" s="255">
        <v>45630.0</v>
      </c>
      <c r="AA354" s="174">
        <v>1500.85</v>
      </c>
      <c r="AB354" s="256">
        <f t="shared" si="7"/>
        <v>-0.02154638503</v>
      </c>
      <c r="AC354" s="154"/>
      <c r="AD354" s="255">
        <v>45630.0</v>
      </c>
      <c r="AE354" s="174">
        <v>11.5</v>
      </c>
      <c r="AF354" s="256">
        <f t="shared" si="8"/>
        <v>-0.00947459087</v>
      </c>
      <c r="AG354" s="257"/>
      <c r="AH354" s="255">
        <v>45630.0</v>
      </c>
      <c r="AI354" s="174">
        <v>379.7</v>
      </c>
      <c r="AJ354" s="256">
        <f t="shared" si="9"/>
        <v>0.01564798716</v>
      </c>
      <c r="AK354" s="257"/>
      <c r="AL354" s="255">
        <v>45630.0</v>
      </c>
      <c r="AM354" s="174">
        <v>6086.49</v>
      </c>
      <c r="AN354" s="256">
        <f t="shared" si="10"/>
        <v>0.006051359696</v>
      </c>
      <c r="AO354" s="154"/>
      <c r="AP354" s="154"/>
    </row>
    <row r="355">
      <c r="A355" s="154"/>
      <c r="B355" s="255">
        <v>45629.0</v>
      </c>
      <c r="C355" s="174">
        <v>15.66</v>
      </c>
      <c r="D355" s="256">
        <f t="shared" si="1"/>
        <v>0.005780346821</v>
      </c>
      <c r="E355" s="154"/>
      <c r="F355" s="255">
        <v>45629.0</v>
      </c>
      <c r="G355" s="174">
        <v>13.0</v>
      </c>
      <c r="H355" s="256">
        <f t="shared" si="2"/>
        <v>-0.01515151515</v>
      </c>
      <c r="I355" s="154"/>
      <c r="J355" s="255">
        <v>45629.0</v>
      </c>
      <c r="K355" s="174">
        <v>17.53</v>
      </c>
      <c r="L355" s="256">
        <f t="shared" si="3"/>
        <v>0.05285285285</v>
      </c>
      <c r="M355" s="154"/>
      <c r="N355" s="255">
        <v>45629.0</v>
      </c>
      <c r="O355" s="174">
        <v>1962.0</v>
      </c>
      <c r="P355" s="256">
        <f t="shared" si="4"/>
        <v>0.01447776629</v>
      </c>
      <c r="Q355" s="154"/>
      <c r="R355" s="255">
        <v>45629.0</v>
      </c>
      <c r="S355" s="174">
        <v>28.42</v>
      </c>
      <c r="T355" s="256">
        <f t="shared" si="5"/>
        <v>-0.002106741573</v>
      </c>
      <c r="U355" s="154"/>
      <c r="V355" s="255">
        <v>45629.0</v>
      </c>
      <c r="W355" s="174">
        <v>1224.5</v>
      </c>
      <c r="X355" s="256">
        <f t="shared" si="6"/>
        <v>0.002250869654</v>
      </c>
      <c r="Y355" s="154"/>
      <c r="Z355" s="255">
        <v>45629.0</v>
      </c>
      <c r="AA355" s="174">
        <v>1533.9</v>
      </c>
      <c r="AB355" s="256">
        <f t="shared" si="7"/>
        <v>0.01737746236</v>
      </c>
      <c r="AC355" s="154"/>
      <c r="AD355" s="255">
        <v>45629.0</v>
      </c>
      <c r="AE355" s="174">
        <v>11.61</v>
      </c>
      <c r="AF355" s="256">
        <f t="shared" si="8"/>
        <v>-0.004288164666</v>
      </c>
      <c r="AG355" s="257"/>
      <c r="AH355" s="255">
        <v>45629.0</v>
      </c>
      <c r="AI355" s="174">
        <v>373.85</v>
      </c>
      <c r="AJ355" s="256">
        <f t="shared" si="9"/>
        <v>-0.003996270148</v>
      </c>
      <c r="AK355" s="257"/>
      <c r="AL355" s="255">
        <v>45629.0</v>
      </c>
      <c r="AM355" s="174">
        <v>6049.88</v>
      </c>
      <c r="AN355" s="256">
        <f t="shared" si="10"/>
        <v>0.0004514523371</v>
      </c>
      <c r="AO355" s="154"/>
      <c r="AP355" s="154"/>
    </row>
    <row r="356">
      <c r="A356" s="154"/>
      <c r="B356" s="255">
        <v>45628.0</v>
      </c>
      <c r="C356" s="174">
        <v>15.57</v>
      </c>
      <c r="D356" s="256">
        <f t="shared" si="1"/>
        <v>-0.01890359168</v>
      </c>
      <c r="E356" s="154"/>
      <c r="F356" s="255">
        <v>45628.0</v>
      </c>
      <c r="G356" s="174">
        <v>13.2</v>
      </c>
      <c r="H356" s="256">
        <f t="shared" si="2"/>
        <v>0.008403361345</v>
      </c>
      <c r="I356" s="154"/>
      <c r="J356" s="255">
        <v>45628.0</v>
      </c>
      <c r="K356" s="174">
        <v>16.65</v>
      </c>
      <c r="L356" s="256">
        <f t="shared" si="3"/>
        <v>-0.007747318236</v>
      </c>
      <c r="M356" s="154"/>
      <c r="N356" s="255">
        <v>45628.0</v>
      </c>
      <c r="O356" s="174">
        <v>1934.0</v>
      </c>
      <c r="P356" s="256">
        <f t="shared" si="4"/>
        <v>0.005197505198</v>
      </c>
      <c r="Q356" s="154"/>
      <c r="R356" s="255">
        <v>45628.0</v>
      </c>
      <c r="S356" s="174">
        <v>28.48</v>
      </c>
      <c r="T356" s="256">
        <f t="shared" si="5"/>
        <v>-0.002102312544</v>
      </c>
      <c r="U356" s="154"/>
      <c r="V356" s="255">
        <v>45628.0</v>
      </c>
      <c r="W356" s="174">
        <v>1221.75</v>
      </c>
      <c r="X356" s="256">
        <f t="shared" si="6"/>
        <v>0.01617732679</v>
      </c>
      <c r="Y356" s="154"/>
      <c r="Z356" s="255">
        <v>45628.0</v>
      </c>
      <c r="AA356" s="174">
        <v>1507.7</v>
      </c>
      <c r="AB356" s="256">
        <f t="shared" si="7"/>
        <v>-0.01708064411</v>
      </c>
      <c r="AC356" s="154"/>
      <c r="AD356" s="255">
        <v>45628.0</v>
      </c>
      <c r="AE356" s="174">
        <v>11.66</v>
      </c>
      <c r="AF356" s="256">
        <f t="shared" si="8"/>
        <v>-0.007659574468</v>
      </c>
      <c r="AG356" s="257"/>
      <c r="AH356" s="255">
        <v>45628.0</v>
      </c>
      <c r="AI356" s="174">
        <v>375.35</v>
      </c>
      <c r="AJ356" s="256">
        <f t="shared" si="9"/>
        <v>0.02793372587</v>
      </c>
      <c r="AK356" s="257"/>
      <c r="AL356" s="255">
        <v>45628.0</v>
      </c>
      <c r="AM356" s="174">
        <v>6047.15</v>
      </c>
      <c r="AN356" s="256">
        <f t="shared" si="10"/>
        <v>0.002448453181</v>
      </c>
      <c r="AO356" s="154"/>
      <c r="AP356" s="154"/>
    </row>
    <row r="357">
      <c r="A357" s="154"/>
      <c r="B357" s="263">
        <v>45625.0</v>
      </c>
      <c r="C357" s="174">
        <v>15.87</v>
      </c>
      <c r="D357" s="256">
        <f t="shared" si="1"/>
        <v>-0.006883604506</v>
      </c>
      <c r="E357" s="154"/>
      <c r="F357" s="263">
        <v>45625.0</v>
      </c>
      <c r="G357" s="174">
        <v>13.09</v>
      </c>
      <c r="H357" s="256">
        <f t="shared" si="2"/>
        <v>-0.009833585477</v>
      </c>
      <c r="I357" s="154"/>
      <c r="J357" s="263">
        <v>45625.0</v>
      </c>
      <c r="K357" s="174">
        <v>16.78</v>
      </c>
      <c r="L357" s="256">
        <f t="shared" si="3"/>
        <v>0.01267350634</v>
      </c>
      <c r="M357" s="154"/>
      <c r="N357" s="263">
        <v>45625.0</v>
      </c>
      <c r="O357" s="174">
        <v>1924.0</v>
      </c>
      <c r="P357" s="256">
        <f t="shared" si="4"/>
        <v>-0.01686254471</v>
      </c>
      <c r="Q357" s="154"/>
      <c r="R357" s="263">
        <v>45625.0</v>
      </c>
      <c r="S357" s="174">
        <v>28.54</v>
      </c>
      <c r="T357" s="256">
        <f t="shared" si="5"/>
        <v>-0.01040221914</v>
      </c>
      <c r="U357" s="154"/>
      <c r="V357" s="263">
        <v>45625.0</v>
      </c>
      <c r="W357" s="174">
        <v>1202.3</v>
      </c>
      <c r="X357" s="256">
        <f t="shared" si="6"/>
        <v>0.002000166681</v>
      </c>
      <c r="Y357" s="154"/>
      <c r="Z357" s="263">
        <v>45625.0</v>
      </c>
      <c r="AA357" s="174">
        <v>1533.9</v>
      </c>
      <c r="AB357" s="256">
        <f t="shared" si="7"/>
        <v>0.02866914797</v>
      </c>
      <c r="AC357" s="154"/>
      <c r="AD357" s="263">
        <v>45625.0</v>
      </c>
      <c r="AE357" s="174">
        <v>11.75</v>
      </c>
      <c r="AF357" s="256">
        <f t="shared" si="8"/>
        <v>0.005993150685</v>
      </c>
      <c r="AG357" s="264"/>
      <c r="AH357" s="263">
        <v>45625.0</v>
      </c>
      <c r="AI357" s="174">
        <v>365.15</v>
      </c>
      <c r="AJ357" s="256">
        <f t="shared" si="9"/>
        <v>0.01812351875</v>
      </c>
      <c r="AK357" s="264"/>
      <c r="AL357" s="263">
        <v>45625.0</v>
      </c>
      <c r="AM357" s="174">
        <v>6032.38</v>
      </c>
      <c r="AN357" s="256">
        <f t="shared" si="10"/>
        <v>0.005607844314</v>
      </c>
      <c r="AO357" s="154"/>
      <c r="AP357" s="154"/>
    </row>
    <row r="358">
      <c r="A358" s="154"/>
      <c r="B358" s="263">
        <v>45623.0</v>
      </c>
      <c r="C358" s="174">
        <v>15.98</v>
      </c>
      <c r="D358" s="256">
        <f t="shared" si="1"/>
        <v>0.01203293224</v>
      </c>
      <c r="E358" s="154"/>
      <c r="F358" s="263">
        <v>45623.0</v>
      </c>
      <c r="G358" s="174">
        <v>13.22</v>
      </c>
      <c r="H358" s="256">
        <f t="shared" si="2"/>
        <v>0.01070336391</v>
      </c>
      <c r="I358" s="154"/>
      <c r="J358" s="263">
        <v>45623.0</v>
      </c>
      <c r="K358" s="174">
        <v>16.57</v>
      </c>
      <c r="L358" s="256">
        <f t="shared" si="3"/>
        <v>-0.001205545509</v>
      </c>
      <c r="M358" s="154"/>
      <c r="N358" s="263">
        <v>45623.0</v>
      </c>
      <c r="O358" s="174">
        <v>1957.0</v>
      </c>
      <c r="P358" s="256">
        <f t="shared" si="4"/>
        <v>-0.004071246819</v>
      </c>
      <c r="Q358" s="154"/>
      <c r="R358" s="263">
        <v>45623.0</v>
      </c>
      <c r="S358" s="174">
        <v>28.84</v>
      </c>
      <c r="T358" s="256">
        <f t="shared" si="5"/>
        <v>0.01764290755</v>
      </c>
      <c r="U358" s="154"/>
      <c r="V358" s="263">
        <v>45623.0</v>
      </c>
      <c r="W358" s="174">
        <v>1199.9</v>
      </c>
      <c r="X358" s="256">
        <f t="shared" si="6"/>
        <v>-0.007239482067</v>
      </c>
      <c r="Y358" s="154"/>
      <c r="Z358" s="263">
        <v>45623.0</v>
      </c>
      <c r="AA358" s="174">
        <v>1491.15</v>
      </c>
      <c r="AB358" s="256">
        <f t="shared" si="7"/>
        <v>-0.001038386816</v>
      </c>
      <c r="AC358" s="154"/>
      <c r="AD358" s="263">
        <v>45623.0</v>
      </c>
      <c r="AE358" s="174">
        <v>11.68</v>
      </c>
      <c r="AF358" s="256">
        <f t="shared" si="8"/>
        <v>-0.01351351351</v>
      </c>
      <c r="AG358" s="264"/>
      <c r="AH358" s="263">
        <v>45623.0</v>
      </c>
      <c r="AI358" s="174">
        <v>358.65</v>
      </c>
      <c r="AJ358" s="256">
        <f t="shared" si="9"/>
        <v>0.01701403658</v>
      </c>
      <c r="AK358" s="264"/>
      <c r="AL358" s="263">
        <v>45623.0</v>
      </c>
      <c r="AM358" s="174">
        <v>5998.74</v>
      </c>
      <c r="AN358" s="256">
        <f t="shared" si="10"/>
        <v>-0.003801296327</v>
      </c>
      <c r="AO358" s="154"/>
      <c r="AP358" s="154"/>
    </row>
    <row r="359">
      <c r="A359" s="154"/>
      <c r="B359" s="263">
        <v>45622.0</v>
      </c>
      <c r="C359" s="174">
        <v>15.79</v>
      </c>
      <c r="D359" s="256">
        <f t="shared" si="1"/>
        <v>-0.02350030921</v>
      </c>
      <c r="E359" s="154"/>
      <c r="F359" s="263">
        <v>45622.0</v>
      </c>
      <c r="G359" s="174">
        <v>13.08</v>
      </c>
      <c r="H359" s="256">
        <f t="shared" si="2"/>
        <v>-0.02095808383</v>
      </c>
      <c r="I359" s="154"/>
      <c r="J359" s="263">
        <v>45622.0</v>
      </c>
      <c r="K359" s="174">
        <v>16.59</v>
      </c>
      <c r="L359" s="256">
        <f t="shared" si="3"/>
        <v>-0.005991611744</v>
      </c>
      <c r="M359" s="154"/>
      <c r="N359" s="263">
        <v>45622.0</v>
      </c>
      <c r="O359" s="174">
        <v>1965.0</v>
      </c>
      <c r="P359" s="256">
        <f t="shared" si="4"/>
        <v>-0.007575757576</v>
      </c>
      <c r="Q359" s="154"/>
      <c r="R359" s="263">
        <v>45622.0</v>
      </c>
      <c r="S359" s="174">
        <v>28.34</v>
      </c>
      <c r="T359" s="256">
        <f t="shared" si="5"/>
        <v>-0.002112676056</v>
      </c>
      <c r="U359" s="154"/>
      <c r="V359" s="263">
        <v>45622.0</v>
      </c>
      <c r="W359" s="174">
        <v>1208.65</v>
      </c>
      <c r="X359" s="256">
        <f t="shared" si="6"/>
        <v>-0.0005375010337</v>
      </c>
      <c r="Y359" s="154"/>
      <c r="Z359" s="263">
        <v>45622.0</v>
      </c>
      <c r="AA359" s="174">
        <v>1492.7</v>
      </c>
      <c r="AB359" s="256">
        <f t="shared" si="7"/>
        <v>-0.007051154128</v>
      </c>
      <c r="AC359" s="154"/>
      <c r="AD359" s="263">
        <v>45622.0</v>
      </c>
      <c r="AE359" s="174">
        <v>11.84</v>
      </c>
      <c r="AF359" s="256">
        <f t="shared" si="8"/>
        <v>-0.01333333333</v>
      </c>
      <c r="AG359" s="264"/>
      <c r="AH359" s="263">
        <v>45622.0</v>
      </c>
      <c r="AI359" s="174">
        <v>352.65</v>
      </c>
      <c r="AJ359" s="256">
        <f t="shared" si="9"/>
        <v>0.04846142411</v>
      </c>
      <c r="AK359" s="264"/>
      <c r="AL359" s="263">
        <v>45622.0</v>
      </c>
      <c r="AM359" s="174">
        <v>6021.63</v>
      </c>
      <c r="AN359" s="256">
        <f t="shared" si="10"/>
        <v>0.005722044905</v>
      </c>
      <c r="AO359" s="154"/>
      <c r="AP359" s="154"/>
    </row>
    <row r="360">
      <c r="A360" s="154"/>
      <c r="B360" s="263">
        <v>45621.0</v>
      </c>
      <c r="C360" s="174">
        <v>16.17</v>
      </c>
      <c r="D360" s="256">
        <f t="shared" si="1"/>
        <v>0.0582460733</v>
      </c>
      <c r="E360" s="154"/>
      <c r="F360" s="263">
        <v>45621.0</v>
      </c>
      <c r="G360" s="174">
        <v>13.36</v>
      </c>
      <c r="H360" s="256">
        <f t="shared" si="2"/>
        <v>-0.0007479431563</v>
      </c>
      <c r="I360" s="154"/>
      <c r="J360" s="263">
        <v>45621.0</v>
      </c>
      <c r="K360" s="174">
        <v>16.69</v>
      </c>
      <c r="L360" s="256">
        <f t="shared" si="3"/>
        <v>-0.02511682243</v>
      </c>
      <c r="M360" s="154"/>
      <c r="N360" s="263">
        <v>45621.0</v>
      </c>
      <c r="O360" s="174">
        <v>1980.0</v>
      </c>
      <c r="P360" s="256">
        <f t="shared" si="4"/>
        <v>0.01538461538</v>
      </c>
      <c r="Q360" s="154"/>
      <c r="R360" s="263">
        <v>45621.0</v>
      </c>
      <c r="S360" s="174">
        <v>28.4</v>
      </c>
      <c r="T360" s="256">
        <f t="shared" si="5"/>
        <v>0.01175632348</v>
      </c>
      <c r="U360" s="154"/>
      <c r="V360" s="263">
        <v>45621.0</v>
      </c>
      <c r="W360" s="174">
        <v>1209.3</v>
      </c>
      <c r="X360" s="256">
        <f t="shared" si="6"/>
        <v>-0.004240602742</v>
      </c>
      <c r="Y360" s="154"/>
      <c r="Z360" s="263">
        <v>45621.0</v>
      </c>
      <c r="AA360" s="174">
        <v>1503.3</v>
      </c>
      <c r="AB360" s="256">
        <f t="shared" si="7"/>
        <v>0.01130171544</v>
      </c>
      <c r="AC360" s="154"/>
      <c r="AD360" s="263">
        <v>45621.0</v>
      </c>
      <c r="AE360" s="174">
        <v>12.0</v>
      </c>
      <c r="AF360" s="256">
        <f t="shared" si="8"/>
        <v>0.000834028357</v>
      </c>
      <c r="AG360" s="264"/>
      <c r="AH360" s="263">
        <v>45621.0</v>
      </c>
      <c r="AI360" s="174">
        <v>336.35</v>
      </c>
      <c r="AJ360" s="256">
        <f t="shared" si="9"/>
        <v>0.01463046757</v>
      </c>
      <c r="AK360" s="264"/>
      <c r="AL360" s="263">
        <v>45621.0</v>
      </c>
      <c r="AM360" s="174">
        <v>5987.37</v>
      </c>
      <c r="AN360" s="256">
        <f t="shared" si="10"/>
        <v>0.00302043442</v>
      </c>
      <c r="AO360" s="154"/>
      <c r="AP360" s="154"/>
    </row>
    <row r="361">
      <c r="A361" s="154"/>
      <c r="B361" s="263">
        <v>45618.0</v>
      </c>
      <c r="C361" s="174">
        <v>15.28</v>
      </c>
      <c r="D361" s="256">
        <f t="shared" si="1"/>
        <v>0.02619207522</v>
      </c>
      <c r="E361" s="154"/>
      <c r="F361" s="263">
        <v>45618.0</v>
      </c>
      <c r="G361" s="174">
        <v>13.37</v>
      </c>
      <c r="H361" s="256">
        <f t="shared" si="2"/>
        <v>0.009056603774</v>
      </c>
      <c r="I361" s="154"/>
      <c r="J361" s="263">
        <v>45618.0</v>
      </c>
      <c r="K361" s="174">
        <v>17.12</v>
      </c>
      <c r="L361" s="256">
        <f t="shared" si="3"/>
        <v>0.002341920375</v>
      </c>
      <c r="M361" s="154"/>
      <c r="N361" s="263">
        <v>45618.0</v>
      </c>
      <c r="O361" s="174">
        <v>1950.0</v>
      </c>
      <c r="P361" s="256">
        <f t="shared" si="4"/>
        <v>0.04166666667</v>
      </c>
      <c r="Q361" s="154"/>
      <c r="R361" s="263">
        <v>45618.0</v>
      </c>
      <c r="S361" s="174">
        <v>28.07</v>
      </c>
      <c r="T361" s="256">
        <f t="shared" si="5"/>
        <v>0.03655834564</v>
      </c>
      <c r="U361" s="154"/>
      <c r="V361" s="263">
        <v>45618.0</v>
      </c>
      <c r="W361" s="174">
        <v>1214.45</v>
      </c>
      <c r="X361" s="256">
        <f t="shared" si="6"/>
        <v>0.01597858368</v>
      </c>
      <c r="Y361" s="154"/>
      <c r="Z361" s="263">
        <v>45618.0</v>
      </c>
      <c r="AA361" s="174">
        <v>1486.5</v>
      </c>
      <c r="AB361" s="256">
        <f t="shared" si="7"/>
        <v>0.01432958035</v>
      </c>
      <c r="AC361" s="154"/>
      <c r="AD361" s="263">
        <v>45618.0</v>
      </c>
      <c r="AE361" s="174">
        <v>11.99</v>
      </c>
      <c r="AF361" s="256">
        <f t="shared" si="8"/>
        <v>-0.03617363344</v>
      </c>
      <c r="AG361" s="264"/>
      <c r="AH361" s="263">
        <v>45618.0</v>
      </c>
      <c r="AI361" s="174">
        <v>331.5</v>
      </c>
      <c r="AJ361" s="256">
        <f t="shared" si="9"/>
        <v>0.02599814299</v>
      </c>
      <c r="AK361" s="264"/>
      <c r="AL361" s="263">
        <v>45618.0</v>
      </c>
      <c r="AM361" s="174">
        <v>5969.34</v>
      </c>
      <c r="AN361" s="256">
        <f t="shared" si="10"/>
        <v>0.003467978772</v>
      </c>
      <c r="AO361" s="154"/>
      <c r="AP361" s="154"/>
    </row>
    <row r="362">
      <c r="A362" s="154"/>
      <c r="B362" s="263">
        <v>45617.0</v>
      </c>
      <c r="C362" s="174">
        <v>14.89</v>
      </c>
      <c r="D362" s="256">
        <f t="shared" si="1"/>
        <v>0.02056202879</v>
      </c>
      <c r="E362" s="154"/>
      <c r="F362" s="263">
        <v>45617.0</v>
      </c>
      <c r="G362" s="174">
        <v>13.25</v>
      </c>
      <c r="H362" s="256">
        <f t="shared" si="2"/>
        <v>0.0153256705</v>
      </c>
      <c r="I362" s="154"/>
      <c r="J362" s="263">
        <v>45617.0</v>
      </c>
      <c r="K362" s="174">
        <v>17.08</v>
      </c>
      <c r="L362" s="256">
        <f t="shared" si="3"/>
        <v>0.01606186794</v>
      </c>
      <c r="M362" s="154"/>
      <c r="N362" s="263">
        <v>45617.0</v>
      </c>
      <c r="O362" s="174">
        <v>1872.0</v>
      </c>
      <c r="P362" s="256">
        <f t="shared" si="4"/>
        <v>0.01849836779</v>
      </c>
      <c r="Q362" s="154"/>
      <c r="R362" s="263">
        <v>45617.0</v>
      </c>
      <c r="S362" s="174">
        <v>27.08</v>
      </c>
      <c r="T362" s="256">
        <f t="shared" si="5"/>
        <v>-0.005873715125</v>
      </c>
      <c r="U362" s="154"/>
      <c r="V362" s="263">
        <v>45617.0</v>
      </c>
      <c r="W362" s="174">
        <v>1195.35</v>
      </c>
      <c r="X362" s="256">
        <f t="shared" si="6"/>
        <v>-0.01491614817</v>
      </c>
      <c r="Y362" s="154"/>
      <c r="Z362" s="263">
        <v>45617.0</v>
      </c>
      <c r="AA362" s="174">
        <v>1465.5</v>
      </c>
      <c r="AB362" s="256">
        <f t="shared" si="7"/>
        <v>-0.004111311202</v>
      </c>
      <c r="AC362" s="154"/>
      <c r="AD362" s="263">
        <v>45617.0</v>
      </c>
      <c r="AE362" s="174">
        <v>12.44</v>
      </c>
      <c r="AF362" s="256">
        <f t="shared" si="8"/>
        <v>-0.0048</v>
      </c>
      <c r="AG362" s="264"/>
      <c r="AH362" s="263">
        <v>45617.0</v>
      </c>
      <c r="AI362" s="174">
        <v>323.1</v>
      </c>
      <c r="AJ362" s="256">
        <f t="shared" si="9"/>
        <v>-0.01207766397</v>
      </c>
      <c r="AK362" s="264"/>
      <c r="AL362" s="263">
        <v>45617.0</v>
      </c>
      <c r="AM362" s="174">
        <v>5948.71</v>
      </c>
      <c r="AN362" s="256">
        <f t="shared" si="10"/>
        <v>0.005362532914</v>
      </c>
      <c r="AO362" s="154"/>
      <c r="AP362" s="154"/>
    </row>
    <row r="363">
      <c r="A363" s="154"/>
      <c r="B363" s="263">
        <v>45615.0</v>
      </c>
      <c r="C363" s="174">
        <v>14.59</v>
      </c>
      <c r="D363" s="256">
        <f t="shared" si="1"/>
        <v>-0.03377483444</v>
      </c>
      <c r="E363" s="154"/>
      <c r="F363" s="263">
        <v>45615.0</v>
      </c>
      <c r="G363" s="174">
        <v>13.05</v>
      </c>
      <c r="H363" s="256">
        <f t="shared" si="2"/>
        <v>0.003846153846</v>
      </c>
      <c r="I363" s="154"/>
      <c r="J363" s="263">
        <v>45615.0</v>
      </c>
      <c r="K363" s="174">
        <v>16.81</v>
      </c>
      <c r="L363" s="256">
        <f t="shared" si="3"/>
        <v>0.01940570042</v>
      </c>
      <c r="M363" s="154"/>
      <c r="N363" s="263">
        <v>45615.0</v>
      </c>
      <c r="O363" s="174">
        <v>1838.0</v>
      </c>
      <c r="P363" s="256">
        <f t="shared" si="4"/>
        <v>0.01044529962</v>
      </c>
      <c r="Q363" s="154"/>
      <c r="R363" s="263">
        <v>45615.0</v>
      </c>
      <c r="S363" s="174">
        <v>27.24</v>
      </c>
      <c r="T363" s="256">
        <f t="shared" si="5"/>
        <v>0.01339285714</v>
      </c>
      <c r="U363" s="154"/>
      <c r="V363" s="263">
        <v>45615.0</v>
      </c>
      <c r="W363" s="174">
        <v>1213.45</v>
      </c>
      <c r="X363" s="256">
        <f t="shared" si="6"/>
        <v>0.01667295044</v>
      </c>
      <c r="Y363" s="154"/>
      <c r="Z363" s="263">
        <v>45615.0</v>
      </c>
      <c r="AA363" s="174">
        <v>1471.55</v>
      </c>
      <c r="AB363" s="256">
        <f t="shared" si="7"/>
        <v>0.004299607575</v>
      </c>
      <c r="AC363" s="154"/>
      <c r="AD363" s="263">
        <v>45615.0</v>
      </c>
      <c r="AE363" s="174">
        <v>12.5</v>
      </c>
      <c r="AF363" s="256">
        <f t="shared" si="8"/>
        <v>0.03305785124</v>
      </c>
      <c r="AG363" s="264"/>
      <c r="AH363" s="263">
        <v>45615.0</v>
      </c>
      <c r="AI363" s="174">
        <v>327.05</v>
      </c>
      <c r="AJ363" s="256">
        <f t="shared" si="9"/>
        <v>0.005225142155</v>
      </c>
      <c r="AK363" s="264"/>
      <c r="AL363" s="263">
        <v>45615.0</v>
      </c>
      <c r="AM363" s="174">
        <v>5916.98</v>
      </c>
      <c r="AN363" s="256">
        <f t="shared" si="10"/>
        <v>0.003963608105</v>
      </c>
      <c r="AO363" s="154"/>
      <c r="AP363" s="154"/>
    </row>
    <row r="364">
      <c r="A364" s="154"/>
      <c r="B364" s="263">
        <v>45614.0</v>
      </c>
      <c r="C364" s="174">
        <v>15.1</v>
      </c>
      <c r="D364" s="256">
        <f t="shared" si="1"/>
        <v>-0.01371652515</v>
      </c>
      <c r="E364" s="154"/>
      <c r="F364" s="263">
        <v>45614.0</v>
      </c>
      <c r="G364" s="174">
        <v>13.0</v>
      </c>
      <c r="H364" s="256">
        <f t="shared" si="2"/>
        <v>0.03011093502</v>
      </c>
      <c r="I364" s="154"/>
      <c r="J364" s="263">
        <v>45614.0</v>
      </c>
      <c r="K364" s="174">
        <v>16.49</v>
      </c>
      <c r="L364" s="256">
        <f t="shared" si="3"/>
        <v>-0.01552238806</v>
      </c>
      <c r="M364" s="154"/>
      <c r="N364" s="263">
        <v>45614.0</v>
      </c>
      <c r="O364" s="174">
        <v>1819.0</v>
      </c>
      <c r="P364" s="256">
        <f t="shared" si="4"/>
        <v>0.01393534002</v>
      </c>
      <c r="Q364" s="154"/>
      <c r="R364" s="263">
        <v>45614.0</v>
      </c>
      <c r="S364" s="174">
        <v>26.88</v>
      </c>
      <c r="T364" s="256">
        <f t="shared" si="5"/>
        <v>-0.001856665429</v>
      </c>
      <c r="U364" s="154"/>
      <c r="V364" s="263">
        <v>45614.0</v>
      </c>
      <c r="W364" s="174">
        <v>1193.55</v>
      </c>
      <c r="X364" s="256">
        <f t="shared" si="6"/>
        <v>-0.02702372218</v>
      </c>
      <c r="Y364" s="154"/>
      <c r="Z364" s="263">
        <v>45614.0</v>
      </c>
      <c r="AA364" s="174">
        <v>1465.25</v>
      </c>
      <c r="AB364" s="256">
        <f t="shared" si="7"/>
        <v>-0.02300383397</v>
      </c>
      <c r="AC364" s="154"/>
      <c r="AD364" s="263">
        <v>45614.0</v>
      </c>
      <c r="AE364" s="174">
        <v>12.1</v>
      </c>
      <c r="AF364" s="256">
        <f t="shared" si="8"/>
        <v>0.002485501243</v>
      </c>
      <c r="AG364" s="264"/>
      <c r="AH364" s="263">
        <v>45614.0</v>
      </c>
      <c r="AI364" s="174">
        <v>325.35</v>
      </c>
      <c r="AJ364" s="256">
        <f t="shared" si="9"/>
        <v>-0.03111971412</v>
      </c>
      <c r="AK364" s="264"/>
      <c r="AL364" s="263">
        <v>45614.0</v>
      </c>
      <c r="AM364" s="174">
        <v>5893.62</v>
      </c>
      <c r="AN364" s="256">
        <f t="shared" si="10"/>
        <v>-0.009337436987</v>
      </c>
      <c r="AO364" s="154"/>
      <c r="AP364" s="154"/>
    </row>
    <row r="365">
      <c r="A365" s="154"/>
      <c r="B365" s="263">
        <v>45610.0</v>
      </c>
      <c r="C365" s="174">
        <v>15.31</v>
      </c>
      <c r="D365" s="256">
        <f t="shared" si="1"/>
        <v>-0.01921844971</v>
      </c>
      <c r="E365" s="154"/>
      <c r="F365" s="263">
        <v>45610.0</v>
      </c>
      <c r="G365" s="174">
        <v>12.62</v>
      </c>
      <c r="H365" s="256">
        <f t="shared" si="2"/>
        <v>-0.02923076923</v>
      </c>
      <c r="I365" s="154"/>
      <c r="J365" s="263">
        <v>45610.0</v>
      </c>
      <c r="K365" s="174">
        <v>16.75</v>
      </c>
      <c r="L365" s="256">
        <f t="shared" si="3"/>
        <v>-0.01121605667</v>
      </c>
      <c r="M365" s="154"/>
      <c r="N365" s="263">
        <v>45610.0</v>
      </c>
      <c r="O365" s="174">
        <v>1794.0</v>
      </c>
      <c r="P365" s="256">
        <f t="shared" si="4"/>
        <v>-0.008291873964</v>
      </c>
      <c r="Q365" s="154"/>
      <c r="R365" s="263">
        <v>45610.0</v>
      </c>
      <c r="S365" s="174">
        <v>26.93</v>
      </c>
      <c r="T365" s="256">
        <f t="shared" si="5"/>
        <v>0.004475941813</v>
      </c>
      <c r="U365" s="154"/>
      <c r="V365" s="263">
        <v>45610.0</v>
      </c>
      <c r="W365" s="174">
        <v>1226.7</v>
      </c>
      <c r="X365" s="256">
        <f t="shared" si="6"/>
        <v>-0.01469879518</v>
      </c>
      <c r="Y365" s="154"/>
      <c r="Z365" s="263">
        <v>45610.0</v>
      </c>
      <c r="AA365" s="174">
        <v>1499.75</v>
      </c>
      <c r="AB365" s="256">
        <f t="shared" si="7"/>
        <v>-0.003885494155</v>
      </c>
      <c r="AC365" s="154"/>
      <c r="AD365" s="263">
        <v>45610.0</v>
      </c>
      <c r="AE365" s="174">
        <v>12.07</v>
      </c>
      <c r="AF365" s="256">
        <f t="shared" si="8"/>
        <v>0.01173512154</v>
      </c>
      <c r="AG365" s="264"/>
      <c r="AH365" s="263">
        <v>45610.0</v>
      </c>
      <c r="AI365" s="174">
        <v>335.8</v>
      </c>
      <c r="AJ365" s="256">
        <f t="shared" si="9"/>
        <v>0.0128185794</v>
      </c>
      <c r="AK365" s="264"/>
      <c r="AL365" s="263">
        <v>45610.0</v>
      </c>
      <c r="AM365" s="174">
        <v>5949.17</v>
      </c>
      <c r="AN365" s="256">
        <f t="shared" si="10"/>
        <v>-0.006049741203</v>
      </c>
      <c r="AO365" s="154"/>
      <c r="AP365" s="154"/>
    </row>
    <row r="366">
      <c r="A366" s="154"/>
      <c r="B366" s="263">
        <v>45609.0</v>
      </c>
      <c r="C366" s="174">
        <v>15.61</v>
      </c>
      <c r="D366" s="256">
        <f t="shared" si="1"/>
        <v>0.001925545571</v>
      </c>
      <c r="E366" s="154"/>
      <c r="F366" s="263">
        <v>45609.0</v>
      </c>
      <c r="G366" s="174">
        <v>13.0</v>
      </c>
      <c r="H366" s="256">
        <f t="shared" si="2"/>
        <v>0.005413766435</v>
      </c>
      <c r="I366" s="154"/>
      <c r="J366" s="263">
        <v>45609.0</v>
      </c>
      <c r="K366" s="174">
        <v>16.94</v>
      </c>
      <c r="L366" s="256">
        <f t="shared" si="3"/>
        <v>-0.009935710111</v>
      </c>
      <c r="M366" s="154"/>
      <c r="N366" s="263">
        <v>45609.0</v>
      </c>
      <c r="O366" s="174">
        <v>1809.0</v>
      </c>
      <c r="P366" s="256">
        <f t="shared" si="4"/>
        <v>-0.009309967141</v>
      </c>
      <c r="Q366" s="154"/>
      <c r="R366" s="263">
        <v>45609.0</v>
      </c>
      <c r="S366" s="174">
        <v>26.81</v>
      </c>
      <c r="T366" s="256">
        <f t="shared" si="5"/>
        <v>0.01668562761</v>
      </c>
      <c r="U366" s="154"/>
      <c r="V366" s="263">
        <v>45609.0</v>
      </c>
      <c r="W366" s="174">
        <v>1245.0</v>
      </c>
      <c r="X366" s="256">
        <f t="shared" si="6"/>
        <v>-0.01495371469</v>
      </c>
      <c r="Y366" s="154"/>
      <c r="Z366" s="263">
        <v>45609.0</v>
      </c>
      <c r="AA366" s="174">
        <v>1505.6</v>
      </c>
      <c r="AB366" s="256">
        <f t="shared" si="7"/>
        <v>-0.0128184113</v>
      </c>
      <c r="AC366" s="154"/>
      <c r="AD366" s="263">
        <v>45609.0</v>
      </c>
      <c r="AE366" s="174">
        <v>11.93</v>
      </c>
      <c r="AF366" s="256">
        <f t="shared" si="8"/>
        <v>-0.01891447368</v>
      </c>
      <c r="AG366" s="264"/>
      <c r="AH366" s="263">
        <v>45609.0</v>
      </c>
      <c r="AI366" s="174">
        <v>331.55</v>
      </c>
      <c r="AJ366" s="256">
        <f t="shared" si="9"/>
        <v>-0.04589928058</v>
      </c>
      <c r="AK366" s="264"/>
      <c r="AL366" s="263">
        <v>45609.0</v>
      </c>
      <c r="AM366" s="174">
        <v>5985.38</v>
      </c>
      <c r="AN366" s="256">
        <f t="shared" si="10"/>
        <v>0.0002322864844</v>
      </c>
      <c r="AO366" s="154"/>
      <c r="AP366" s="154"/>
    </row>
    <row r="367">
      <c r="A367" s="154"/>
      <c r="B367" s="263">
        <v>45608.0</v>
      </c>
      <c r="C367" s="174">
        <v>15.58</v>
      </c>
      <c r="D367" s="256">
        <f t="shared" si="1"/>
        <v>-0.03169670603</v>
      </c>
      <c r="E367" s="154"/>
      <c r="F367" s="263">
        <v>45608.0</v>
      </c>
      <c r="G367" s="174">
        <v>12.93</v>
      </c>
      <c r="H367" s="256">
        <f t="shared" si="2"/>
        <v>-0.01222307105</v>
      </c>
      <c r="I367" s="154"/>
      <c r="J367" s="263">
        <v>45608.0</v>
      </c>
      <c r="K367" s="174">
        <v>17.11</v>
      </c>
      <c r="L367" s="256">
        <f t="shared" si="3"/>
        <v>-0.01496833621</v>
      </c>
      <c r="M367" s="154"/>
      <c r="N367" s="263">
        <v>45608.0</v>
      </c>
      <c r="O367" s="174">
        <v>1826.0</v>
      </c>
      <c r="P367" s="256">
        <f t="shared" si="4"/>
        <v>-0.005988023952</v>
      </c>
      <c r="Q367" s="154"/>
      <c r="R367" s="263">
        <v>45608.0</v>
      </c>
      <c r="S367" s="174">
        <v>26.37</v>
      </c>
      <c r="T367" s="256">
        <f t="shared" si="5"/>
        <v>-0.0130988024</v>
      </c>
      <c r="U367" s="154"/>
      <c r="V367" s="263">
        <v>45608.0</v>
      </c>
      <c r="W367" s="174">
        <v>1263.9</v>
      </c>
      <c r="X367" s="256">
        <f t="shared" si="6"/>
        <v>-0.01863498719</v>
      </c>
      <c r="Y367" s="154"/>
      <c r="Z367" s="263">
        <v>45608.0</v>
      </c>
      <c r="AA367" s="174">
        <v>1525.15</v>
      </c>
      <c r="AB367" s="256">
        <f t="shared" si="7"/>
        <v>-0.01780654302</v>
      </c>
      <c r="AC367" s="154"/>
      <c r="AD367" s="263">
        <v>45608.0</v>
      </c>
      <c r="AE367" s="174">
        <v>12.16</v>
      </c>
      <c r="AF367" s="256">
        <f t="shared" si="8"/>
        <v>-0.004095004095</v>
      </c>
      <c r="AG367" s="264"/>
      <c r="AH367" s="263">
        <v>45608.0</v>
      </c>
      <c r="AI367" s="174">
        <v>347.5</v>
      </c>
      <c r="AJ367" s="256">
        <f t="shared" si="9"/>
        <v>-0.003441353599</v>
      </c>
      <c r="AK367" s="264"/>
      <c r="AL367" s="263">
        <v>45608.0</v>
      </c>
      <c r="AM367" s="174">
        <v>5983.99</v>
      </c>
      <c r="AN367" s="256">
        <f t="shared" si="10"/>
        <v>-0.00289268248</v>
      </c>
      <c r="AO367" s="154"/>
      <c r="AP367" s="154"/>
    </row>
    <row r="368">
      <c r="A368" s="154"/>
      <c r="B368" s="263">
        <v>45607.0</v>
      </c>
      <c r="C368" s="174">
        <v>16.09</v>
      </c>
      <c r="D368" s="256">
        <f t="shared" si="1"/>
        <v>0.003117206983</v>
      </c>
      <c r="E368" s="154"/>
      <c r="F368" s="263">
        <v>45607.0</v>
      </c>
      <c r="G368" s="174">
        <v>13.09</v>
      </c>
      <c r="H368" s="256">
        <f t="shared" si="2"/>
        <v>0.0100308642</v>
      </c>
      <c r="I368" s="154"/>
      <c r="J368" s="263">
        <v>45607.0</v>
      </c>
      <c r="K368" s="174">
        <v>17.37</v>
      </c>
      <c r="L368" s="256">
        <f t="shared" si="3"/>
        <v>0.01519579193</v>
      </c>
      <c r="M368" s="154"/>
      <c r="N368" s="263">
        <v>45607.0</v>
      </c>
      <c r="O368" s="174">
        <v>1837.0</v>
      </c>
      <c r="P368" s="256">
        <f t="shared" si="4"/>
        <v>0.00327689787</v>
      </c>
      <c r="Q368" s="154"/>
      <c r="R368" s="263">
        <v>45607.0</v>
      </c>
      <c r="S368" s="174">
        <v>26.72</v>
      </c>
      <c r="T368" s="256">
        <f t="shared" si="5"/>
        <v>0.01365705615</v>
      </c>
      <c r="U368" s="154"/>
      <c r="V368" s="263">
        <v>45607.0</v>
      </c>
      <c r="W368" s="174">
        <v>1287.9</v>
      </c>
      <c r="X368" s="256">
        <f t="shared" si="6"/>
        <v>0.003310871343</v>
      </c>
      <c r="Y368" s="154"/>
      <c r="Z368" s="263">
        <v>45607.0</v>
      </c>
      <c r="AA368" s="174">
        <v>1552.8</v>
      </c>
      <c r="AB368" s="256">
        <f t="shared" si="7"/>
        <v>-0.02499058144</v>
      </c>
      <c r="AC368" s="154"/>
      <c r="AD368" s="263">
        <v>45607.0</v>
      </c>
      <c r="AE368" s="174">
        <v>12.21</v>
      </c>
      <c r="AF368" s="256">
        <f t="shared" si="8"/>
        <v>-0.0378250591</v>
      </c>
      <c r="AG368" s="264"/>
      <c r="AH368" s="263">
        <v>45607.0</v>
      </c>
      <c r="AI368" s="174">
        <v>348.7</v>
      </c>
      <c r="AJ368" s="256">
        <f t="shared" si="9"/>
        <v>0.08527855587</v>
      </c>
      <c r="AK368" s="264"/>
      <c r="AL368" s="263">
        <v>45607.0</v>
      </c>
      <c r="AM368" s="174">
        <v>6001.35</v>
      </c>
      <c r="AN368" s="256">
        <f t="shared" si="10"/>
        <v>0.0009690536632</v>
      </c>
      <c r="AO368" s="154"/>
      <c r="AP368" s="154"/>
    </row>
    <row r="369">
      <c r="A369" s="154"/>
      <c r="B369" s="255">
        <v>45604.0</v>
      </c>
      <c r="C369" s="174">
        <v>16.04</v>
      </c>
      <c r="D369" s="256">
        <f t="shared" si="1"/>
        <v>-0.004962779156</v>
      </c>
      <c r="E369" s="154"/>
      <c r="F369" s="255">
        <v>45604.0</v>
      </c>
      <c r="G369" s="174">
        <v>12.96</v>
      </c>
      <c r="H369" s="256">
        <f t="shared" si="2"/>
        <v>-0.01669195751</v>
      </c>
      <c r="I369" s="154"/>
      <c r="J369" s="255">
        <v>45604.0</v>
      </c>
      <c r="K369" s="174">
        <v>17.11</v>
      </c>
      <c r="L369" s="256">
        <f t="shared" si="3"/>
        <v>-0.02228571429</v>
      </c>
      <c r="M369" s="154"/>
      <c r="N369" s="255">
        <v>45604.0</v>
      </c>
      <c r="O369" s="174">
        <v>1831.0</v>
      </c>
      <c r="P369" s="256">
        <f t="shared" si="4"/>
        <v>0.01693973896</v>
      </c>
      <c r="Q369" s="154"/>
      <c r="R369" s="255">
        <v>45604.0</v>
      </c>
      <c r="S369" s="174">
        <v>26.36</v>
      </c>
      <c r="T369" s="256">
        <f t="shared" si="5"/>
        <v>-0.02116598589</v>
      </c>
      <c r="U369" s="154"/>
      <c r="V369" s="255">
        <v>45604.0</v>
      </c>
      <c r="W369" s="174">
        <v>1283.65</v>
      </c>
      <c r="X369" s="256">
        <f t="shared" si="6"/>
        <v>-0.002874121257</v>
      </c>
      <c r="Y369" s="154"/>
      <c r="Z369" s="255">
        <v>45604.0</v>
      </c>
      <c r="AA369" s="174">
        <v>1592.6</v>
      </c>
      <c r="AB369" s="256">
        <f t="shared" si="7"/>
        <v>0.01043682391</v>
      </c>
      <c r="AC369" s="154"/>
      <c r="AD369" s="255">
        <v>45604.0</v>
      </c>
      <c r="AE369" s="174">
        <v>12.69</v>
      </c>
      <c r="AF369" s="256">
        <f t="shared" si="8"/>
        <v>0.002369668246</v>
      </c>
      <c r="AG369" s="257"/>
      <c r="AH369" s="255">
        <v>45604.0</v>
      </c>
      <c r="AI369" s="174">
        <v>321.3</v>
      </c>
      <c r="AJ369" s="256">
        <f t="shared" si="9"/>
        <v>-0.02042682927</v>
      </c>
      <c r="AK369" s="257"/>
      <c r="AL369" s="255">
        <v>45604.0</v>
      </c>
      <c r="AM369" s="174">
        <v>5995.54</v>
      </c>
      <c r="AN369" s="256">
        <f t="shared" si="10"/>
        <v>0.00375684318</v>
      </c>
      <c r="AO369" s="154"/>
      <c r="AP369" s="154"/>
    </row>
    <row r="370">
      <c r="A370" s="154"/>
      <c r="B370" s="255">
        <v>45603.0</v>
      </c>
      <c r="C370" s="174">
        <v>16.12</v>
      </c>
      <c r="D370" s="256">
        <f t="shared" si="1"/>
        <v>0.02025316456</v>
      </c>
      <c r="E370" s="154"/>
      <c r="F370" s="255">
        <v>45603.0</v>
      </c>
      <c r="G370" s="174">
        <v>13.18</v>
      </c>
      <c r="H370" s="256">
        <f t="shared" si="2"/>
        <v>0.1352282515</v>
      </c>
      <c r="I370" s="154"/>
      <c r="J370" s="255">
        <v>45603.0</v>
      </c>
      <c r="K370" s="174">
        <v>17.5</v>
      </c>
      <c r="L370" s="256">
        <f t="shared" si="3"/>
        <v>0.004016064257</v>
      </c>
      <c r="M370" s="154"/>
      <c r="N370" s="255">
        <v>45603.0</v>
      </c>
      <c r="O370" s="258">
        <v>1800.5</v>
      </c>
      <c r="P370" s="256">
        <f t="shared" si="4"/>
        <v>0.01608352144</v>
      </c>
      <c r="Q370" s="154"/>
      <c r="R370" s="255">
        <v>45603.0</v>
      </c>
      <c r="S370" s="174">
        <v>26.93</v>
      </c>
      <c r="T370" s="256">
        <f t="shared" si="5"/>
        <v>-0.0139143171</v>
      </c>
      <c r="U370" s="154"/>
      <c r="V370" s="255">
        <v>45603.0</v>
      </c>
      <c r="W370" s="174">
        <v>1287.35</v>
      </c>
      <c r="X370" s="256">
        <f t="shared" si="6"/>
        <v>-0.011327855</v>
      </c>
      <c r="Y370" s="154"/>
      <c r="Z370" s="255">
        <v>45603.0</v>
      </c>
      <c r="AA370" s="174">
        <v>1576.15</v>
      </c>
      <c r="AB370" s="256">
        <f t="shared" si="7"/>
        <v>-0.01122925881</v>
      </c>
      <c r="AC370" s="154"/>
      <c r="AD370" s="255">
        <v>45603.0</v>
      </c>
      <c r="AE370" s="174">
        <v>12.66</v>
      </c>
      <c r="AF370" s="256">
        <f t="shared" si="8"/>
        <v>-0.007058823529</v>
      </c>
      <c r="AG370" s="257"/>
      <c r="AH370" s="255">
        <v>45603.0</v>
      </c>
      <c r="AI370" s="174">
        <v>328.0</v>
      </c>
      <c r="AJ370" s="256">
        <f t="shared" si="9"/>
        <v>0.01595168035</v>
      </c>
      <c r="AK370" s="257"/>
      <c r="AL370" s="255">
        <v>45603.0</v>
      </c>
      <c r="AM370" s="174">
        <v>5973.1</v>
      </c>
      <c r="AN370" s="256">
        <f t="shared" si="10"/>
        <v>0.007431219894</v>
      </c>
      <c r="AO370" s="154"/>
      <c r="AP370" s="154"/>
    </row>
    <row r="371">
      <c r="A371" s="154"/>
      <c r="B371" s="255">
        <v>45602.0</v>
      </c>
      <c r="C371" s="174">
        <v>15.8</v>
      </c>
      <c r="D371" s="256">
        <f t="shared" si="1"/>
        <v>-0.04009720535</v>
      </c>
      <c r="E371" s="154"/>
      <c r="F371" s="255">
        <v>45602.0</v>
      </c>
      <c r="G371" s="174">
        <v>11.61</v>
      </c>
      <c r="H371" s="256">
        <f t="shared" si="2"/>
        <v>0</v>
      </c>
      <c r="I371" s="154"/>
      <c r="J371" s="255">
        <v>45602.0</v>
      </c>
      <c r="K371" s="174">
        <v>17.43</v>
      </c>
      <c r="L371" s="256">
        <f t="shared" si="3"/>
        <v>-0.07139051678</v>
      </c>
      <c r="M371" s="154"/>
      <c r="N371" s="255">
        <v>45602.0</v>
      </c>
      <c r="O371" s="174">
        <v>1772.0</v>
      </c>
      <c r="P371" s="256">
        <f t="shared" si="4"/>
        <v>-0.02637362637</v>
      </c>
      <c r="Q371" s="154"/>
      <c r="R371" s="255">
        <v>45602.0</v>
      </c>
      <c r="S371" s="174">
        <v>27.31</v>
      </c>
      <c r="T371" s="256">
        <f t="shared" si="5"/>
        <v>0.07731755424</v>
      </c>
      <c r="U371" s="154"/>
      <c r="V371" s="255">
        <v>45602.0</v>
      </c>
      <c r="W371" s="174">
        <v>1302.1</v>
      </c>
      <c r="X371" s="256">
        <f t="shared" si="6"/>
        <v>0.02350259393</v>
      </c>
      <c r="Y371" s="154"/>
      <c r="Z371" s="255">
        <v>45602.0</v>
      </c>
      <c r="AA371" s="174">
        <v>1594.05</v>
      </c>
      <c r="AB371" s="256">
        <f t="shared" si="7"/>
        <v>-0.004465400949</v>
      </c>
      <c r="AC371" s="154"/>
      <c r="AD371" s="255">
        <v>45602.0</v>
      </c>
      <c r="AE371" s="174">
        <v>12.75</v>
      </c>
      <c r="AF371" s="256">
        <f t="shared" si="8"/>
        <v>-0.01162790698</v>
      </c>
      <c r="AG371" s="257"/>
      <c r="AH371" s="255">
        <v>45602.0</v>
      </c>
      <c r="AI371" s="174">
        <v>322.85</v>
      </c>
      <c r="AJ371" s="256">
        <f t="shared" si="9"/>
        <v>0.02264808362</v>
      </c>
      <c r="AK371" s="257"/>
      <c r="AL371" s="255">
        <v>45602.0</v>
      </c>
      <c r="AM371" s="174">
        <v>5929.04</v>
      </c>
      <c r="AN371" s="256">
        <f t="shared" si="10"/>
        <v>0.02529587948</v>
      </c>
      <c r="AO371" s="154"/>
      <c r="AP371" s="154"/>
    </row>
    <row r="372">
      <c r="A372" s="154"/>
      <c r="B372" s="255">
        <v>45601.0</v>
      </c>
      <c r="C372" s="174">
        <v>16.46</v>
      </c>
      <c r="D372" s="256">
        <f t="shared" si="1"/>
        <v>-0.02718676123</v>
      </c>
      <c r="E372" s="154"/>
      <c r="F372" s="255">
        <v>45601.0</v>
      </c>
      <c r="G372" s="174">
        <v>11.61</v>
      </c>
      <c r="H372" s="256">
        <f t="shared" si="2"/>
        <v>0.01397379913</v>
      </c>
      <c r="I372" s="154"/>
      <c r="J372" s="255">
        <v>45601.0</v>
      </c>
      <c r="K372" s="174">
        <v>18.77</v>
      </c>
      <c r="L372" s="256">
        <f t="shared" si="3"/>
        <v>0.006974248927</v>
      </c>
      <c r="M372" s="154"/>
      <c r="N372" s="255">
        <v>45601.0</v>
      </c>
      <c r="O372" s="174">
        <v>1820.0</v>
      </c>
      <c r="P372" s="256">
        <f t="shared" si="4"/>
        <v>-0.01939655172</v>
      </c>
      <c r="Q372" s="154"/>
      <c r="R372" s="255">
        <v>45601.0</v>
      </c>
      <c r="S372" s="174">
        <v>25.35</v>
      </c>
      <c r="T372" s="256">
        <f t="shared" si="5"/>
        <v>-0.002361275089</v>
      </c>
      <c r="U372" s="154"/>
      <c r="V372" s="255">
        <v>45601.0</v>
      </c>
      <c r="W372" s="174">
        <v>1272.2</v>
      </c>
      <c r="X372" s="256">
        <f t="shared" si="6"/>
        <v>0.00307498226</v>
      </c>
      <c r="Y372" s="154"/>
      <c r="Z372" s="255">
        <v>45601.0</v>
      </c>
      <c r="AA372" s="174">
        <v>1601.2</v>
      </c>
      <c r="AB372" s="256">
        <f t="shared" si="7"/>
        <v>0.01047582986</v>
      </c>
      <c r="AC372" s="154"/>
      <c r="AD372" s="255">
        <v>45601.0</v>
      </c>
      <c r="AE372" s="174">
        <v>12.9</v>
      </c>
      <c r="AF372" s="256">
        <f t="shared" si="8"/>
        <v>-0.001547987616</v>
      </c>
      <c r="AG372" s="257"/>
      <c r="AH372" s="255">
        <v>45601.0</v>
      </c>
      <c r="AI372" s="174">
        <v>315.7</v>
      </c>
      <c r="AJ372" s="256">
        <f t="shared" si="9"/>
        <v>0.01543904793</v>
      </c>
      <c r="AK372" s="257"/>
      <c r="AL372" s="255">
        <v>45601.0</v>
      </c>
      <c r="AM372" s="174">
        <v>5782.76</v>
      </c>
      <c r="AN372" s="256">
        <f t="shared" si="10"/>
        <v>0.01226567519</v>
      </c>
      <c r="AO372" s="154"/>
      <c r="AP372" s="154"/>
    </row>
    <row r="373">
      <c r="A373" s="154"/>
      <c r="B373" s="255">
        <v>45600.0</v>
      </c>
      <c r="C373" s="174">
        <v>16.92</v>
      </c>
      <c r="D373" s="256">
        <f t="shared" si="1"/>
        <v>-0.06364139458</v>
      </c>
      <c r="E373" s="154"/>
      <c r="F373" s="255">
        <v>45600.0</v>
      </c>
      <c r="G373" s="174">
        <v>11.45</v>
      </c>
      <c r="H373" s="256">
        <f t="shared" si="2"/>
        <v>-0.01462994836</v>
      </c>
      <c r="I373" s="154"/>
      <c r="J373" s="255">
        <v>45600.0</v>
      </c>
      <c r="K373" s="174">
        <v>18.64</v>
      </c>
      <c r="L373" s="256">
        <f t="shared" si="3"/>
        <v>0.01029810298</v>
      </c>
      <c r="M373" s="154"/>
      <c r="N373" s="255">
        <v>45600.0</v>
      </c>
      <c r="O373" s="174">
        <v>1856.0</v>
      </c>
      <c r="P373" s="256">
        <f t="shared" si="4"/>
        <v>-0.009076348105</v>
      </c>
      <c r="Q373" s="154"/>
      <c r="R373" s="255">
        <v>45600.0</v>
      </c>
      <c r="S373" s="174">
        <v>25.41</v>
      </c>
      <c r="T373" s="256">
        <f t="shared" si="5"/>
        <v>-0.02606362591</v>
      </c>
      <c r="U373" s="154"/>
      <c r="V373" s="255">
        <v>45600.0</v>
      </c>
      <c r="W373" s="174">
        <v>1268.3</v>
      </c>
      <c r="X373" s="256">
        <f t="shared" si="6"/>
        <v>0.006906954589</v>
      </c>
      <c r="Y373" s="154"/>
      <c r="Z373" s="255">
        <v>45600.0</v>
      </c>
      <c r="AA373" s="174">
        <v>1584.6</v>
      </c>
      <c r="AB373" s="256">
        <f t="shared" si="7"/>
        <v>0.01606232567</v>
      </c>
      <c r="AC373" s="154"/>
      <c r="AD373" s="255">
        <v>45600.0</v>
      </c>
      <c r="AE373" s="174">
        <v>12.92</v>
      </c>
      <c r="AF373" s="256">
        <f t="shared" si="8"/>
        <v>-0.007680491551</v>
      </c>
      <c r="AG373" s="257"/>
      <c r="AH373" s="255">
        <v>45600.0</v>
      </c>
      <c r="AI373" s="174">
        <v>310.9</v>
      </c>
      <c r="AJ373" s="256">
        <f t="shared" si="9"/>
        <v>-0.02171176841</v>
      </c>
      <c r="AK373" s="257"/>
      <c r="AL373" s="255">
        <v>45600.0</v>
      </c>
      <c r="AM373" s="174">
        <v>5712.69</v>
      </c>
      <c r="AN373" s="256">
        <f t="shared" si="10"/>
        <v>-0.002812107248</v>
      </c>
      <c r="AO373" s="154"/>
      <c r="AP373" s="154"/>
    </row>
    <row r="374">
      <c r="A374" s="154"/>
      <c r="B374" s="255">
        <v>45597.0</v>
      </c>
      <c r="C374" s="174">
        <v>18.07</v>
      </c>
      <c r="D374" s="256">
        <f t="shared" si="1"/>
        <v>-0.03780617678</v>
      </c>
      <c r="E374" s="154"/>
      <c r="F374" s="255">
        <v>45597.0</v>
      </c>
      <c r="G374" s="174">
        <v>11.62</v>
      </c>
      <c r="H374" s="256">
        <f t="shared" si="2"/>
        <v>0.001724137931</v>
      </c>
      <c r="I374" s="154"/>
      <c r="J374" s="255">
        <v>45597.0</v>
      </c>
      <c r="K374" s="174">
        <v>18.45</v>
      </c>
      <c r="L374" s="256">
        <f t="shared" si="3"/>
        <v>0.0005422993492</v>
      </c>
      <c r="M374" s="154"/>
      <c r="N374" s="255">
        <v>45597.0</v>
      </c>
      <c r="O374" s="174">
        <v>1873.0</v>
      </c>
      <c r="P374" s="256">
        <f t="shared" si="4"/>
        <v>0.009703504043</v>
      </c>
      <c r="Q374" s="154"/>
      <c r="R374" s="255">
        <v>45597.0</v>
      </c>
      <c r="S374" s="174">
        <v>26.09</v>
      </c>
      <c r="T374" s="256">
        <f t="shared" si="5"/>
        <v>0.01794771752</v>
      </c>
      <c r="U374" s="154"/>
      <c r="V374" s="255">
        <v>45597.0</v>
      </c>
      <c r="W374" s="174">
        <v>1259.6</v>
      </c>
      <c r="X374" s="256">
        <f t="shared" si="6"/>
        <v>-0.01145816983</v>
      </c>
      <c r="Y374" s="154"/>
      <c r="Z374" s="255">
        <v>45597.0</v>
      </c>
      <c r="AA374" s="174">
        <v>1559.55</v>
      </c>
      <c r="AB374" s="256">
        <f t="shared" si="7"/>
        <v>0.00502658289</v>
      </c>
      <c r="AC374" s="154"/>
      <c r="AD374" s="255">
        <v>45597.0</v>
      </c>
      <c r="AE374" s="174">
        <v>13.02</v>
      </c>
      <c r="AF374" s="256">
        <f t="shared" si="8"/>
        <v>0.003081664099</v>
      </c>
      <c r="AG374" s="257"/>
      <c r="AH374" s="255">
        <v>45597.0</v>
      </c>
      <c r="AI374" s="174">
        <v>317.8</v>
      </c>
      <c r="AJ374" s="256">
        <f t="shared" si="9"/>
        <v>0.005378044922</v>
      </c>
      <c r="AK374" s="257"/>
      <c r="AL374" s="255">
        <v>45597.0</v>
      </c>
      <c r="AM374" s="174">
        <v>5728.8</v>
      </c>
      <c r="AN374" s="256">
        <f t="shared" si="10"/>
        <v>0.004092578149</v>
      </c>
      <c r="AO374" s="154"/>
      <c r="AP374" s="154"/>
    </row>
    <row r="375">
      <c r="A375" s="154"/>
      <c r="B375" s="263">
        <v>45596.0</v>
      </c>
      <c r="C375" s="174">
        <v>18.78</v>
      </c>
      <c r="D375" s="256">
        <f t="shared" si="1"/>
        <v>0.04740658115</v>
      </c>
      <c r="E375" s="154"/>
      <c r="F375" s="263">
        <v>45596.0</v>
      </c>
      <c r="G375" s="174">
        <v>11.6</v>
      </c>
      <c r="H375" s="256">
        <f t="shared" si="2"/>
        <v>-0.0243902439</v>
      </c>
      <c r="I375" s="154"/>
      <c r="J375" s="263">
        <v>45596.0</v>
      </c>
      <c r="K375" s="174">
        <v>18.44</v>
      </c>
      <c r="L375" s="256">
        <f t="shared" si="3"/>
        <v>-0.008068854223</v>
      </c>
      <c r="M375" s="154"/>
      <c r="N375" s="263">
        <v>45596.0</v>
      </c>
      <c r="O375" s="174">
        <v>1855.0</v>
      </c>
      <c r="P375" s="256">
        <f t="shared" si="4"/>
        <v>-0.0247108307</v>
      </c>
      <c r="Q375" s="154"/>
      <c r="R375" s="263">
        <v>45596.0</v>
      </c>
      <c r="S375" s="174">
        <v>25.63</v>
      </c>
      <c r="T375" s="256">
        <f t="shared" si="5"/>
        <v>0.007864726701</v>
      </c>
      <c r="U375" s="154"/>
      <c r="V375" s="263">
        <v>45596.0</v>
      </c>
      <c r="W375" s="174">
        <v>1274.2</v>
      </c>
      <c r="X375" s="256">
        <f t="shared" si="6"/>
        <v>0.01948233788</v>
      </c>
      <c r="Y375" s="154"/>
      <c r="Z375" s="263">
        <v>45596.0</v>
      </c>
      <c r="AA375" s="174">
        <v>1551.75</v>
      </c>
      <c r="AB375" s="256">
        <f t="shared" si="7"/>
        <v>0.0941300899</v>
      </c>
      <c r="AC375" s="154"/>
      <c r="AD375" s="263">
        <v>45596.0</v>
      </c>
      <c r="AE375" s="174">
        <v>12.98</v>
      </c>
      <c r="AF375" s="256">
        <f t="shared" si="8"/>
        <v>0.01644479248</v>
      </c>
      <c r="AG375" s="264"/>
      <c r="AH375" s="263">
        <v>45596.0</v>
      </c>
      <c r="AI375" s="174">
        <v>316.1</v>
      </c>
      <c r="AJ375" s="256">
        <f t="shared" si="9"/>
        <v>-0.01434362332</v>
      </c>
      <c r="AK375" s="264"/>
      <c r="AL375" s="263">
        <v>45596.0</v>
      </c>
      <c r="AM375" s="174">
        <v>5705.45</v>
      </c>
      <c r="AN375" s="256">
        <f t="shared" si="10"/>
        <v>-0.01861474766</v>
      </c>
      <c r="AO375" s="154"/>
      <c r="AP375" s="154"/>
    </row>
    <row r="376">
      <c r="A376" s="154"/>
      <c r="B376" s="263">
        <v>45595.0</v>
      </c>
      <c r="C376" s="174">
        <v>17.93</v>
      </c>
      <c r="D376" s="256">
        <f t="shared" si="1"/>
        <v>0.004481792717</v>
      </c>
      <c r="E376" s="154"/>
      <c r="F376" s="263">
        <v>45595.0</v>
      </c>
      <c r="G376" s="174">
        <v>11.89</v>
      </c>
      <c r="H376" s="256">
        <f t="shared" si="2"/>
        <v>0.01277683135</v>
      </c>
      <c r="I376" s="154"/>
      <c r="J376" s="263">
        <v>45595.0</v>
      </c>
      <c r="K376" s="174">
        <v>18.59</v>
      </c>
      <c r="L376" s="256">
        <f t="shared" si="3"/>
        <v>0.008681497558</v>
      </c>
      <c r="M376" s="154"/>
      <c r="N376" s="263">
        <v>45595.0</v>
      </c>
      <c r="O376" s="174">
        <v>1902.0</v>
      </c>
      <c r="P376" s="256">
        <f t="shared" si="4"/>
        <v>-0.009375</v>
      </c>
      <c r="Q376" s="154"/>
      <c r="R376" s="263">
        <v>45595.0</v>
      </c>
      <c r="S376" s="174">
        <v>25.43</v>
      </c>
      <c r="T376" s="256">
        <f t="shared" si="5"/>
        <v>-0.0360121304</v>
      </c>
      <c r="U376" s="154"/>
      <c r="V376" s="263">
        <v>45595.0</v>
      </c>
      <c r="W376" s="174">
        <v>1249.85</v>
      </c>
      <c r="X376" s="256">
        <f t="shared" si="6"/>
        <v>-0.01949478309</v>
      </c>
      <c r="Y376" s="154"/>
      <c r="Z376" s="263">
        <v>45595.0</v>
      </c>
      <c r="AA376" s="174">
        <v>1418.25</v>
      </c>
      <c r="AB376" s="256">
        <f t="shared" si="7"/>
        <v>-0.04013400562</v>
      </c>
      <c r="AC376" s="154"/>
      <c r="AD376" s="263">
        <v>45595.0</v>
      </c>
      <c r="AE376" s="174">
        <v>12.77</v>
      </c>
      <c r="AF376" s="256">
        <f t="shared" si="8"/>
        <v>-0.01466049383</v>
      </c>
      <c r="AG376" s="264"/>
      <c r="AH376" s="263">
        <v>45595.0</v>
      </c>
      <c r="AI376" s="174">
        <v>320.7</v>
      </c>
      <c r="AJ376" s="256">
        <f t="shared" si="9"/>
        <v>-0.01926605505</v>
      </c>
      <c r="AK376" s="264"/>
      <c r="AL376" s="263">
        <v>45595.0</v>
      </c>
      <c r="AM376" s="174">
        <v>5813.67</v>
      </c>
      <c r="AN376" s="256">
        <f t="shared" si="10"/>
        <v>-0.003300233845</v>
      </c>
      <c r="AO376" s="154"/>
      <c r="AP376" s="154"/>
    </row>
    <row r="377">
      <c r="A377" s="154"/>
      <c r="B377" s="263">
        <v>45594.0</v>
      </c>
      <c r="C377" s="174">
        <v>17.85</v>
      </c>
      <c r="D377" s="256">
        <f t="shared" si="1"/>
        <v>0.02233676976</v>
      </c>
      <c r="E377" s="154"/>
      <c r="F377" s="263">
        <v>45594.0</v>
      </c>
      <c r="G377" s="174">
        <v>11.74</v>
      </c>
      <c r="H377" s="256">
        <f t="shared" si="2"/>
        <v>-0.001700680272</v>
      </c>
      <c r="I377" s="154"/>
      <c r="J377" s="263">
        <v>45594.0</v>
      </c>
      <c r="K377" s="174">
        <v>18.43</v>
      </c>
      <c r="L377" s="256">
        <f t="shared" si="3"/>
        <v>0.003266194883</v>
      </c>
      <c r="M377" s="154"/>
      <c r="N377" s="263">
        <v>45594.0</v>
      </c>
      <c r="O377" s="174">
        <v>1920.0</v>
      </c>
      <c r="P377" s="256">
        <f t="shared" si="4"/>
        <v>-0.006725297465</v>
      </c>
      <c r="Q377" s="154"/>
      <c r="R377" s="263">
        <v>45594.0</v>
      </c>
      <c r="S377" s="174">
        <v>26.38</v>
      </c>
      <c r="T377" s="256">
        <f t="shared" si="5"/>
        <v>0.0236709352</v>
      </c>
      <c r="U377" s="154"/>
      <c r="V377" s="263">
        <v>45594.0</v>
      </c>
      <c r="W377" s="174">
        <v>1274.7</v>
      </c>
      <c r="X377" s="256">
        <f t="shared" si="6"/>
        <v>-0.02805947388</v>
      </c>
      <c r="Y377" s="154"/>
      <c r="Z377" s="263">
        <v>45594.0</v>
      </c>
      <c r="AA377" s="174">
        <v>1477.55</v>
      </c>
      <c r="AB377" s="256">
        <f t="shared" si="7"/>
        <v>-0.01703090177</v>
      </c>
      <c r="AC377" s="154"/>
      <c r="AD377" s="263">
        <v>45594.0</v>
      </c>
      <c r="AE377" s="174">
        <v>12.96</v>
      </c>
      <c r="AF377" s="256">
        <f t="shared" si="8"/>
        <v>-0.002309468822</v>
      </c>
      <c r="AG377" s="264"/>
      <c r="AH377" s="263">
        <v>45594.0</v>
      </c>
      <c r="AI377" s="174">
        <v>327.0</v>
      </c>
      <c r="AJ377" s="256">
        <f t="shared" si="9"/>
        <v>0.01003861004</v>
      </c>
      <c r="AK377" s="264"/>
      <c r="AL377" s="263">
        <v>45594.0</v>
      </c>
      <c r="AM377" s="174">
        <v>5832.92</v>
      </c>
      <c r="AN377" s="256">
        <f t="shared" si="10"/>
        <v>0.001614144023</v>
      </c>
      <c r="AO377" s="154"/>
      <c r="AP377" s="154"/>
    </row>
    <row r="378">
      <c r="A378" s="154"/>
      <c r="B378" s="263">
        <v>45593.0</v>
      </c>
      <c r="C378" s="174">
        <v>17.46</v>
      </c>
      <c r="D378" s="256">
        <f t="shared" si="1"/>
        <v>0.01748251748</v>
      </c>
      <c r="E378" s="154"/>
      <c r="F378" s="263">
        <v>45593.0</v>
      </c>
      <c r="G378" s="174">
        <v>11.76</v>
      </c>
      <c r="H378" s="256">
        <f t="shared" si="2"/>
        <v>0.02797202797</v>
      </c>
      <c r="I378" s="154"/>
      <c r="J378" s="263">
        <v>45593.0</v>
      </c>
      <c r="K378" s="174">
        <v>18.37</v>
      </c>
      <c r="L378" s="256">
        <f t="shared" si="3"/>
        <v>0.02625698324</v>
      </c>
      <c r="M378" s="154"/>
      <c r="N378" s="263">
        <v>45593.0</v>
      </c>
      <c r="O378" s="174">
        <v>1933.0</v>
      </c>
      <c r="P378" s="256">
        <f t="shared" si="4"/>
        <v>-0.004634397528</v>
      </c>
      <c r="Q378" s="154"/>
      <c r="R378" s="263">
        <v>45593.0</v>
      </c>
      <c r="S378" s="174">
        <v>25.77</v>
      </c>
      <c r="T378" s="256">
        <f t="shared" si="5"/>
        <v>0.02710243125</v>
      </c>
      <c r="U378" s="154"/>
      <c r="V378" s="263">
        <v>45593.0</v>
      </c>
      <c r="W378" s="174">
        <v>1311.5</v>
      </c>
      <c r="X378" s="256">
        <f t="shared" si="6"/>
        <v>0.006569757625</v>
      </c>
      <c r="Y378" s="154"/>
      <c r="Z378" s="263">
        <v>45593.0</v>
      </c>
      <c r="AA378" s="174">
        <v>1503.15</v>
      </c>
      <c r="AB378" s="256">
        <f t="shared" si="7"/>
        <v>0.009570824098</v>
      </c>
      <c r="AC378" s="154"/>
      <c r="AD378" s="263">
        <v>45593.0</v>
      </c>
      <c r="AE378" s="174">
        <v>12.99</v>
      </c>
      <c r="AF378" s="256">
        <f t="shared" si="8"/>
        <v>-0.006880733945</v>
      </c>
      <c r="AG378" s="264"/>
      <c r="AH378" s="263">
        <v>45593.0</v>
      </c>
      <c r="AI378" s="174">
        <v>323.75</v>
      </c>
      <c r="AJ378" s="256">
        <f t="shared" si="9"/>
        <v>0.03766025641</v>
      </c>
      <c r="AK378" s="264"/>
      <c r="AL378" s="263">
        <v>45593.0</v>
      </c>
      <c r="AM378" s="174">
        <v>5823.52</v>
      </c>
      <c r="AN378" s="256">
        <f t="shared" si="10"/>
        <v>0.002651460369</v>
      </c>
      <c r="AO378" s="154"/>
      <c r="AP378" s="154"/>
    </row>
    <row r="379">
      <c r="A379" s="154"/>
      <c r="B379" s="263">
        <v>45590.0</v>
      </c>
      <c r="C379" s="174">
        <v>17.16</v>
      </c>
      <c r="D379" s="256">
        <f t="shared" si="1"/>
        <v>-0.003484320557</v>
      </c>
      <c r="E379" s="154"/>
      <c r="F379" s="263">
        <v>45590.0</v>
      </c>
      <c r="G379" s="174">
        <v>11.44</v>
      </c>
      <c r="H379" s="256">
        <f t="shared" si="2"/>
        <v>-0.003484320557</v>
      </c>
      <c r="I379" s="154"/>
      <c r="J379" s="263">
        <v>45590.0</v>
      </c>
      <c r="K379" s="174">
        <v>17.9</v>
      </c>
      <c r="L379" s="256">
        <f t="shared" si="3"/>
        <v>-0.01917808219</v>
      </c>
      <c r="M379" s="154"/>
      <c r="N379" s="263">
        <v>45590.0</v>
      </c>
      <c r="O379" s="174">
        <v>1942.0</v>
      </c>
      <c r="P379" s="256">
        <f t="shared" si="4"/>
        <v>-0.003591585428</v>
      </c>
      <c r="Q379" s="154"/>
      <c r="R379" s="263">
        <v>45590.0</v>
      </c>
      <c r="S379" s="174">
        <v>25.09</v>
      </c>
      <c r="T379" s="256">
        <f t="shared" si="5"/>
        <v>0.0003987240829</v>
      </c>
      <c r="U379" s="154"/>
      <c r="V379" s="263">
        <v>45590.0</v>
      </c>
      <c r="W379" s="174">
        <v>1302.94</v>
      </c>
      <c r="X379" s="256">
        <f t="shared" si="6"/>
        <v>-0.01033010771</v>
      </c>
      <c r="Y379" s="154"/>
      <c r="Z379" s="263">
        <v>45590.0</v>
      </c>
      <c r="AA379" s="174">
        <v>1488.9</v>
      </c>
      <c r="AB379" s="256">
        <f t="shared" si="7"/>
        <v>-0.00227836226</v>
      </c>
      <c r="AC379" s="154"/>
      <c r="AD379" s="263">
        <v>45590.0</v>
      </c>
      <c r="AE379" s="174">
        <v>13.08</v>
      </c>
      <c r="AF379" s="256">
        <f t="shared" si="8"/>
        <v>0.002298850575</v>
      </c>
      <c r="AG379" s="264"/>
      <c r="AH379" s="263">
        <v>45590.0</v>
      </c>
      <c r="AI379" s="174">
        <v>312.0</v>
      </c>
      <c r="AJ379" s="256">
        <f t="shared" si="9"/>
        <v>-0.0330079033</v>
      </c>
      <c r="AK379" s="264"/>
      <c r="AL379" s="263">
        <v>45590.0</v>
      </c>
      <c r="AM379" s="174">
        <v>5808.12</v>
      </c>
      <c r="AN379" s="256">
        <f t="shared" si="10"/>
        <v>-0.0002994908655</v>
      </c>
      <c r="AO379" s="154"/>
      <c r="AP379" s="154"/>
    </row>
    <row r="380">
      <c r="A380" s="154"/>
      <c r="B380" s="263">
        <v>45589.0</v>
      </c>
      <c r="C380" s="174">
        <v>17.22</v>
      </c>
      <c r="D380" s="256">
        <f t="shared" si="1"/>
        <v>0.0005810575247</v>
      </c>
      <c r="E380" s="154"/>
      <c r="F380" s="263">
        <v>45589.0</v>
      </c>
      <c r="G380" s="174">
        <v>11.48</v>
      </c>
      <c r="H380" s="256">
        <f t="shared" si="2"/>
        <v>-0.006060606061</v>
      </c>
      <c r="I380" s="154"/>
      <c r="J380" s="263">
        <v>45589.0</v>
      </c>
      <c r="K380" s="174">
        <v>18.25</v>
      </c>
      <c r="L380" s="256">
        <f t="shared" si="3"/>
        <v>-0.008690928843</v>
      </c>
      <c r="M380" s="154"/>
      <c r="N380" s="263">
        <v>45589.0</v>
      </c>
      <c r="O380" s="174">
        <v>1949.0</v>
      </c>
      <c r="P380" s="256">
        <f t="shared" si="4"/>
        <v>-0.01216421693</v>
      </c>
      <c r="Q380" s="154"/>
      <c r="R380" s="263">
        <v>45589.0</v>
      </c>
      <c r="S380" s="174">
        <v>25.08</v>
      </c>
      <c r="T380" s="256">
        <f t="shared" si="5"/>
        <v>-0.01220953131</v>
      </c>
      <c r="U380" s="154"/>
      <c r="V380" s="263">
        <v>45589.0</v>
      </c>
      <c r="W380" s="174">
        <v>1316.54</v>
      </c>
      <c r="X380" s="256">
        <f t="shared" si="6"/>
        <v>-0.003813617034</v>
      </c>
      <c r="Y380" s="154"/>
      <c r="Z380" s="263">
        <v>45589.0</v>
      </c>
      <c r="AA380" s="174">
        <v>1492.3</v>
      </c>
      <c r="AB380" s="256">
        <f t="shared" si="7"/>
        <v>0.004509962305</v>
      </c>
      <c r="AC380" s="154"/>
      <c r="AD380" s="263">
        <v>45589.0</v>
      </c>
      <c r="AE380" s="174">
        <v>13.05</v>
      </c>
      <c r="AF380" s="256">
        <f t="shared" si="8"/>
        <v>0.01162790698</v>
      </c>
      <c r="AG380" s="264"/>
      <c r="AH380" s="263">
        <v>45589.0</v>
      </c>
      <c r="AI380" s="174">
        <v>322.65</v>
      </c>
      <c r="AJ380" s="256">
        <f t="shared" si="9"/>
        <v>-0.007841328413</v>
      </c>
      <c r="AK380" s="264"/>
      <c r="AL380" s="263">
        <v>45589.0</v>
      </c>
      <c r="AM380" s="174">
        <v>5809.86</v>
      </c>
      <c r="AN380" s="256">
        <f t="shared" si="10"/>
        <v>0.002145782089</v>
      </c>
      <c r="AO380" s="154"/>
      <c r="AP380" s="154"/>
    </row>
    <row r="381">
      <c r="A381" s="154"/>
      <c r="B381" s="263">
        <v>45588.0</v>
      </c>
      <c r="C381" s="174">
        <v>17.21</v>
      </c>
      <c r="D381" s="256">
        <f t="shared" si="1"/>
        <v>-0.008069164265</v>
      </c>
      <c r="E381" s="154"/>
      <c r="F381" s="263">
        <v>45588.0</v>
      </c>
      <c r="G381" s="174">
        <v>11.55</v>
      </c>
      <c r="H381" s="256">
        <f t="shared" si="2"/>
        <v>-0.01028277635</v>
      </c>
      <c r="I381" s="154"/>
      <c r="J381" s="263">
        <v>45588.0</v>
      </c>
      <c r="K381" s="174">
        <v>18.41</v>
      </c>
      <c r="L381" s="256">
        <f t="shared" si="3"/>
        <v>0.001632208923</v>
      </c>
      <c r="M381" s="154"/>
      <c r="N381" s="263">
        <v>45588.0</v>
      </c>
      <c r="O381" s="174">
        <v>1973.0</v>
      </c>
      <c r="P381" s="256">
        <f t="shared" si="4"/>
        <v>-0.01448551449</v>
      </c>
      <c r="Q381" s="154"/>
      <c r="R381" s="263">
        <v>45588.0</v>
      </c>
      <c r="S381" s="174">
        <v>25.39</v>
      </c>
      <c r="T381" s="256">
        <f t="shared" si="5"/>
        <v>-0.01665375678</v>
      </c>
      <c r="U381" s="154"/>
      <c r="V381" s="263">
        <v>45588.0</v>
      </c>
      <c r="W381" s="174">
        <v>1321.58</v>
      </c>
      <c r="X381" s="256">
        <f t="shared" si="6"/>
        <v>-0.008180235351</v>
      </c>
      <c r="Y381" s="154"/>
      <c r="Z381" s="263">
        <v>45588.0</v>
      </c>
      <c r="AA381" s="174">
        <v>1485.6</v>
      </c>
      <c r="AB381" s="256">
        <f t="shared" si="7"/>
        <v>-0.01638693018</v>
      </c>
      <c r="AC381" s="154"/>
      <c r="AD381" s="263">
        <v>45588.0</v>
      </c>
      <c r="AE381" s="174">
        <v>12.9</v>
      </c>
      <c r="AF381" s="256">
        <f t="shared" si="8"/>
        <v>0.04032258065</v>
      </c>
      <c r="AG381" s="264"/>
      <c r="AH381" s="263">
        <v>45588.0</v>
      </c>
      <c r="AI381" s="174">
        <v>325.2</v>
      </c>
      <c r="AJ381" s="256">
        <f t="shared" si="9"/>
        <v>-0.001841620626</v>
      </c>
      <c r="AK381" s="264"/>
      <c r="AL381" s="263">
        <v>45588.0</v>
      </c>
      <c r="AM381" s="174">
        <v>5797.42</v>
      </c>
      <c r="AN381" s="256">
        <f t="shared" si="10"/>
        <v>-0.009191277003</v>
      </c>
      <c r="AO381" s="154"/>
      <c r="AP381" s="154"/>
    </row>
    <row r="382">
      <c r="A382" s="154"/>
      <c r="B382" s="263">
        <v>45587.0</v>
      </c>
      <c r="C382" s="174">
        <v>17.35</v>
      </c>
      <c r="D382" s="256">
        <f t="shared" si="1"/>
        <v>-0.005730659026</v>
      </c>
      <c r="E382" s="154"/>
      <c r="F382" s="263">
        <v>45587.0</v>
      </c>
      <c r="G382" s="174">
        <v>11.67</v>
      </c>
      <c r="H382" s="256">
        <f t="shared" si="2"/>
        <v>0.008643042351</v>
      </c>
      <c r="I382" s="154"/>
      <c r="J382" s="263">
        <v>45587.0</v>
      </c>
      <c r="K382" s="174">
        <v>18.38</v>
      </c>
      <c r="L382" s="256">
        <f t="shared" si="3"/>
        <v>0.01100110011</v>
      </c>
      <c r="M382" s="154"/>
      <c r="N382" s="263">
        <v>45587.0</v>
      </c>
      <c r="O382" s="174">
        <v>2002.0</v>
      </c>
      <c r="P382" s="256">
        <f t="shared" si="4"/>
        <v>0.002503755633</v>
      </c>
      <c r="Q382" s="154"/>
      <c r="R382" s="263">
        <v>45587.0</v>
      </c>
      <c r="S382" s="174">
        <v>25.82</v>
      </c>
      <c r="T382" s="256">
        <f t="shared" si="5"/>
        <v>-0.001160541586</v>
      </c>
      <c r="U382" s="154"/>
      <c r="V382" s="263">
        <v>45587.0</v>
      </c>
      <c r="W382" s="174">
        <v>1332.48</v>
      </c>
      <c r="X382" s="256">
        <f t="shared" si="6"/>
        <v>-0.005225908562</v>
      </c>
      <c r="Y382" s="154"/>
      <c r="Z382" s="263">
        <v>45587.0</v>
      </c>
      <c r="AA382" s="174">
        <v>1510.35</v>
      </c>
      <c r="AB382" s="256">
        <f t="shared" si="7"/>
        <v>-0.008794093519</v>
      </c>
      <c r="AC382" s="154"/>
      <c r="AD382" s="263">
        <v>45587.0</v>
      </c>
      <c r="AE382" s="174">
        <v>12.4</v>
      </c>
      <c r="AF382" s="256">
        <f t="shared" si="8"/>
        <v>0.01224489796</v>
      </c>
      <c r="AG382" s="264"/>
      <c r="AH382" s="263">
        <v>45587.0</v>
      </c>
      <c r="AI382" s="174">
        <v>325.8</v>
      </c>
      <c r="AJ382" s="256">
        <f t="shared" si="9"/>
        <v>-0.0343805572</v>
      </c>
      <c r="AK382" s="264"/>
      <c r="AL382" s="263">
        <v>45587.0</v>
      </c>
      <c r="AM382" s="174">
        <v>5851.2</v>
      </c>
      <c r="AN382" s="256">
        <f t="shared" si="10"/>
        <v>-0.0004748905873</v>
      </c>
      <c r="AO382" s="154"/>
      <c r="AP382" s="154"/>
    </row>
    <row r="383">
      <c r="A383" s="154"/>
      <c r="B383" s="263">
        <v>45586.0</v>
      </c>
      <c r="C383" s="174">
        <v>17.45</v>
      </c>
      <c r="D383" s="256">
        <f t="shared" si="1"/>
        <v>-0.009085746735</v>
      </c>
      <c r="E383" s="154"/>
      <c r="F383" s="263">
        <v>45586.0</v>
      </c>
      <c r="G383" s="174">
        <v>11.57</v>
      </c>
      <c r="H383" s="256">
        <f t="shared" si="2"/>
        <v>-0.01615646259</v>
      </c>
      <c r="I383" s="154"/>
      <c r="J383" s="263">
        <v>45586.0</v>
      </c>
      <c r="K383" s="174">
        <v>18.18</v>
      </c>
      <c r="L383" s="256">
        <f t="shared" si="3"/>
        <v>0.01281337047</v>
      </c>
      <c r="M383" s="154"/>
      <c r="N383" s="263">
        <v>45586.0</v>
      </c>
      <c r="O383" s="174">
        <v>1997.0</v>
      </c>
      <c r="P383" s="256">
        <f t="shared" si="4"/>
        <v>-0.0005005005005</v>
      </c>
      <c r="Q383" s="154"/>
      <c r="R383" s="263">
        <v>45586.0</v>
      </c>
      <c r="S383" s="174">
        <v>25.85</v>
      </c>
      <c r="T383" s="256">
        <f t="shared" si="5"/>
        <v>0.02173913043</v>
      </c>
      <c r="U383" s="154"/>
      <c r="V383" s="263">
        <v>45586.0</v>
      </c>
      <c r="W383" s="174">
        <v>1339.48</v>
      </c>
      <c r="X383" s="256">
        <f t="shared" si="6"/>
        <v>-0.006482621531</v>
      </c>
      <c r="Y383" s="154"/>
      <c r="Z383" s="263">
        <v>45586.0</v>
      </c>
      <c r="AA383" s="174">
        <v>1523.75</v>
      </c>
      <c r="AB383" s="256">
        <f t="shared" si="7"/>
        <v>-0.01801250242</v>
      </c>
      <c r="AC383" s="154"/>
      <c r="AD383" s="263">
        <v>45586.0</v>
      </c>
      <c r="AE383" s="174">
        <v>12.25</v>
      </c>
      <c r="AF383" s="256">
        <f t="shared" si="8"/>
        <v>-0.007293354943</v>
      </c>
      <c r="AG383" s="264"/>
      <c r="AH383" s="263">
        <v>45586.0</v>
      </c>
      <c r="AI383" s="174">
        <v>337.4</v>
      </c>
      <c r="AJ383" s="256">
        <f t="shared" si="9"/>
        <v>-0.007501103103</v>
      </c>
      <c r="AK383" s="264"/>
      <c r="AL383" s="263">
        <v>45586.0</v>
      </c>
      <c r="AM383" s="174">
        <v>5853.98</v>
      </c>
      <c r="AN383" s="256">
        <f t="shared" si="10"/>
        <v>-0.001822779457</v>
      </c>
      <c r="AO383" s="154"/>
      <c r="AP383" s="154"/>
    </row>
    <row r="384">
      <c r="A384" s="154"/>
      <c r="B384" s="263">
        <v>45583.0</v>
      </c>
      <c r="C384" s="174">
        <v>17.61</v>
      </c>
      <c r="D384" s="256">
        <f t="shared" si="1"/>
        <v>-0.001700680272</v>
      </c>
      <c r="E384" s="154"/>
      <c r="F384" s="263">
        <v>45583.0</v>
      </c>
      <c r="G384" s="174">
        <v>11.76</v>
      </c>
      <c r="H384" s="256">
        <f t="shared" si="2"/>
        <v>0.004269854825</v>
      </c>
      <c r="I384" s="154"/>
      <c r="J384" s="263">
        <v>45583.0</v>
      </c>
      <c r="K384" s="174">
        <v>17.95</v>
      </c>
      <c r="L384" s="256">
        <f t="shared" si="3"/>
        <v>-0.0005567928731</v>
      </c>
      <c r="M384" s="154"/>
      <c r="N384" s="263">
        <v>45583.0</v>
      </c>
      <c r="O384" s="174">
        <v>1998.0</v>
      </c>
      <c r="P384" s="256">
        <f t="shared" si="4"/>
        <v>-0.009910802775</v>
      </c>
      <c r="Q384" s="154"/>
      <c r="R384" s="263">
        <v>45583.0</v>
      </c>
      <c r="S384" s="174">
        <v>25.3</v>
      </c>
      <c r="T384" s="256">
        <f t="shared" si="5"/>
        <v>0.0128102482</v>
      </c>
      <c r="U384" s="154"/>
      <c r="V384" s="263">
        <v>45583.0</v>
      </c>
      <c r="W384" s="174">
        <v>1348.22</v>
      </c>
      <c r="X384" s="256">
        <f t="shared" si="6"/>
        <v>0.005526510095</v>
      </c>
      <c r="Y384" s="154"/>
      <c r="Z384" s="263">
        <v>45583.0</v>
      </c>
      <c r="AA384" s="174">
        <v>1551.7</v>
      </c>
      <c r="AB384" s="256">
        <f t="shared" si="7"/>
        <v>-0.004490921922</v>
      </c>
      <c r="AC384" s="154"/>
      <c r="AD384" s="263">
        <v>45583.0</v>
      </c>
      <c r="AE384" s="174">
        <v>12.34</v>
      </c>
      <c r="AF384" s="256">
        <f t="shared" si="8"/>
        <v>-0.004838709677</v>
      </c>
      <c r="AG384" s="264"/>
      <c r="AH384" s="263">
        <v>45583.0</v>
      </c>
      <c r="AI384" s="174">
        <v>339.95</v>
      </c>
      <c r="AJ384" s="256">
        <f t="shared" si="9"/>
        <v>0.002654475741</v>
      </c>
      <c r="AK384" s="264"/>
      <c r="AL384" s="263">
        <v>45583.0</v>
      </c>
      <c r="AM384" s="174">
        <v>5864.67</v>
      </c>
      <c r="AN384" s="256">
        <f t="shared" si="10"/>
        <v>0.003971603038</v>
      </c>
      <c r="AO384" s="154"/>
      <c r="AP384" s="154"/>
    </row>
    <row r="385">
      <c r="A385" s="154"/>
      <c r="B385" s="263">
        <v>45582.0</v>
      </c>
      <c r="C385" s="174">
        <v>17.64</v>
      </c>
      <c r="D385" s="256">
        <f t="shared" si="1"/>
        <v>-0.01672240803</v>
      </c>
      <c r="E385" s="154"/>
      <c r="F385" s="263">
        <v>45582.0</v>
      </c>
      <c r="G385" s="174">
        <v>11.71</v>
      </c>
      <c r="H385" s="256">
        <f t="shared" si="2"/>
        <v>-0.009306260575</v>
      </c>
      <c r="I385" s="154"/>
      <c r="J385" s="263">
        <v>45582.0</v>
      </c>
      <c r="K385" s="174">
        <v>17.96</v>
      </c>
      <c r="L385" s="256">
        <f t="shared" si="3"/>
        <v>-0.00332963374</v>
      </c>
      <c r="M385" s="154"/>
      <c r="N385" s="263">
        <v>45582.0</v>
      </c>
      <c r="O385" s="174">
        <v>2018.0</v>
      </c>
      <c r="P385" s="256">
        <f t="shared" si="4"/>
        <v>0.007992007992</v>
      </c>
      <c r="Q385" s="154"/>
      <c r="R385" s="263">
        <v>45582.0</v>
      </c>
      <c r="S385" s="174">
        <v>24.98</v>
      </c>
      <c r="T385" s="256">
        <f t="shared" si="5"/>
        <v>0.0241902419</v>
      </c>
      <c r="U385" s="154"/>
      <c r="V385" s="263">
        <v>45582.0</v>
      </c>
      <c r="W385" s="174">
        <v>1340.81</v>
      </c>
      <c r="X385" s="256">
        <f t="shared" si="6"/>
        <v>-0.001020727473</v>
      </c>
      <c r="Y385" s="154"/>
      <c r="Z385" s="263">
        <v>45582.0</v>
      </c>
      <c r="AA385" s="174">
        <v>1558.7</v>
      </c>
      <c r="AB385" s="256">
        <f t="shared" si="7"/>
        <v>-0.002240430163</v>
      </c>
      <c r="AC385" s="154"/>
      <c r="AD385" s="263">
        <v>45582.0</v>
      </c>
      <c r="AE385" s="174">
        <v>12.4</v>
      </c>
      <c r="AF385" s="256">
        <f t="shared" si="8"/>
        <v>0</v>
      </c>
      <c r="AG385" s="264"/>
      <c r="AH385" s="263">
        <v>45582.0</v>
      </c>
      <c r="AI385" s="174">
        <v>339.05</v>
      </c>
      <c r="AJ385" s="256">
        <f t="shared" si="9"/>
        <v>-0.02192413097</v>
      </c>
      <c r="AK385" s="264"/>
      <c r="AL385" s="263">
        <v>45582.0</v>
      </c>
      <c r="AM385" s="174">
        <v>5841.47</v>
      </c>
      <c r="AN385" s="256">
        <f t="shared" si="10"/>
        <v>-0.0001711604852</v>
      </c>
      <c r="AO385" s="154"/>
      <c r="AP385" s="154"/>
    </row>
    <row r="386">
      <c r="A386" s="154"/>
      <c r="B386" s="263">
        <v>45581.0</v>
      </c>
      <c r="C386" s="174">
        <v>17.94</v>
      </c>
      <c r="D386" s="256">
        <f t="shared" si="1"/>
        <v>-0.005543237251</v>
      </c>
      <c r="E386" s="154"/>
      <c r="F386" s="263">
        <v>45581.0</v>
      </c>
      <c r="G386" s="174">
        <v>11.82</v>
      </c>
      <c r="H386" s="256">
        <f t="shared" si="2"/>
        <v>-0.001689189189</v>
      </c>
      <c r="I386" s="154"/>
      <c r="J386" s="263">
        <v>45581.0</v>
      </c>
      <c r="K386" s="174">
        <v>18.02</v>
      </c>
      <c r="L386" s="256">
        <f t="shared" si="3"/>
        <v>-0.007162534435</v>
      </c>
      <c r="M386" s="154"/>
      <c r="N386" s="263">
        <v>45581.0</v>
      </c>
      <c r="O386" s="174">
        <v>2002.0</v>
      </c>
      <c r="P386" s="256">
        <f t="shared" si="4"/>
        <v>0.02090770015</v>
      </c>
      <c r="Q386" s="154"/>
      <c r="R386" s="263">
        <v>45581.0</v>
      </c>
      <c r="S386" s="174">
        <v>24.39</v>
      </c>
      <c r="T386" s="256">
        <f t="shared" si="5"/>
        <v>0.003703703704</v>
      </c>
      <c r="U386" s="154"/>
      <c r="V386" s="263">
        <v>45581.0</v>
      </c>
      <c r="W386" s="174">
        <v>1342.18</v>
      </c>
      <c r="X386" s="256">
        <f t="shared" si="6"/>
        <v>0.01501138143</v>
      </c>
      <c r="Y386" s="154"/>
      <c r="Z386" s="263">
        <v>45581.0</v>
      </c>
      <c r="AA386" s="174">
        <v>1562.2</v>
      </c>
      <c r="AB386" s="256">
        <f t="shared" si="7"/>
        <v>-0.006076029903</v>
      </c>
      <c r="AC386" s="154"/>
      <c r="AD386" s="263">
        <v>45581.0</v>
      </c>
      <c r="AE386" s="174">
        <v>12.4</v>
      </c>
      <c r="AF386" s="256">
        <f t="shared" si="8"/>
        <v>-0.008</v>
      </c>
      <c r="AG386" s="264"/>
      <c r="AH386" s="263">
        <v>45581.0</v>
      </c>
      <c r="AI386" s="174">
        <v>346.65</v>
      </c>
      <c r="AJ386" s="256">
        <f t="shared" si="9"/>
        <v>-0.01575809199</v>
      </c>
      <c r="AK386" s="264"/>
      <c r="AL386" s="263">
        <v>45581.0</v>
      </c>
      <c r="AM386" s="174">
        <v>5842.47</v>
      </c>
      <c r="AN386" s="256">
        <f t="shared" si="10"/>
        <v>0.00467906852</v>
      </c>
      <c r="AO386" s="154"/>
      <c r="AP386" s="154"/>
    </row>
    <row r="387">
      <c r="A387" s="154"/>
      <c r="B387" s="263">
        <v>45580.0</v>
      </c>
      <c r="C387" s="174">
        <v>18.04</v>
      </c>
      <c r="D387" s="256">
        <f t="shared" si="1"/>
        <v>-0.003314917127</v>
      </c>
      <c r="E387" s="154"/>
      <c r="F387" s="263">
        <v>45580.0</v>
      </c>
      <c r="G387" s="174">
        <v>11.84</v>
      </c>
      <c r="H387" s="256">
        <f t="shared" si="2"/>
        <v>0.03950834065</v>
      </c>
      <c r="I387" s="154"/>
      <c r="J387" s="263">
        <v>45580.0</v>
      </c>
      <c r="K387" s="174">
        <v>18.15</v>
      </c>
      <c r="L387" s="256">
        <f t="shared" si="3"/>
        <v>0.05278422274</v>
      </c>
      <c r="M387" s="154"/>
      <c r="N387" s="263">
        <v>45580.0</v>
      </c>
      <c r="O387" s="174">
        <v>1961.0</v>
      </c>
      <c r="P387" s="256">
        <f t="shared" si="4"/>
        <v>0.01923076923</v>
      </c>
      <c r="Q387" s="154"/>
      <c r="R387" s="263">
        <v>45580.0</v>
      </c>
      <c r="S387" s="174">
        <v>24.3</v>
      </c>
      <c r="T387" s="256">
        <f t="shared" si="5"/>
        <v>0.004962779156</v>
      </c>
      <c r="U387" s="154"/>
      <c r="V387" s="263">
        <v>45580.0</v>
      </c>
      <c r="W387" s="174">
        <v>1322.33</v>
      </c>
      <c r="X387" s="256">
        <f t="shared" si="6"/>
        <v>-0.007244853526</v>
      </c>
      <c r="Y387" s="154"/>
      <c r="Z387" s="263">
        <v>45580.0</v>
      </c>
      <c r="AA387" s="174">
        <v>1571.75</v>
      </c>
      <c r="AB387" s="256">
        <f t="shared" si="7"/>
        <v>-0.01670368169</v>
      </c>
      <c r="AC387" s="154"/>
      <c r="AD387" s="263">
        <v>45580.0</v>
      </c>
      <c r="AE387" s="174">
        <v>12.5</v>
      </c>
      <c r="AF387" s="256">
        <f t="shared" si="8"/>
        <v>0</v>
      </c>
      <c r="AG387" s="264"/>
      <c r="AH387" s="263">
        <v>45580.0</v>
      </c>
      <c r="AI387" s="174">
        <v>352.2</v>
      </c>
      <c r="AJ387" s="256">
        <f t="shared" si="9"/>
        <v>0.01645021645</v>
      </c>
      <c r="AK387" s="264"/>
      <c r="AL387" s="263">
        <v>45580.0</v>
      </c>
      <c r="AM387" s="174">
        <v>5815.26</v>
      </c>
      <c r="AN387" s="256">
        <f t="shared" si="10"/>
        <v>-0.007609409797</v>
      </c>
      <c r="AO387" s="154"/>
      <c r="AP387" s="154"/>
    </row>
    <row r="388">
      <c r="A388" s="154"/>
      <c r="B388" s="263">
        <v>45579.0</v>
      </c>
      <c r="C388" s="174">
        <v>18.1</v>
      </c>
      <c r="D388" s="256">
        <f t="shared" si="1"/>
        <v>0.005555555556</v>
      </c>
      <c r="E388" s="154"/>
      <c r="F388" s="263">
        <v>45579.0</v>
      </c>
      <c r="G388" s="174">
        <v>11.39</v>
      </c>
      <c r="H388" s="256">
        <f t="shared" si="2"/>
        <v>0.0008787346221</v>
      </c>
      <c r="I388" s="154"/>
      <c r="J388" s="263">
        <v>45579.0</v>
      </c>
      <c r="K388" s="174">
        <v>17.24</v>
      </c>
      <c r="L388" s="256">
        <f t="shared" si="3"/>
        <v>-0.0005797101449</v>
      </c>
      <c r="M388" s="154"/>
      <c r="N388" s="263">
        <v>45579.0</v>
      </c>
      <c r="O388" s="174">
        <v>1924.0</v>
      </c>
      <c r="P388" s="256">
        <f t="shared" si="4"/>
        <v>0.01316482359</v>
      </c>
      <c r="Q388" s="154"/>
      <c r="R388" s="263">
        <v>45579.0</v>
      </c>
      <c r="S388" s="174">
        <v>24.18</v>
      </c>
      <c r="T388" s="256">
        <f t="shared" si="5"/>
        <v>-0.007796471071</v>
      </c>
      <c r="U388" s="154"/>
      <c r="V388" s="263">
        <v>45579.0</v>
      </c>
      <c r="W388" s="174">
        <v>1331.98</v>
      </c>
      <c r="X388" s="256">
        <f t="shared" si="6"/>
        <v>0.009198084616</v>
      </c>
      <c r="Y388" s="154"/>
      <c r="Z388" s="263">
        <v>45579.0</v>
      </c>
      <c r="AA388" s="174">
        <v>1598.45</v>
      </c>
      <c r="AB388" s="256">
        <f t="shared" si="7"/>
        <v>0.00169199436</v>
      </c>
      <c r="AC388" s="154"/>
      <c r="AD388" s="263">
        <v>45579.0</v>
      </c>
      <c r="AE388" s="174">
        <v>12.5</v>
      </c>
      <c r="AF388" s="256">
        <f t="shared" si="8"/>
        <v>0.004016064257</v>
      </c>
      <c r="AG388" s="264"/>
      <c r="AH388" s="263">
        <v>45579.0</v>
      </c>
      <c r="AI388" s="174">
        <v>346.5</v>
      </c>
      <c r="AJ388" s="256">
        <f t="shared" si="9"/>
        <v>0.001011122346</v>
      </c>
      <c r="AK388" s="264"/>
      <c r="AL388" s="263">
        <v>45579.0</v>
      </c>
      <c r="AM388" s="174">
        <v>5859.85</v>
      </c>
      <c r="AN388" s="256">
        <f t="shared" si="10"/>
        <v>0.007707612858</v>
      </c>
      <c r="AO388" s="154"/>
      <c r="AP388" s="154"/>
    </row>
    <row r="389">
      <c r="A389" s="154"/>
      <c r="B389" s="263">
        <v>45576.0</v>
      </c>
      <c r="C389" s="174">
        <v>18.0</v>
      </c>
      <c r="D389" s="256">
        <f t="shared" si="1"/>
        <v>0.001112347052</v>
      </c>
      <c r="E389" s="154"/>
      <c r="F389" s="263">
        <v>45576.0</v>
      </c>
      <c r="G389" s="174">
        <v>11.38</v>
      </c>
      <c r="H389" s="256">
        <f t="shared" si="2"/>
        <v>0.004413062665</v>
      </c>
      <c r="I389" s="154"/>
      <c r="J389" s="263">
        <v>45576.0</v>
      </c>
      <c r="K389" s="174">
        <v>17.25</v>
      </c>
      <c r="L389" s="256">
        <f t="shared" si="3"/>
        <v>-0.00919012062</v>
      </c>
      <c r="M389" s="154"/>
      <c r="N389" s="263">
        <v>45576.0</v>
      </c>
      <c r="O389" s="174">
        <v>1899.0</v>
      </c>
      <c r="P389" s="256">
        <f t="shared" si="4"/>
        <v>0.002110817942</v>
      </c>
      <c r="Q389" s="154"/>
      <c r="R389" s="263">
        <v>45576.0</v>
      </c>
      <c r="S389" s="174">
        <v>24.37</v>
      </c>
      <c r="T389" s="256">
        <f t="shared" si="5"/>
        <v>0.004948453608</v>
      </c>
      <c r="U389" s="154"/>
      <c r="V389" s="263">
        <v>45576.0</v>
      </c>
      <c r="W389" s="174">
        <v>1319.84</v>
      </c>
      <c r="X389" s="256">
        <f t="shared" si="6"/>
        <v>0.002445656302</v>
      </c>
      <c r="Y389" s="154"/>
      <c r="Z389" s="263">
        <v>45576.0</v>
      </c>
      <c r="AA389" s="174">
        <v>1595.75</v>
      </c>
      <c r="AB389" s="256">
        <f t="shared" si="7"/>
        <v>-0.01429983322</v>
      </c>
      <c r="AC389" s="154"/>
      <c r="AD389" s="263">
        <v>45576.0</v>
      </c>
      <c r="AE389" s="174">
        <v>12.45</v>
      </c>
      <c r="AF389" s="256">
        <f t="shared" si="8"/>
        <v>-0.03112840467</v>
      </c>
      <c r="AG389" s="264"/>
      <c r="AH389" s="263">
        <v>45576.0</v>
      </c>
      <c r="AI389" s="174">
        <v>346.15</v>
      </c>
      <c r="AJ389" s="256">
        <f t="shared" si="9"/>
        <v>0.001012145749</v>
      </c>
      <c r="AK389" s="264"/>
      <c r="AL389" s="263">
        <v>45576.0</v>
      </c>
      <c r="AM389" s="174">
        <v>5815.03</v>
      </c>
      <c r="AN389" s="256">
        <f t="shared" si="10"/>
        <v>0.006051850763</v>
      </c>
      <c r="AO389" s="154"/>
      <c r="AP389" s="154"/>
    </row>
    <row r="390">
      <c r="A390" s="154"/>
      <c r="B390" s="263">
        <v>45575.0</v>
      </c>
      <c r="C390" s="174">
        <v>17.98</v>
      </c>
      <c r="D390" s="256">
        <f t="shared" si="1"/>
        <v>-0.002773155851</v>
      </c>
      <c r="E390" s="154"/>
      <c r="F390" s="263">
        <v>45575.0</v>
      </c>
      <c r="G390" s="174">
        <v>11.33</v>
      </c>
      <c r="H390" s="256">
        <f t="shared" si="2"/>
        <v>-0.007011393514</v>
      </c>
      <c r="I390" s="154"/>
      <c r="J390" s="263">
        <v>45575.0</v>
      </c>
      <c r="K390" s="174">
        <v>17.41</v>
      </c>
      <c r="L390" s="256">
        <f t="shared" si="3"/>
        <v>-0.01804850536</v>
      </c>
      <c r="M390" s="154"/>
      <c r="N390" s="263">
        <v>45575.0</v>
      </c>
      <c r="O390" s="174">
        <v>1895.0</v>
      </c>
      <c r="P390" s="256">
        <f t="shared" si="4"/>
        <v>-0.005771248688</v>
      </c>
      <c r="Q390" s="154"/>
      <c r="R390" s="263">
        <v>45575.0</v>
      </c>
      <c r="S390" s="174">
        <v>24.25</v>
      </c>
      <c r="T390" s="256">
        <f t="shared" si="5"/>
        <v>-0.004106776181</v>
      </c>
      <c r="U390" s="154"/>
      <c r="V390" s="263">
        <v>45575.0</v>
      </c>
      <c r="W390" s="174">
        <v>1316.62</v>
      </c>
      <c r="X390" s="256">
        <f t="shared" si="6"/>
        <v>-0.01226584244</v>
      </c>
      <c r="Y390" s="154"/>
      <c r="Z390" s="263">
        <v>45575.0</v>
      </c>
      <c r="AA390" s="174">
        <v>1618.9</v>
      </c>
      <c r="AB390" s="256">
        <f t="shared" si="7"/>
        <v>-0.03665575722</v>
      </c>
      <c r="AC390" s="154"/>
      <c r="AD390" s="263">
        <v>45575.0</v>
      </c>
      <c r="AE390" s="174">
        <v>12.85</v>
      </c>
      <c r="AF390" s="256">
        <f t="shared" si="8"/>
        <v>-0.01001540832</v>
      </c>
      <c r="AG390" s="264"/>
      <c r="AH390" s="263">
        <v>45575.0</v>
      </c>
      <c r="AI390" s="174">
        <v>345.8</v>
      </c>
      <c r="AJ390" s="256">
        <f t="shared" si="9"/>
        <v>-0.003601786486</v>
      </c>
      <c r="AK390" s="264"/>
      <c r="AL390" s="263">
        <v>45575.0</v>
      </c>
      <c r="AM390" s="174">
        <v>5780.05</v>
      </c>
      <c r="AN390" s="256">
        <f t="shared" si="10"/>
        <v>-0.002070082389</v>
      </c>
      <c r="AO390" s="154"/>
      <c r="AP390" s="154"/>
    </row>
    <row r="391">
      <c r="A391" s="154"/>
      <c r="B391" s="255">
        <v>45574.0</v>
      </c>
      <c r="C391" s="174">
        <v>18.03</v>
      </c>
      <c r="D391" s="256">
        <f t="shared" si="1"/>
        <v>-0.003867403315</v>
      </c>
      <c r="E391" s="154"/>
      <c r="F391" s="255">
        <v>45574.0</v>
      </c>
      <c r="G391" s="174">
        <v>11.41</v>
      </c>
      <c r="H391" s="256">
        <f t="shared" si="2"/>
        <v>0.007950530035</v>
      </c>
      <c r="I391" s="154"/>
      <c r="J391" s="255">
        <v>45574.0</v>
      </c>
      <c r="K391" s="174">
        <v>17.73</v>
      </c>
      <c r="L391" s="256">
        <f t="shared" si="3"/>
        <v>0.01140901312</v>
      </c>
      <c r="M391" s="154"/>
      <c r="N391" s="255">
        <v>45574.0</v>
      </c>
      <c r="O391" s="174">
        <v>1906.0</v>
      </c>
      <c r="P391" s="256">
        <f t="shared" si="4"/>
        <v>0.003157894737</v>
      </c>
      <c r="Q391" s="154"/>
      <c r="R391" s="255">
        <v>45574.0</v>
      </c>
      <c r="S391" s="174">
        <v>24.35</v>
      </c>
      <c r="T391" s="256">
        <f t="shared" si="5"/>
        <v>-0.004497138185</v>
      </c>
      <c r="U391" s="154"/>
      <c r="V391" s="255">
        <v>45574.0</v>
      </c>
      <c r="W391" s="174">
        <v>1332.97</v>
      </c>
      <c r="X391" s="256">
        <f t="shared" si="6"/>
        <v>0.001322105453</v>
      </c>
      <c r="Y391" s="154"/>
      <c r="Z391" s="255">
        <v>45574.0</v>
      </c>
      <c r="AA391" s="174">
        <v>1680.5</v>
      </c>
      <c r="AB391" s="256">
        <f t="shared" si="7"/>
        <v>0.02425793868</v>
      </c>
      <c r="AC391" s="154"/>
      <c r="AD391" s="255">
        <v>45574.0</v>
      </c>
      <c r="AE391" s="174">
        <v>12.98</v>
      </c>
      <c r="AF391" s="256">
        <f t="shared" si="8"/>
        <v>0.01011673152</v>
      </c>
      <c r="AG391" s="257"/>
      <c r="AH391" s="255">
        <v>45574.0</v>
      </c>
      <c r="AI391" s="174">
        <v>347.05</v>
      </c>
      <c r="AJ391" s="256">
        <f t="shared" si="9"/>
        <v>0.01269331777</v>
      </c>
      <c r="AK391" s="257"/>
      <c r="AL391" s="255">
        <v>45574.0</v>
      </c>
      <c r="AM391" s="174">
        <v>5792.04</v>
      </c>
      <c r="AN391" s="256">
        <f t="shared" si="10"/>
        <v>0.007113384674</v>
      </c>
      <c r="AO391" s="154"/>
      <c r="AP391" s="154"/>
    </row>
    <row r="392">
      <c r="A392" s="154"/>
      <c r="B392" s="255">
        <v>45573.0</v>
      </c>
      <c r="C392" s="174">
        <v>18.1</v>
      </c>
      <c r="D392" s="256">
        <f t="shared" si="1"/>
        <v>-0.001103752759</v>
      </c>
      <c r="E392" s="154"/>
      <c r="F392" s="255">
        <v>45573.0</v>
      </c>
      <c r="G392" s="174">
        <v>11.32</v>
      </c>
      <c r="H392" s="256">
        <f t="shared" si="2"/>
        <v>-0.0008826125331</v>
      </c>
      <c r="I392" s="154"/>
      <c r="J392" s="255">
        <v>45573.0</v>
      </c>
      <c r="K392" s="174">
        <v>17.53</v>
      </c>
      <c r="L392" s="256">
        <f t="shared" si="3"/>
        <v>0.01446759259</v>
      </c>
      <c r="M392" s="154"/>
      <c r="N392" s="255">
        <v>45573.0</v>
      </c>
      <c r="O392" s="174">
        <v>1900.0</v>
      </c>
      <c r="P392" s="256">
        <f t="shared" si="4"/>
        <v>0.01117615753</v>
      </c>
      <c r="Q392" s="154"/>
      <c r="R392" s="255">
        <v>45573.0</v>
      </c>
      <c r="S392" s="174">
        <v>24.46</v>
      </c>
      <c r="T392" s="256">
        <f t="shared" si="5"/>
        <v>0.003693065244</v>
      </c>
      <c r="U392" s="154"/>
      <c r="V392" s="255">
        <v>45573.0</v>
      </c>
      <c r="W392" s="174">
        <v>1331.21</v>
      </c>
      <c r="X392" s="256">
        <f t="shared" si="6"/>
        <v>0.006981951315</v>
      </c>
      <c r="Y392" s="154"/>
      <c r="Z392" s="255">
        <v>45573.0</v>
      </c>
      <c r="AA392" s="174">
        <v>1640.7</v>
      </c>
      <c r="AB392" s="256">
        <f t="shared" si="7"/>
        <v>0.009879050872</v>
      </c>
      <c r="AC392" s="154"/>
      <c r="AD392" s="255">
        <v>45573.0</v>
      </c>
      <c r="AE392" s="174">
        <v>12.85</v>
      </c>
      <c r="AF392" s="256">
        <f t="shared" si="8"/>
        <v>0.02390438247</v>
      </c>
      <c r="AG392" s="257"/>
      <c r="AH392" s="255">
        <v>45573.0</v>
      </c>
      <c r="AI392" s="174">
        <v>342.7</v>
      </c>
      <c r="AJ392" s="256">
        <f t="shared" si="9"/>
        <v>0.007941176471</v>
      </c>
      <c r="AK392" s="257"/>
      <c r="AL392" s="255">
        <v>45573.0</v>
      </c>
      <c r="AM392" s="174">
        <v>5751.13</v>
      </c>
      <c r="AN392" s="256">
        <f t="shared" si="10"/>
        <v>0.009689357683</v>
      </c>
      <c r="AO392" s="154"/>
      <c r="AP392" s="154"/>
    </row>
    <row r="393">
      <c r="A393" s="154"/>
      <c r="B393" s="255">
        <v>45572.0</v>
      </c>
      <c r="C393" s="174">
        <v>18.12</v>
      </c>
      <c r="D393" s="256">
        <f t="shared" si="1"/>
        <v>-0.009294696555</v>
      </c>
      <c r="E393" s="154"/>
      <c r="F393" s="255">
        <v>45572.0</v>
      </c>
      <c r="G393" s="174">
        <v>11.33</v>
      </c>
      <c r="H393" s="256">
        <f t="shared" si="2"/>
        <v>-0.02243313201</v>
      </c>
      <c r="I393" s="154"/>
      <c r="J393" s="255">
        <v>45572.0</v>
      </c>
      <c r="K393" s="174">
        <v>17.28</v>
      </c>
      <c r="L393" s="256">
        <f t="shared" si="3"/>
        <v>-0.01200686106</v>
      </c>
      <c r="M393" s="154"/>
      <c r="N393" s="255">
        <v>45572.0</v>
      </c>
      <c r="O393" s="174">
        <v>1879.0</v>
      </c>
      <c r="P393" s="256">
        <f t="shared" si="4"/>
        <v>-0.0131302521</v>
      </c>
      <c r="Q393" s="154"/>
      <c r="R393" s="255">
        <v>45572.0</v>
      </c>
      <c r="S393" s="174">
        <v>24.37</v>
      </c>
      <c r="T393" s="256">
        <f t="shared" si="5"/>
        <v>-0.02246289611</v>
      </c>
      <c r="U393" s="154"/>
      <c r="V393" s="255">
        <v>45572.0</v>
      </c>
      <c r="W393" s="174">
        <v>1321.98</v>
      </c>
      <c r="X393" s="256">
        <f t="shared" si="6"/>
        <v>-0.003520144725</v>
      </c>
      <c r="Y393" s="154"/>
      <c r="Z393" s="255">
        <v>45572.0</v>
      </c>
      <c r="AA393" s="174">
        <v>1624.65</v>
      </c>
      <c r="AB393" s="256">
        <f t="shared" si="7"/>
        <v>0.0008316392534</v>
      </c>
      <c r="AC393" s="154"/>
      <c r="AD393" s="255">
        <v>45572.0</v>
      </c>
      <c r="AE393" s="174">
        <v>12.55</v>
      </c>
      <c r="AF393" s="256">
        <f t="shared" si="8"/>
        <v>0.02032520325</v>
      </c>
      <c r="AG393" s="257"/>
      <c r="AH393" s="255">
        <v>45572.0</v>
      </c>
      <c r="AI393" s="174">
        <v>340.0</v>
      </c>
      <c r="AJ393" s="256">
        <f t="shared" si="9"/>
        <v>-0.01833405515</v>
      </c>
      <c r="AK393" s="257"/>
      <c r="AL393" s="255">
        <v>45572.0</v>
      </c>
      <c r="AM393" s="174">
        <v>5695.94</v>
      </c>
      <c r="AN393" s="256">
        <f t="shared" si="10"/>
        <v>-0.00958604225</v>
      </c>
      <c r="AO393" s="154"/>
      <c r="AP393" s="154"/>
    </row>
    <row r="394">
      <c r="A394" s="154"/>
      <c r="B394" s="255">
        <v>45569.0</v>
      </c>
      <c r="C394" s="174">
        <v>18.29</v>
      </c>
      <c r="D394" s="256">
        <f t="shared" si="1"/>
        <v>0.001642935378</v>
      </c>
      <c r="E394" s="154"/>
      <c r="F394" s="255">
        <v>45569.0</v>
      </c>
      <c r="G394" s="174">
        <v>11.59</v>
      </c>
      <c r="H394" s="256">
        <f t="shared" si="2"/>
        <v>0.01399825022</v>
      </c>
      <c r="I394" s="154"/>
      <c r="J394" s="255">
        <v>45569.0</v>
      </c>
      <c r="K394" s="174">
        <v>17.49</v>
      </c>
      <c r="L394" s="256">
        <f t="shared" si="3"/>
        <v>0.006329113924</v>
      </c>
      <c r="M394" s="154"/>
      <c r="N394" s="255">
        <v>45569.0</v>
      </c>
      <c r="O394" s="174">
        <v>1904.0</v>
      </c>
      <c r="P394" s="256">
        <f t="shared" si="4"/>
        <v>-0.0005249343832</v>
      </c>
      <c r="Q394" s="154"/>
      <c r="R394" s="255">
        <v>45569.0</v>
      </c>
      <c r="S394" s="174">
        <v>24.93</v>
      </c>
      <c r="T394" s="256">
        <f t="shared" si="5"/>
        <v>0.007272727273</v>
      </c>
      <c r="U394" s="154"/>
      <c r="V394" s="255">
        <v>45569.0</v>
      </c>
      <c r="W394" s="174">
        <v>1326.65</v>
      </c>
      <c r="X394" s="256">
        <f t="shared" si="6"/>
        <v>-0.01520269016</v>
      </c>
      <c r="Y394" s="154"/>
      <c r="Z394" s="255">
        <v>45569.0</v>
      </c>
      <c r="AA394" s="174">
        <v>1623.3</v>
      </c>
      <c r="AB394" s="256">
        <f t="shared" si="7"/>
        <v>-0.02007183604</v>
      </c>
      <c r="AC394" s="154"/>
      <c r="AD394" s="255">
        <v>45569.0</v>
      </c>
      <c r="AE394" s="174">
        <v>12.3</v>
      </c>
      <c r="AF394" s="256">
        <f t="shared" si="8"/>
        <v>0</v>
      </c>
      <c r="AG394" s="257"/>
      <c r="AH394" s="255">
        <v>45569.0</v>
      </c>
      <c r="AI394" s="174">
        <v>346.35</v>
      </c>
      <c r="AJ394" s="256">
        <f t="shared" si="9"/>
        <v>-0.02860748843</v>
      </c>
      <c r="AK394" s="257"/>
      <c r="AL394" s="255">
        <v>45569.0</v>
      </c>
      <c r="AM394" s="174">
        <v>5751.07</v>
      </c>
      <c r="AN394" s="256">
        <f t="shared" si="10"/>
        <v>0.008970269862</v>
      </c>
      <c r="AO394" s="154"/>
      <c r="AP394" s="154"/>
    </row>
    <row r="395">
      <c r="A395" s="154"/>
      <c r="B395" s="255">
        <v>45568.0</v>
      </c>
      <c r="C395" s="174">
        <v>18.26</v>
      </c>
      <c r="D395" s="256">
        <f t="shared" si="1"/>
        <v>-0.0302708444</v>
      </c>
      <c r="E395" s="154"/>
      <c r="F395" s="255">
        <v>45568.0</v>
      </c>
      <c r="G395" s="174">
        <v>11.43</v>
      </c>
      <c r="H395" s="256">
        <f t="shared" si="2"/>
        <v>-0.005221932115</v>
      </c>
      <c r="I395" s="154"/>
      <c r="J395" s="255">
        <v>45568.0</v>
      </c>
      <c r="K395" s="174">
        <v>17.38</v>
      </c>
      <c r="L395" s="256">
        <f t="shared" si="3"/>
        <v>-0.01641199774</v>
      </c>
      <c r="M395" s="154"/>
      <c r="N395" s="255">
        <v>45568.0</v>
      </c>
      <c r="O395" s="174">
        <v>1905.0</v>
      </c>
      <c r="P395" s="256">
        <f t="shared" si="4"/>
        <v>-0.003139717425</v>
      </c>
      <c r="Q395" s="154"/>
      <c r="R395" s="255">
        <v>45568.0</v>
      </c>
      <c r="S395" s="174">
        <v>24.75</v>
      </c>
      <c r="T395" s="256">
        <f t="shared" si="5"/>
        <v>-0.02788688138</v>
      </c>
      <c r="U395" s="154"/>
      <c r="V395" s="255">
        <v>45568.0</v>
      </c>
      <c r="W395" s="174">
        <v>1347.13</v>
      </c>
      <c r="X395" s="256">
        <f t="shared" si="6"/>
        <v>-0.001992858307</v>
      </c>
      <c r="Y395" s="154"/>
      <c r="Z395" s="255">
        <v>45568.0</v>
      </c>
      <c r="AA395" s="174">
        <v>1656.55</v>
      </c>
      <c r="AB395" s="256">
        <f t="shared" si="7"/>
        <v>-0.004985434123</v>
      </c>
      <c r="AC395" s="154"/>
      <c r="AD395" s="255">
        <v>45568.0</v>
      </c>
      <c r="AE395" s="174">
        <v>12.3</v>
      </c>
      <c r="AF395" s="256">
        <f t="shared" si="8"/>
        <v>0.02928870293</v>
      </c>
      <c r="AG395" s="257"/>
      <c r="AH395" s="255">
        <v>45568.0</v>
      </c>
      <c r="AI395" s="174">
        <v>356.55</v>
      </c>
      <c r="AJ395" s="256">
        <f t="shared" si="9"/>
        <v>-0.03804127883</v>
      </c>
      <c r="AK395" s="257"/>
      <c r="AL395" s="255">
        <v>45568.0</v>
      </c>
      <c r="AM395" s="174">
        <v>5699.94</v>
      </c>
      <c r="AN395" s="256">
        <f t="shared" si="10"/>
        <v>-0.001543245019</v>
      </c>
      <c r="AO395" s="154"/>
      <c r="AP395" s="154"/>
    </row>
    <row r="396">
      <c r="A396" s="154"/>
      <c r="B396" s="255">
        <v>45566.0</v>
      </c>
      <c r="C396" s="174">
        <v>18.83</v>
      </c>
      <c r="D396" s="256">
        <f t="shared" si="1"/>
        <v>-0.01568217459</v>
      </c>
      <c r="E396" s="154"/>
      <c r="F396" s="255">
        <v>45566.0</v>
      </c>
      <c r="G396" s="174">
        <v>11.49</v>
      </c>
      <c r="H396" s="256">
        <f t="shared" si="2"/>
        <v>-0.01033591731</v>
      </c>
      <c r="I396" s="154"/>
      <c r="J396" s="255">
        <v>45566.0</v>
      </c>
      <c r="K396" s="174">
        <v>17.67</v>
      </c>
      <c r="L396" s="256">
        <f t="shared" si="3"/>
        <v>-0.01942286349</v>
      </c>
      <c r="M396" s="154"/>
      <c r="N396" s="255">
        <v>45566.0</v>
      </c>
      <c r="O396" s="174">
        <v>1911.0</v>
      </c>
      <c r="P396" s="256">
        <f t="shared" si="4"/>
        <v>0</v>
      </c>
      <c r="Q396" s="154"/>
      <c r="R396" s="255">
        <v>45566.0</v>
      </c>
      <c r="S396" s="174">
        <v>25.46</v>
      </c>
      <c r="T396" s="256">
        <f t="shared" si="5"/>
        <v>-0.02935569958</v>
      </c>
      <c r="U396" s="154"/>
      <c r="V396" s="255">
        <v>45566.0</v>
      </c>
      <c r="W396" s="174">
        <v>1349.82</v>
      </c>
      <c r="X396" s="256">
        <f t="shared" si="6"/>
        <v>-0.0003702825997</v>
      </c>
      <c r="Y396" s="154"/>
      <c r="Z396" s="255">
        <v>45566.0</v>
      </c>
      <c r="AA396" s="174">
        <v>1664.85</v>
      </c>
      <c r="AB396" s="256">
        <f t="shared" si="7"/>
        <v>0.006499002479</v>
      </c>
      <c r="AC396" s="154"/>
      <c r="AD396" s="255">
        <v>45566.0</v>
      </c>
      <c r="AE396" s="174">
        <v>11.95</v>
      </c>
      <c r="AF396" s="256">
        <f t="shared" si="8"/>
        <v>0.004201680672</v>
      </c>
      <c r="AG396" s="257"/>
      <c r="AH396" s="255">
        <v>45566.0</v>
      </c>
      <c r="AI396" s="174">
        <v>370.65</v>
      </c>
      <c r="AJ396" s="256">
        <f t="shared" si="9"/>
        <v>0.02079316993</v>
      </c>
      <c r="AK396" s="257"/>
      <c r="AL396" s="255">
        <v>45566.0</v>
      </c>
      <c r="AM396" s="174">
        <v>5708.75</v>
      </c>
      <c r="AN396" s="256">
        <f t="shared" si="10"/>
        <v>-0.009324110452</v>
      </c>
      <c r="AO396" s="154"/>
      <c r="AP396" s="154"/>
    </row>
    <row r="397">
      <c r="A397" s="154"/>
      <c r="B397" s="255">
        <v>45565.0</v>
      </c>
      <c r="C397" s="174">
        <v>19.13</v>
      </c>
      <c r="D397" s="256">
        <f t="shared" si="1"/>
        <v>-0.002606882169</v>
      </c>
      <c r="E397" s="154"/>
      <c r="F397" s="255">
        <v>45565.0</v>
      </c>
      <c r="G397" s="174">
        <v>11.61</v>
      </c>
      <c r="H397" s="256">
        <f t="shared" si="2"/>
        <v>0.005194805195</v>
      </c>
      <c r="I397" s="154"/>
      <c r="J397" s="255">
        <v>45565.0</v>
      </c>
      <c r="K397" s="174">
        <v>18.02</v>
      </c>
      <c r="L397" s="256">
        <f t="shared" si="3"/>
        <v>0.03207331042</v>
      </c>
      <c r="M397" s="154"/>
      <c r="N397" s="255">
        <v>45565.0</v>
      </c>
      <c r="O397" s="174">
        <v>1911.0</v>
      </c>
      <c r="P397" s="256">
        <f t="shared" si="4"/>
        <v>0.007911392405</v>
      </c>
      <c r="Q397" s="154"/>
      <c r="R397" s="255">
        <v>45565.0</v>
      </c>
      <c r="S397" s="174">
        <v>26.23</v>
      </c>
      <c r="T397" s="256">
        <f t="shared" si="5"/>
        <v>0.02261208577</v>
      </c>
      <c r="U397" s="154"/>
      <c r="V397" s="255">
        <v>45565.0</v>
      </c>
      <c r="W397" s="174">
        <v>1350.32</v>
      </c>
      <c r="X397" s="256">
        <f t="shared" si="6"/>
        <v>0.000251855583</v>
      </c>
      <c r="Y397" s="154"/>
      <c r="Z397" s="255">
        <v>45565.0</v>
      </c>
      <c r="AA397" s="174">
        <v>1654.1</v>
      </c>
      <c r="AB397" s="256">
        <f t="shared" si="7"/>
        <v>-0.01100149477</v>
      </c>
      <c r="AC397" s="154"/>
      <c r="AD397" s="255">
        <v>45565.0</v>
      </c>
      <c r="AE397" s="174">
        <v>11.9</v>
      </c>
      <c r="AF397" s="256">
        <f t="shared" si="8"/>
        <v>0</v>
      </c>
      <c r="AG397" s="257"/>
      <c r="AH397" s="255">
        <v>45565.0</v>
      </c>
      <c r="AI397" s="174">
        <v>363.1</v>
      </c>
      <c r="AJ397" s="256">
        <f t="shared" si="9"/>
        <v>-0.01558899282</v>
      </c>
      <c r="AK397" s="257"/>
      <c r="AL397" s="255">
        <v>45565.0</v>
      </c>
      <c r="AM397" s="174">
        <v>5762.48</v>
      </c>
      <c r="AN397" s="256">
        <f t="shared" si="10"/>
        <v>0.004236542312</v>
      </c>
      <c r="AO397" s="154"/>
      <c r="AP397" s="154"/>
    </row>
    <row r="398">
      <c r="A398" s="154"/>
      <c r="B398" s="255">
        <v>45562.0</v>
      </c>
      <c r="C398" s="174">
        <v>19.18</v>
      </c>
      <c r="D398" s="256">
        <f t="shared" si="1"/>
        <v>0.000521648409</v>
      </c>
      <c r="E398" s="154"/>
      <c r="F398" s="255">
        <v>45562.0</v>
      </c>
      <c r="G398" s="174">
        <v>11.55</v>
      </c>
      <c r="H398" s="256">
        <f t="shared" si="2"/>
        <v>-0.006024096386</v>
      </c>
      <c r="I398" s="154"/>
      <c r="J398" s="255">
        <v>45562.0</v>
      </c>
      <c r="K398" s="174">
        <v>17.46</v>
      </c>
      <c r="L398" s="256">
        <f t="shared" si="3"/>
        <v>-0.01578354002</v>
      </c>
      <c r="M398" s="154"/>
      <c r="N398" s="255">
        <v>45562.0</v>
      </c>
      <c r="O398" s="174">
        <v>1896.0</v>
      </c>
      <c r="P398" s="256">
        <f t="shared" si="4"/>
        <v>0.01012253596</v>
      </c>
      <c r="Q398" s="154"/>
      <c r="R398" s="255">
        <v>45562.0</v>
      </c>
      <c r="S398" s="174">
        <v>25.65</v>
      </c>
      <c r="T398" s="256">
        <f t="shared" si="5"/>
        <v>0.0007803355443</v>
      </c>
      <c r="U398" s="154"/>
      <c r="V398" s="255">
        <v>45562.0</v>
      </c>
      <c r="W398" s="174">
        <v>1349.98</v>
      </c>
      <c r="X398" s="256">
        <f t="shared" si="6"/>
        <v>0.0008154913706</v>
      </c>
      <c r="Y398" s="154"/>
      <c r="Z398" s="255">
        <v>45562.0</v>
      </c>
      <c r="AA398" s="174">
        <v>1672.5</v>
      </c>
      <c r="AB398" s="256">
        <f t="shared" si="7"/>
        <v>0.03126156123</v>
      </c>
      <c r="AC398" s="154"/>
      <c r="AD398" s="255">
        <v>45562.0</v>
      </c>
      <c r="AE398" s="174">
        <v>11.9</v>
      </c>
      <c r="AF398" s="256">
        <f t="shared" si="8"/>
        <v>0.04845814978</v>
      </c>
      <c r="AG398" s="257"/>
      <c r="AH398" s="255">
        <v>45562.0</v>
      </c>
      <c r="AI398" s="174">
        <v>368.85</v>
      </c>
      <c r="AJ398" s="256">
        <f t="shared" si="9"/>
        <v>-0.01072817487</v>
      </c>
      <c r="AK398" s="257"/>
      <c r="AL398" s="255">
        <v>45562.0</v>
      </c>
      <c r="AM398" s="174">
        <v>5738.17</v>
      </c>
      <c r="AN398" s="256">
        <f t="shared" si="10"/>
        <v>-0.001253182998</v>
      </c>
      <c r="AO398" s="154"/>
      <c r="AP398" s="154"/>
    </row>
    <row r="399">
      <c r="A399" s="154"/>
      <c r="B399" s="255">
        <v>45561.0</v>
      </c>
      <c r="C399" s="174">
        <v>19.17</v>
      </c>
      <c r="D399" s="256">
        <f t="shared" si="1"/>
        <v>0.007356805045</v>
      </c>
      <c r="E399" s="154"/>
      <c r="F399" s="255">
        <v>45561.0</v>
      </c>
      <c r="G399" s="174">
        <v>11.62</v>
      </c>
      <c r="H399" s="256">
        <f t="shared" si="2"/>
        <v>0.03105590062</v>
      </c>
      <c r="I399" s="154"/>
      <c r="J399" s="255">
        <v>45561.0</v>
      </c>
      <c r="K399" s="174">
        <v>17.74</v>
      </c>
      <c r="L399" s="256">
        <f t="shared" si="3"/>
        <v>0.01603665521</v>
      </c>
      <c r="M399" s="154"/>
      <c r="N399" s="255">
        <v>45561.0</v>
      </c>
      <c r="O399" s="174">
        <v>1877.0</v>
      </c>
      <c r="P399" s="256">
        <f t="shared" si="4"/>
        <v>0.005356186395</v>
      </c>
      <c r="Q399" s="154"/>
      <c r="R399" s="255">
        <v>45561.0</v>
      </c>
      <c r="S399" s="174">
        <v>25.63</v>
      </c>
      <c r="T399" s="256">
        <f t="shared" si="5"/>
        <v>0.00313111546</v>
      </c>
      <c r="U399" s="154"/>
      <c r="V399" s="255">
        <v>45561.0</v>
      </c>
      <c r="W399" s="174">
        <v>1348.88</v>
      </c>
      <c r="X399" s="256">
        <f t="shared" si="6"/>
        <v>0.007913083114</v>
      </c>
      <c r="Y399" s="154"/>
      <c r="Z399" s="255">
        <v>45561.0</v>
      </c>
      <c r="AA399" s="174">
        <v>1621.8</v>
      </c>
      <c r="AB399" s="256">
        <f t="shared" si="7"/>
        <v>-0.01302336904</v>
      </c>
      <c r="AC399" s="154"/>
      <c r="AD399" s="255">
        <v>45561.0</v>
      </c>
      <c r="AE399" s="174">
        <v>11.35</v>
      </c>
      <c r="AF399" s="256">
        <f t="shared" si="8"/>
        <v>0.01158645276</v>
      </c>
      <c r="AG399" s="257"/>
      <c r="AH399" s="255">
        <v>45561.0</v>
      </c>
      <c r="AI399" s="174">
        <v>372.85</v>
      </c>
      <c r="AJ399" s="256">
        <f t="shared" si="9"/>
        <v>0.003769013326</v>
      </c>
      <c r="AK399" s="257"/>
      <c r="AL399" s="255">
        <v>45561.0</v>
      </c>
      <c r="AM399" s="174">
        <v>5745.37</v>
      </c>
      <c r="AN399" s="256">
        <f t="shared" si="10"/>
        <v>0.004038614114</v>
      </c>
      <c r="AO399" s="154"/>
      <c r="AP399" s="154"/>
    </row>
    <row r="400">
      <c r="A400" s="154"/>
      <c r="B400" s="255">
        <v>45560.0</v>
      </c>
      <c r="C400" s="174">
        <v>19.03</v>
      </c>
      <c r="D400" s="256">
        <f t="shared" si="1"/>
        <v>-0.03204476094</v>
      </c>
      <c r="E400" s="154"/>
      <c r="F400" s="255">
        <v>45560.0</v>
      </c>
      <c r="G400" s="174">
        <v>11.27</v>
      </c>
      <c r="H400" s="256">
        <f t="shared" si="2"/>
        <v>-0.01572052402</v>
      </c>
      <c r="I400" s="154"/>
      <c r="J400" s="255">
        <v>45560.0</v>
      </c>
      <c r="K400" s="174">
        <v>17.46</v>
      </c>
      <c r="L400" s="256">
        <f t="shared" si="3"/>
        <v>-0.0152284264</v>
      </c>
      <c r="M400" s="154"/>
      <c r="N400" s="255">
        <v>45560.0</v>
      </c>
      <c r="O400" s="174">
        <v>1867.0</v>
      </c>
      <c r="P400" s="256">
        <f t="shared" si="4"/>
        <v>0.003224073079</v>
      </c>
      <c r="Q400" s="154"/>
      <c r="R400" s="255">
        <v>45560.0</v>
      </c>
      <c r="S400" s="174">
        <v>25.55</v>
      </c>
      <c r="T400" s="256">
        <f t="shared" si="5"/>
        <v>-0.03730218538</v>
      </c>
      <c r="U400" s="154"/>
      <c r="V400" s="255">
        <v>45560.0</v>
      </c>
      <c r="W400" s="174">
        <v>1338.29</v>
      </c>
      <c r="X400" s="256">
        <f t="shared" si="6"/>
        <v>0.006180125858</v>
      </c>
      <c r="Y400" s="154"/>
      <c r="Z400" s="255">
        <v>45560.0</v>
      </c>
      <c r="AA400" s="174">
        <v>1643.2</v>
      </c>
      <c r="AB400" s="256">
        <f t="shared" si="7"/>
        <v>0.003450276327</v>
      </c>
      <c r="AC400" s="154"/>
      <c r="AD400" s="255">
        <v>45560.0</v>
      </c>
      <c r="AE400" s="174">
        <v>11.22</v>
      </c>
      <c r="AF400" s="256">
        <f t="shared" si="8"/>
        <v>0.004476275739</v>
      </c>
      <c r="AG400" s="257"/>
      <c r="AH400" s="255">
        <v>45560.0</v>
      </c>
      <c r="AI400" s="174">
        <v>371.45</v>
      </c>
      <c r="AJ400" s="256">
        <f t="shared" si="9"/>
        <v>-0.01170679792</v>
      </c>
      <c r="AK400" s="257"/>
      <c r="AL400" s="255">
        <v>45560.0</v>
      </c>
      <c r="AM400" s="174">
        <v>5722.26</v>
      </c>
      <c r="AN400" s="256">
        <f t="shared" si="10"/>
        <v>-0.001861177443</v>
      </c>
      <c r="AO400" s="154"/>
      <c r="AP400" s="154"/>
    </row>
    <row r="401">
      <c r="A401" s="154"/>
      <c r="B401" s="255">
        <v>45559.0</v>
      </c>
      <c r="C401" s="174">
        <v>19.66</v>
      </c>
      <c r="D401" s="256">
        <f t="shared" si="1"/>
        <v>-0.003042596349</v>
      </c>
      <c r="E401" s="154"/>
      <c r="F401" s="255">
        <v>45559.0</v>
      </c>
      <c r="G401" s="174">
        <v>11.45</v>
      </c>
      <c r="H401" s="256">
        <f t="shared" si="2"/>
        <v>-0.001743679163</v>
      </c>
      <c r="I401" s="154"/>
      <c r="J401" s="255">
        <v>45559.0</v>
      </c>
      <c r="K401" s="174">
        <v>17.73</v>
      </c>
      <c r="L401" s="256">
        <f t="shared" si="3"/>
        <v>0.0005643340858</v>
      </c>
      <c r="M401" s="154"/>
      <c r="N401" s="255">
        <v>45559.0</v>
      </c>
      <c r="O401" s="174">
        <v>1861.0</v>
      </c>
      <c r="P401" s="256">
        <f t="shared" si="4"/>
        <v>-0.006406833956</v>
      </c>
      <c r="Q401" s="154"/>
      <c r="R401" s="255">
        <v>45559.0</v>
      </c>
      <c r="S401" s="174">
        <v>26.54</v>
      </c>
      <c r="T401" s="256">
        <f t="shared" si="5"/>
        <v>-0.0192165558</v>
      </c>
      <c r="U401" s="154"/>
      <c r="V401" s="255">
        <v>45559.0</v>
      </c>
      <c r="W401" s="174">
        <v>1330.07</v>
      </c>
      <c r="X401" s="256">
        <f t="shared" si="6"/>
        <v>-0.0006161290565</v>
      </c>
      <c r="Y401" s="154"/>
      <c r="Z401" s="255">
        <v>45559.0</v>
      </c>
      <c r="AA401" s="174">
        <v>1637.55</v>
      </c>
      <c r="AB401" s="256">
        <f t="shared" si="7"/>
        <v>-0.012423484</v>
      </c>
      <c r="AC401" s="154"/>
      <c r="AD401" s="255">
        <v>45559.0</v>
      </c>
      <c r="AE401" s="174">
        <v>11.17</v>
      </c>
      <c r="AF401" s="256">
        <f t="shared" si="8"/>
        <v>0.02665441176</v>
      </c>
      <c r="AG401" s="257"/>
      <c r="AH401" s="255">
        <v>45559.0</v>
      </c>
      <c r="AI401" s="174">
        <v>375.85</v>
      </c>
      <c r="AJ401" s="256">
        <f t="shared" si="9"/>
        <v>0.01485081679</v>
      </c>
      <c r="AK401" s="257"/>
      <c r="AL401" s="255">
        <v>45559.0</v>
      </c>
      <c r="AM401" s="174">
        <v>5732.93</v>
      </c>
      <c r="AN401" s="256">
        <f t="shared" si="10"/>
        <v>0.00251111729</v>
      </c>
      <c r="AO401" s="154"/>
      <c r="AP401" s="154"/>
    </row>
    <row r="402">
      <c r="A402" s="154"/>
      <c r="B402" s="255">
        <v>45558.0</v>
      </c>
      <c r="C402" s="174">
        <v>19.72</v>
      </c>
      <c r="D402" s="256">
        <f t="shared" si="1"/>
        <v>0.01180092355</v>
      </c>
      <c r="E402" s="154"/>
      <c r="F402" s="255">
        <v>45558.0</v>
      </c>
      <c r="G402" s="174">
        <v>11.47</v>
      </c>
      <c r="H402" s="256">
        <f t="shared" si="2"/>
        <v>0.007023705004</v>
      </c>
      <c r="I402" s="154"/>
      <c r="J402" s="255">
        <v>45558.0</v>
      </c>
      <c r="K402" s="174">
        <v>17.72</v>
      </c>
      <c r="L402" s="256">
        <f t="shared" si="3"/>
        <v>0.01199314677</v>
      </c>
      <c r="M402" s="154"/>
      <c r="N402" s="255">
        <v>45558.0</v>
      </c>
      <c r="O402" s="174">
        <v>1873.0</v>
      </c>
      <c r="P402" s="256">
        <f t="shared" si="4"/>
        <v>-0.01524710831</v>
      </c>
      <c r="Q402" s="154"/>
      <c r="R402" s="255">
        <v>45558.0</v>
      </c>
      <c r="S402" s="174">
        <v>27.06</v>
      </c>
      <c r="T402" s="256">
        <f t="shared" si="5"/>
        <v>-0.002580169554</v>
      </c>
      <c r="U402" s="154"/>
      <c r="V402" s="255">
        <v>45558.0</v>
      </c>
      <c r="W402" s="174">
        <v>1330.89</v>
      </c>
      <c r="X402" s="256">
        <f t="shared" si="6"/>
        <v>0.0157682239</v>
      </c>
      <c r="Y402" s="154"/>
      <c r="Z402" s="255">
        <v>45558.0</v>
      </c>
      <c r="AA402" s="174">
        <v>1658.15</v>
      </c>
      <c r="AB402" s="256">
        <f t="shared" si="7"/>
        <v>0.01190003967</v>
      </c>
      <c r="AC402" s="154"/>
      <c r="AD402" s="255">
        <v>45558.0</v>
      </c>
      <c r="AE402" s="174">
        <v>10.88</v>
      </c>
      <c r="AF402" s="256">
        <f t="shared" si="8"/>
        <v>-0.02158273381</v>
      </c>
      <c r="AG402" s="257"/>
      <c r="AH402" s="255">
        <v>45558.0</v>
      </c>
      <c r="AI402" s="174">
        <v>370.35</v>
      </c>
      <c r="AJ402" s="256">
        <f t="shared" si="9"/>
        <v>0.01368550705</v>
      </c>
      <c r="AK402" s="257"/>
      <c r="AL402" s="255">
        <v>45558.0</v>
      </c>
      <c r="AM402" s="174">
        <v>5718.57</v>
      </c>
      <c r="AN402" s="256">
        <f t="shared" si="10"/>
        <v>0.002809269537</v>
      </c>
      <c r="AO402" s="154"/>
      <c r="AP402" s="154"/>
    </row>
    <row r="403">
      <c r="A403" s="154"/>
      <c r="B403" s="255">
        <v>45555.0</v>
      </c>
      <c r="C403" s="174">
        <v>19.49</v>
      </c>
      <c r="D403" s="256">
        <f t="shared" si="1"/>
        <v>-0.03419226957</v>
      </c>
      <c r="E403" s="154"/>
      <c r="F403" s="255">
        <v>45555.0</v>
      </c>
      <c r="G403" s="174">
        <v>11.39</v>
      </c>
      <c r="H403" s="256">
        <f t="shared" si="2"/>
        <v>-0.04285714286</v>
      </c>
      <c r="I403" s="154"/>
      <c r="J403" s="255">
        <v>45555.0</v>
      </c>
      <c r="K403" s="174">
        <v>17.51</v>
      </c>
      <c r="L403" s="256">
        <f t="shared" si="3"/>
        <v>-0.01407657658</v>
      </c>
      <c r="M403" s="154"/>
      <c r="N403" s="255">
        <v>45555.0</v>
      </c>
      <c r="O403" s="174">
        <v>1902.0</v>
      </c>
      <c r="P403" s="256">
        <f t="shared" si="4"/>
        <v>-0.03156822811</v>
      </c>
      <c r="Q403" s="154"/>
      <c r="R403" s="255">
        <v>45555.0</v>
      </c>
      <c r="S403" s="174">
        <v>27.13</v>
      </c>
      <c r="T403" s="256">
        <f t="shared" si="5"/>
        <v>-0.02304645301</v>
      </c>
      <c r="U403" s="154"/>
      <c r="V403" s="255">
        <v>45555.0</v>
      </c>
      <c r="W403" s="174">
        <v>1310.23</v>
      </c>
      <c r="X403" s="256">
        <f t="shared" si="6"/>
        <v>0.007473990973</v>
      </c>
      <c r="Y403" s="154"/>
      <c r="Z403" s="255">
        <v>45555.0</v>
      </c>
      <c r="AA403" s="174">
        <v>1638.65</v>
      </c>
      <c r="AB403" s="256">
        <f t="shared" si="7"/>
        <v>0.0005800818221</v>
      </c>
      <c r="AC403" s="154"/>
      <c r="AD403" s="255">
        <v>45555.0</v>
      </c>
      <c r="AE403" s="174">
        <v>11.12</v>
      </c>
      <c r="AF403" s="256">
        <f t="shared" si="8"/>
        <v>-0.005366726297</v>
      </c>
      <c r="AG403" s="257"/>
      <c r="AH403" s="255">
        <v>45555.0</v>
      </c>
      <c r="AI403" s="174">
        <v>365.35</v>
      </c>
      <c r="AJ403" s="256">
        <f t="shared" si="9"/>
        <v>0.01065006916</v>
      </c>
      <c r="AK403" s="257"/>
      <c r="AL403" s="255">
        <v>45555.0</v>
      </c>
      <c r="AM403" s="174">
        <v>5702.55</v>
      </c>
      <c r="AN403" s="256">
        <f t="shared" si="10"/>
        <v>-0.00194096933</v>
      </c>
      <c r="AO403" s="154"/>
      <c r="AP403" s="154"/>
    </row>
    <row r="404">
      <c r="A404" s="154"/>
      <c r="B404" s="255">
        <v>45554.0</v>
      </c>
      <c r="C404" s="174">
        <v>20.18</v>
      </c>
      <c r="D404" s="256">
        <f t="shared" si="1"/>
        <v>0.01051577366</v>
      </c>
      <c r="E404" s="154"/>
      <c r="F404" s="255">
        <v>45554.0</v>
      </c>
      <c r="G404" s="174">
        <v>11.9</v>
      </c>
      <c r="H404" s="256">
        <f t="shared" si="2"/>
        <v>0</v>
      </c>
      <c r="I404" s="154"/>
      <c r="J404" s="255">
        <v>45554.0</v>
      </c>
      <c r="K404" s="174">
        <v>17.76</v>
      </c>
      <c r="L404" s="256">
        <f t="shared" si="3"/>
        <v>-0.006711409396</v>
      </c>
      <c r="M404" s="154"/>
      <c r="N404" s="255">
        <v>45554.0</v>
      </c>
      <c r="O404" s="174">
        <v>1964.0</v>
      </c>
      <c r="P404" s="256">
        <f t="shared" si="4"/>
        <v>0.02612330199</v>
      </c>
      <c r="Q404" s="154"/>
      <c r="R404" s="255">
        <v>45554.0</v>
      </c>
      <c r="S404" s="174">
        <v>27.77</v>
      </c>
      <c r="T404" s="256">
        <f t="shared" si="5"/>
        <v>-0.01384943182</v>
      </c>
      <c r="U404" s="154"/>
      <c r="V404" s="255">
        <v>45554.0</v>
      </c>
      <c r="W404" s="174">
        <v>1300.51</v>
      </c>
      <c r="X404" s="256">
        <f t="shared" si="6"/>
        <v>-0.009934833582</v>
      </c>
      <c r="Y404" s="154"/>
      <c r="Z404" s="255">
        <v>45554.0</v>
      </c>
      <c r="AA404" s="174">
        <v>1637.7</v>
      </c>
      <c r="AB404" s="256">
        <f t="shared" si="7"/>
        <v>-0.008416081376</v>
      </c>
      <c r="AC404" s="154"/>
      <c r="AD404" s="255">
        <v>45554.0</v>
      </c>
      <c r="AE404" s="174">
        <v>11.18</v>
      </c>
      <c r="AF404" s="256">
        <f t="shared" si="8"/>
        <v>0.009936766034</v>
      </c>
      <c r="AG404" s="257"/>
      <c r="AH404" s="255">
        <v>45554.0</v>
      </c>
      <c r="AI404" s="174">
        <v>361.5</v>
      </c>
      <c r="AJ404" s="256">
        <f t="shared" si="9"/>
        <v>-0.00591227829</v>
      </c>
      <c r="AK404" s="257"/>
      <c r="AL404" s="255">
        <v>45554.0</v>
      </c>
      <c r="AM404" s="174">
        <v>5713.64</v>
      </c>
      <c r="AN404" s="256">
        <f t="shared" si="10"/>
        <v>0.01697678641</v>
      </c>
      <c r="AO404" s="154"/>
      <c r="AP404" s="154"/>
    </row>
    <row r="405">
      <c r="A405" s="154"/>
      <c r="B405" s="255">
        <v>45553.0</v>
      </c>
      <c r="C405" s="174">
        <v>19.97</v>
      </c>
      <c r="D405" s="256">
        <f t="shared" si="1"/>
        <v>-0.02822384428</v>
      </c>
      <c r="E405" s="154"/>
      <c r="F405" s="255">
        <v>45553.0</v>
      </c>
      <c r="G405" s="174">
        <v>11.9</v>
      </c>
      <c r="H405" s="256">
        <f t="shared" si="2"/>
        <v>0.006768189509</v>
      </c>
      <c r="I405" s="154"/>
      <c r="J405" s="255">
        <v>45553.0</v>
      </c>
      <c r="K405" s="174">
        <v>17.88</v>
      </c>
      <c r="L405" s="256">
        <f t="shared" si="3"/>
        <v>0.001680672269</v>
      </c>
      <c r="M405" s="154"/>
      <c r="N405" s="255">
        <v>45553.0</v>
      </c>
      <c r="O405" s="174">
        <v>1914.0</v>
      </c>
      <c r="P405" s="256">
        <f t="shared" si="4"/>
        <v>-0.0005221932115</v>
      </c>
      <c r="Q405" s="154"/>
      <c r="R405" s="255">
        <v>45553.0</v>
      </c>
      <c r="S405" s="174">
        <v>28.16</v>
      </c>
      <c r="T405" s="256">
        <f t="shared" si="5"/>
        <v>0.004996431121</v>
      </c>
      <c r="U405" s="154"/>
      <c r="V405" s="255">
        <v>45553.0</v>
      </c>
      <c r="W405" s="174">
        <v>1313.56</v>
      </c>
      <c r="X405" s="256">
        <f t="shared" si="6"/>
        <v>-0.009628071445</v>
      </c>
      <c r="Y405" s="154"/>
      <c r="Z405" s="255">
        <v>45553.0</v>
      </c>
      <c r="AA405" s="174">
        <v>1651.6</v>
      </c>
      <c r="AB405" s="256">
        <f t="shared" si="7"/>
        <v>-0.01208278502</v>
      </c>
      <c r="AC405" s="154"/>
      <c r="AD405" s="255">
        <v>45553.0</v>
      </c>
      <c r="AE405" s="174">
        <v>11.07</v>
      </c>
      <c r="AF405" s="256">
        <f t="shared" si="8"/>
        <v>0.005449591281</v>
      </c>
      <c r="AG405" s="257"/>
      <c r="AH405" s="255">
        <v>45553.0</v>
      </c>
      <c r="AI405" s="174">
        <v>363.65</v>
      </c>
      <c r="AJ405" s="256">
        <f t="shared" si="9"/>
        <v>-0.03245975788</v>
      </c>
      <c r="AK405" s="257"/>
      <c r="AL405" s="255">
        <v>45553.0</v>
      </c>
      <c r="AM405" s="174">
        <v>5618.26</v>
      </c>
      <c r="AN405" s="256">
        <f t="shared" si="10"/>
        <v>-0.002896400442</v>
      </c>
      <c r="AO405" s="154"/>
      <c r="AP405" s="154"/>
    </row>
    <row r="406">
      <c r="A406" s="154"/>
      <c r="B406" s="255">
        <v>45552.0</v>
      </c>
      <c r="C406" s="174">
        <v>20.55</v>
      </c>
      <c r="D406" s="256">
        <f t="shared" si="1"/>
        <v>-0.0158045977</v>
      </c>
      <c r="E406" s="154"/>
      <c r="F406" s="255">
        <v>45552.0</v>
      </c>
      <c r="G406" s="174">
        <v>11.82</v>
      </c>
      <c r="H406" s="256">
        <f t="shared" si="2"/>
        <v>0.0008467400508</v>
      </c>
      <c r="I406" s="154"/>
      <c r="J406" s="255">
        <v>45552.0</v>
      </c>
      <c r="K406" s="174">
        <v>17.85</v>
      </c>
      <c r="L406" s="256">
        <f t="shared" si="3"/>
        <v>-0.01217487548</v>
      </c>
      <c r="M406" s="154"/>
      <c r="N406" s="255">
        <v>45552.0</v>
      </c>
      <c r="O406" s="174">
        <v>1915.0</v>
      </c>
      <c r="P406" s="256">
        <f t="shared" si="4"/>
        <v>-0.01945724526</v>
      </c>
      <c r="Q406" s="154"/>
      <c r="R406" s="255">
        <v>45552.0</v>
      </c>
      <c r="S406" s="174">
        <v>28.02</v>
      </c>
      <c r="T406" s="256">
        <f t="shared" si="5"/>
        <v>-0.006735200284</v>
      </c>
      <c r="U406" s="154"/>
      <c r="V406" s="255">
        <v>45552.0</v>
      </c>
      <c r="W406" s="174">
        <v>1326.33</v>
      </c>
      <c r="X406" s="256">
        <f t="shared" si="6"/>
        <v>-0.002324321885</v>
      </c>
      <c r="Y406" s="154"/>
      <c r="Z406" s="255">
        <v>45552.0</v>
      </c>
      <c r="AA406" s="174">
        <v>1671.8</v>
      </c>
      <c r="AB406" s="256">
        <f t="shared" si="7"/>
        <v>0.007472580451</v>
      </c>
      <c r="AC406" s="154"/>
      <c r="AD406" s="255">
        <v>45552.0</v>
      </c>
      <c r="AE406" s="174">
        <v>11.01</v>
      </c>
      <c r="AF406" s="256">
        <f t="shared" si="8"/>
        <v>0.01194852941</v>
      </c>
      <c r="AG406" s="257"/>
      <c r="AH406" s="255">
        <v>45552.0</v>
      </c>
      <c r="AI406" s="174">
        <v>375.85</v>
      </c>
      <c r="AJ406" s="256">
        <f t="shared" si="9"/>
        <v>-0.03923824131</v>
      </c>
      <c r="AK406" s="257"/>
      <c r="AL406" s="255">
        <v>45552.0</v>
      </c>
      <c r="AM406" s="174">
        <v>5634.58</v>
      </c>
      <c r="AN406" s="256">
        <f t="shared" si="10"/>
        <v>0.0002645084669</v>
      </c>
      <c r="AO406" s="154"/>
      <c r="AP406" s="154"/>
    </row>
    <row r="407">
      <c r="A407" s="154"/>
      <c r="B407" s="255">
        <v>45551.0</v>
      </c>
      <c r="C407" s="174">
        <v>20.88</v>
      </c>
      <c r="D407" s="256">
        <f t="shared" si="1"/>
        <v>0.02002931119</v>
      </c>
      <c r="E407" s="154"/>
      <c r="F407" s="255">
        <v>45551.0</v>
      </c>
      <c r="G407" s="174">
        <v>11.81</v>
      </c>
      <c r="H407" s="256">
        <f t="shared" si="2"/>
        <v>0.012864494</v>
      </c>
      <c r="I407" s="154"/>
      <c r="J407" s="255">
        <v>45551.0</v>
      </c>
      <c r="K407" s="174">
        <v>18.07</v>
      </c>
      <c r="L407" s="256">
        <f t="shared" si="3"/>
        <v>-0.01846822379</v>
      </c>
      <c r="M407" s="154"/>
      <c r="N407" s="255">
        <v>45551.0</v>
      </c>
      <c r="O407" s="174">
        <v>1953.0</v>
      </c>
      <c r="P407" s="256">
        <f t="shared" si="4"/>
        <v>0.008780991736</v>
      </c>
      <c r="Q407" s="154"/>
      <c r="R407" s="255">
        <v>45551.0</v>
      </c>
      <c r="S407" s="174">
        <v>28.21</v>
      </c>
      <c r="T407" s="256">
        <f t="shared" si="5"/>
        <v>0.01657657658</v>
      </c>
      <c r="U407" s="154"/>
      <c r="V407" s="255">
        <v>45551.0</v>
      </c>
      <c r="W407" s="174">
        <v>1329.42</v>
      </c>
      <c r="X407" s="256">
        <f t="shared" si="6"/>
        <v>-0.002041827436</v>
      </c>
      <c r="Y407" s="154"/>
      <c r="Z407" s="255">
        <v>45551.0</v>
      </c>
      <c r="AA407" s="174">
        <v>1659.4</v>
      </c>
      <c r="AB407" s="256">
        <f t="shared" si="7"/>
        <v>-0.0001807555582</v>
      </c>
      <c r="AC407" s="154"/>
      <c r="AD407" s="255">
        <v>45551.0</v>
      </c>
      <c r="AE407" s="174">
        <v>10.88</v>
      </c>
      <c r="AF407" s="256">
        <f t="shared" si="8"/>
        <v>0.006475485661</v>
      </c>
      <c r="AG407" s="257"/>
      <c r="AH407" s="255">
        <v>45551.0</v>
      </c>
      <c r="AI407" s="174">
        <v>391.2</v>
      </c>
      <c r="AJ407" s="256">
        <f t="shared" si="9"/>
        <v>0.0323261644</v>
      </c>
      <c r="AK407" s="257"/>
      <c r="AL407" s="255">
        <v>45551.0</v>
      </c>
      <c r="AM407" s="174">
        <v>5633.09</v>
      </c>
      <c r="AN407" s="256">
        <f t="shared" si="10"/>
        <v>0.001256661014</v>
      </c>
      <c r="AO407" s="154"/>
      <c r="AP407" s="154"/>
    </row>
    <row r="408">
      <c r="A408" s="154"/>
      <c r="B408" s="255">
        <v>45548.0</v>
      </c>
      <c r="C408" s="174">
        <v>20.47</v>
      </c>
      <c r="D408" s="256">
        <f t="shared" si="1"/>
        <v>0.008871365205</v>
      </c>
      <c r="E408" s="154"/>
      <c r="F408" s="255">
        <v>45548.0</v>
      </c>
      <c r="G408" s="174">
        <v>11.66</v>
      </c>
      <c r="H408" s="256">
        <f t="shared" si="2"/>
        <v>-0.007659574468</v>
      </c>
      <c r="I408" s="154"/>
      <c r="J408" s="255">
        <v>45548.0</v>
      </c>
      <c r="K408" s="174">
        <v>18.41</v>
      </c>
      <c r="L408" s="256">
        <f t="shared" si="3"/>
        <v>0.0222098834</v>
      </c>
      <c r="M408" s="154"/>
      <c r="N408" s="255">
        <v>45548.0</v>
      </c>
      <c r="O408" s="174">
        <v>1936.0</v>
      </c>
      <c r="P408" s="256">
        <f t="shared" si="4"/>
        <v>0.00310880829</v>
      </c>
      <c r="Q408" s="154"/>
      <c r="R408" s="255">
        <v>45548.0</v>
      </c>
      <c r="S408" s="174">
        <v>27.75</v>
      </c>
      <c r="T408" s="256">
        <f t="shared" si="5"/>
        <v>0.02247605011</v>
      </c>
      <c r="U408" s="154"/>
      <c r="V408" s="255">
        <v>45548.0</v>
      </c>
      <c r="W408" s="174">
        <v>1332.14</v>
      </c>
      <c r="X408" s="256">
        <f t="shared" si="6"/>
        <v>-0.003463572642</v>
      </c>
      <c r="Y408" s="154"/>
      <c r="Z408" s="255">
        <v>45548.0</v>
      </c>
      <c r="AA408" s="174">
        <v>1659.7</v>
      </c>
      <c r="AB408" s="256">
        <f t="shared" si="7"/>
        <v>0.001478352693</v>
      </c>
      <c r="AC408" s="154"/>
      <c r="AD408" s="255">
        <v>45548.0</v>
      </c>
      <c r="AE408" s="174">
        <v>10.81</v>
      </c>
      <c r="AF408" s="256">
        <f t="shared" si="8"/>
        <v>0.0009259259259</v>
      </c>
      <c r="AG408" s="257"/>
      <c r="AH408" s="255">
        <v>45548.0</v>
      </c>
      <c r="AI408" s="174">
        <v>378.95</v>
      </c>
      <c r="AJ408" s="256">
        <f t="shared" si="9"/>
        <v>0.006240042485</v>
      </c>
      <c r="AK408" s="257"/>
      <c r="AL408" s="255">
        <v>45548.0</v>
      </c>
      <c r="AM408" s="174">
        <v>5626.02</v>
      </c>
      <c r="AN408" s="256">
        <f t="shared" si="10"/>
        <v>0.005407665804</v>
      </c>
      <c r="AO408" s="154"/>
      <c r="AP408" s="154"/>
    </row>
    <row r="409">
      <c r="A409" s="154"/>
      <c r="B409" s="255">
        <v>45547.0</v>
      </c>
      <c r="C409" s="174">
        <v>20.29</v>
      </c>
      <c r="D409" s="256">
        <f t="shared" si="1"/>
        <v>0.006448412698</v>
      </c>
      <c r="E409" s="154"/>
      <c r="F409" s="255">
        <v>45547.0</v>
      </c>
      <c r="G409" s="174">
        <v>11.75</v>
      </c>
      <c r="H409" s="256">
        <f t="shared" si="2"/>
        <v>0.03615520282</v>
      </c>
      <c r="I409" s="154"/>
      <c r="J409" s="255">
        <v>45547.0</v>
      </c>
      <c r="K409" s="174">
        <v>18.01</v>
      </c>
      <c r="L409" s="256">
        <f t="shared" si="3"/>
        <v>0.002783964365</v>
      </c>
      <c r="M409" s="154"/>
      <c r="N409" s="255">
        <v>45547.0</v>
      </c>
      <c r="O409" s="174">
        <v>1930.0</v>
      </c>
      <c r="P409" s="256">
        <f t="shared" si="4"/>
        <v>-0.001035196687</v>
      </c>
      <c r="Q409" s="154"/>
      <c r="R409" s="255">
        <v>45547.0</v>
      </c>
      <c r="S409" s="174">
        <v>27.14</v>
      </c>
      <c r="T409" s="256">
        <f t="shared" si="5"/>
        <v>0.01533857089</v>
      </c>
      <c r="U409" s="154"/>
      <c r="V409" s="255">
        <v>45547.0</v>
      </c>
      <c r="W409" s="174">
        <v>1336.77</v>
      </c>
      <c r="X409" s="256">
        <f t="shared" si="6"/>
        <v>0.01079017013</v>
      </c>
      <c r="Y409" s="154"/>
      <c r="Z409" s="255">
        <v>45547.0</v>
      </c>
      <c r="AA409" s="174">
        <v>1657.25</v>
      </c>
      <c r="AB409" s="256">
        <f t="shared" si="7"/>
        <v>0.01774802714</v>
      </c>
      <c r="AC409" s="154"/>
      <c r="AD409" s="255">
        <v>45547.0</v>
      </c>
      <c r="AE409" s="174">
        <v>10.8</v>
      </c>
      <c r="AF409" s="256">
        <f t="shared" si="8"/>
        <v>0.003717472119</v>
      </c>
      <c r="AG409" s="257"/>
      <c r="AH409" s="255">
        <v>45547.0</v>
      </c>
      <c r="AI409" s="174">
        <v>376.6</v>
      </c>
      <c r="AJ409" s="256">
        <f t="shared" si="9"/>
        <v>-0.02257980794</v>
      </c>
      <c r="AK409" s="257"/>
      <c r="AL409" s="255">
        <v>45547.0</v>
      </c>
      <c r="AM409" s="174">
        <v>5595.76</v>
      </c>
      <c r="AN409" s="256">
        <f t="shared" si="10"/>
        <v>0.0074953233</v>
      </c>
      <c r="AO409" s="154"/>
      <c r="AP409" s="154"/>
    </row>
    <row r="410">
      <c r="A410" s="154"/>
      <c r="B410" s="255">
        <v>45546.0</v>
      </c>
      <c r="C410" s="174">
        <v>20.16</v>
      </c>
      <c r="D410" s="256">
        <f t="shared" si="1"/>
        <v>0.003484320557</v>
      </c>
      <c r="E410" s="154"/>
      <c r="F410" s="255">
        <v>45546.0</v>
      </c>
      <c r="G410" s="174">
        <v>11.34</v>
      </c>
      <c r="H410" s="256">
        <f t="shared" si="2"/>
        <v>0.01521933751</v>
      </c>
      <c r="I410" s="154"/>
      <c r="J410" s="255">
        <v>45546.0</v>
      </c>
      <c r="K410" s="174">
        <v>17.96</v>
      </c>
      <c r="L410" s="256">
        <f t="shared" si="3"/>
        <v>0.02511415525</v>
      </c>
      <c r="M410" s="154"/>
      <c r="N410" s="255">
        <v>45546.0</v>
      </c>
      <c r="O410" s="174">
        <v>1932.0</v>
      </c>
      <c r="P410" s="256">
        <f t="shared" si="4"/>
        <v>0.007824726135</v>
      </c>
      <c r="Q410" s="154"/>
      <c r="R410" s="255">
        <v>45546.0</v>
      </c>
      <c r="S410" s="174">
        <v>26.73</v>
      </c>
      <c r="T410" s="256">
        <f t="shared" si="5"/>
        <v>-0.01546961326</v>
      </c>
      <c r="U410" s="154"/>
      <c r="V410" s="255">
        <v>45546.0</v>
      </c>
      <c r="W410" s="174">
        <v>1322.5</v>
      </c>
      <c r="X410" s="256">
        <f t="shared" si="6"/>
        <v>-0.005698905329</v>
      </c>
      <c r="Y410" s="154"/>
      <c r="Z410" s="255">
        <v>45546.0</v>
      </c>
      <c r="AA410" s="174">
        <v>1628.35</v>
      </c>
      <c r="AB410" s="256">
        <f t="shared" si="7"/>
        <v>-0.002236519608</v>
      </c>
      <c r="AC410" s="154"/>
      <c r="AD410" s="255">
        <v>45546.0</v>
      </c>
      <c r="AE410" s="174">
        <v>10.76</v>
      </c>
      <c r="AF410" s="256">
        <f t="shared" si="8"/>
        <v>-0.01465201465</v>
      </c>
      <c r="AG410" s="257"/>
      <c r="AH410" s="255">
        <v>45546.0</v>
      </c>
      <c r="AI410" s="174">
        <v>385.3</v>
      </c>
      <c r="AJ410" s="256">
        <f t="shared" si="9"/>
        <v>-0.003362648733</v>
      </c>
      <c r="AK410" s="257"/>
      <c r="AL410" s="255">
        <v>45546.0</v>
      </c>
      <c r="AM410" s="174">
        <v>5554.13</v>
      </c>
      <c r="AN410" s="256">
        <f t="shared" si="10"/>
        <v>0.01066505081</v>
      </c>
      <c r="AO410" s="154"/>
      <c r="AP410" s="154"/>
    </row>
    <row r="411">
      <c r="A411" s="154"/>
      <c r="B411" s="255">
        <v>45545.0</v>
      </c>
      <c r="C411" s="174">
        <v>20.09</v>
      </c>
      <c r="D411" s="256">
        <f t="shared" si="1"/>
        <v>-0.004459861249</v>
      </c>
      <c r="E411" s="154"/>
      <c r="F411" s="255">
        <v>45545.0</v>
      </c>
      <c r="G411" s="174">
        <v>11.17</v>
      </c>
      <c r="H411" s="256">
        <f t="shared" si="2"/>
        <v>0.003593890386</v>
      </c>
      <c r="I411" s="154"/>
      <c r="J411" s="255">
        <v>45545.0</v>
      </c>
      <c r="K411" s="174">
        <v>17.52</v>
      </c>
      <c r="L411" s="256">
        <f t="shared" si="3"/>
        <v>-0.01573033708</v>
      </c>
      <c r="M411" s="154"/>
      <c r="N411" s="255">
        <v>45545.0</v>
      </c>
      <c r="O411" s="174">
        <v>1917.0</v>
      </c>
      <c r="P411" s="256">
        <f t="shared" si="4"/>
        <v>-0.01388888889</v>
      </c>
      <c r="Q411" s="154"/>
      <c r="R411" s="255">
        <v>45545.0</v>
      </c>
      <c r="S411" s="174">
        <v>27.15</v>
      </c>
      <c r="T411" s="256">
        <f t="shared" si="5"/>
        <v>0.01990984222</v>
      </c>
      <c r="U411" s="154"/>
      <c r="V411" s="255">
        <v>45545.0</v>
      </c>
      <c r="W411" s="174">
        <v>1330.08</v>
      </c>
      <c r="X411" s="256">
        <f t="shared" si="6"/>
        <v>-0.0008263345303</v>
      </c>
      <c r="Y411" s="154"/>
      <c r="Z411" s="255">
        <v>45545.0</v>
      </c>
      <c r="AA411" s="174">
        <v>1632.0</v>
      </c>
      <c r="AB411" s="256">
        <f t="shared" si="7"/>
        <v>0.00731413758</v>
      </c>
      <c r="AC411" s="154"/>
      <c r="AD411" s="255">
        <v>45545.0</v>
      </c>
      <c r="AE411" s="174">
        <v>10.92</v>
      </c>
      <c r="AF411" s="256">
        <f t="shared" si="8"/>
        <v>-0.01621621622</v>
      </c>
      <c r="AG411" s="257"/>
      <c r="AH411" s="255">
        <v>45545.0</v>
      </c>
      <c r="AI411" s="174">
        <v>386.6</v>
      </c>
      <c r="AJ411" s="256">
        <f t="shared" si="9"/>
        <v>0.02383474576</v>
      </c>
      <c r="AK411" s="257"/>
      <c r="AL411" s="255">
        <v>45545.0</v>
      </c>
      <c r="AM411" s="174">
        <v>5495.52</v>
      </c>
      <c r="AN411" s="256">
        <f t="shared" si="10"/>
        <v>0.004472633224</v>
      </c>
      <c r="AO411" s="154"/>
      <c r="AP411" s="154"/>
    </row>
    <row r="412">
      <c r="A412" s="154"/>
      <c r="B412" s="255">
        <v>45544.0</v>
      </c>
      <c r="C412" s="174">
        <v>20.18</v>
      </c>
      <c r="D412" s="256">
        <f t="shared" si="1"/>
        <v>-0.01512933138</v>
      </c>
      <c r="E412" s="154"/>
      <c r="F412" s="255">
        <v>45544.0</v>
      </c>
      <c r="G412" s="174">
        <v>11.13</v>
      </c>
      <c r="H412" s="256">
        <f t="shared" si="2"/>
        <v>-0.01242236025</v>
      </c>
      <c r="I412" s="154"/>
      <c r="J412" s="255">
        <v>45544.0</v>
      </c>
      <c r="K412" s="174">
        <v>17.8</v>
      </c>
      <c r="L412" s="256">
        <f t="shared" si="3"/>
        <v>-0.01548672566</v>
      </c>
      <c r="M412" s="154"/>
      <c r="N412" s="255">
        <v>45544.0</v>
      </c>
      <c r="O412" s="174">
        <v>1944.0</v>
      </c>
      <c r="P412" s="256">
        <f t="shared" si="4"/>
        <v>-0.006134969325</v>
      </c>
      <c r="Q412" s="154"/>
      <c r="R412" s="255">
        <v>45544.0</v>
      </c>
      <c r="S412" s="174">
        <v>26.62</v>
      </c>
      <c r="T412" s="256">
        <f t="shared" si="5"/>
        <v>-0.03864210906</v>
      </c>
      <c r="U412" s="154"/>
      <c r="V412" s="255">
        <v>45544.0</v>
      </c>
      <c r="W412" s="174">
        <v>1331.18</v>
      </c>
      <c r="X412" s="256">
        <f t="shared" si="6"/>
        <v>-0.001687377665</v>
      </c>
      <c r="Y412" s="154"/>
      <c r="Z412" s="255">
        <v>45544.0</v>
      </c>
      <c r="AA412" s="174">
        <v>1620.15</v>
      </c>
      <c r="AB412" s="256">
        <f t="shared" si="7"/>
        <v>0.005648490115</v>
      </c>
      <c r="AC412" s="154"/>
      <c r="AD412" s="255">
        <v>45544.0</v>
      </c>
      <c r="AE412" s="174">
        <v>11.1</v>
      </c>
      <c r="AF412" s="256">
        <f t="shared" si="8"/>
        <v>0.001805054152</v>
      </c>
      <c r="AG412" s="257"/>
      <c r="AH412" s="255">
        <v>45544.0</v>
      </c>
      <c r="AI412" s="174">
        <v>377.6</v>
      </c>
      <c r="AJ412" s="256">
        <f t="shared" si="9"/>
        <v>0.01043617875</v>
      </c>
      <c r="AK412" s="257"/>
      <c r="AL412" s="255">
        <v>45544.0</v>
      </c>
      <c r="AM412" s="174">
        <v>5471.05</v>
      </c>
      <c r="AN412" s="256">
        <f t="shared" si="10"/>
        <v>0.01158009178</v>
      </c>
      <c r="AO412" s="154"/>
      <c r="AP412" s="154"/>
    </row>
    <row r="413">
      <c r="A413" s="154"/>
      <c r="B413" s="255">
        <v>45541.0</v>
      </c>
      <c r="C413" s="174">
        <v>20.49</v>
      </c>
      <c r="D413" s="256">
        <f t="shared" si="1"/>
        <v>-0.04073033708</v>
      </c>
      <c r="E413" s="154"/>
      <c r="F413" s="255">
        <v>45541.0</v>
      </c>
      <c r="G413" s="174">
        <v>11.27</v>
      </c>
      <c r="H413" s="256">
        <f t="shared" si="2"/>
        <v>-0.03427592117</v>
      </c>
      <c r="I413" s="154"/>
      <c r="J413" s="255">
        <v>45541.0</v>
      </c>
      <c r="K413" s="174">
        <v>18.08</v>
      </c>
      <c r="L413" s="256">
        <f t="shared" si="3"/>
        <v>-0.01899077591</v>
      </c>
      <c r="M413" s="154"/>
      <c r="N413" s="255">
        <v>45541.0</v>
      </c>
      <c r="O413" s="174">
        <v>1956.0</v>
      </c>
      <c r="P413" s="256">
        <f t="shared" si="4"/>
        <v>-0.01807228916</v>
      </c>
      <c r="Q413" s="154"/>
      <c r="R413" s="255">
        <v>45541.0</v>
      </c>
      <c r="S413" s="174">
        <v>27.69</v>
      </c>
      <c r="T413" s="256">
        <f t="shared" si="5"/>
        <v>-0.01738821859</v>
      </c>
      <c r="U413" s="154"/>
      <c r="V413" s="255">
        <v>45541.0</v>
      </c>
      <c r="W413" s="174">
        <v>1333.43</v>
      </c>
      <c r="X413" s="256">
        <f t="shared" si="6"/>
        <v>-0.004271366165</v>
      </c>
      <c r="Y413" s="154"/>
      <c r="Z413" s="255">
        <v>45541.0</v>
      </c>
      <c r="AA413" s="174">
        <v>1611.05</v>
      </c>
      <c r="AB413" s="256">
        <f t="shared" si="7"/>
        <v>-0.01025956074</v>
      </c>
      <c r="AC413" s="154"/>
      <c r="AD413" s="255">
        <v>45541.0</v>
      </c>
      <c r="AE413" s="174">
        <v>11.08</v>
      </c>
      <c r="AF413" s="256">
        <f t="shared" si="8"/>
        <v>-0.02378854626</v>
      </c>
      <c r="AG413" s="257"/>
      <c r="AH413" s="255">
        <v>45541.0</v>
      </c>
      <c r="AI413" s="174">
        <v>373.7</v>
      </c>
      <c r="AJ413" s="256">
        <f t="shared" si="9"/>
        <v>-0.02389969962</v>
      </c>
      <c r="AK413" s="257"/>
      <c r="AL413" s="255">
        <v>45541.0</v>
      </c>
      <c r="AM413" s="174">
        <v>5408.42</v>
      </c>
      <c r="AN413" s="256">
        <f t="shared" si="10"/>
        <v>-0.01726020776</v>
      </c>
      <c r="AO413" s="154"/>
      <c r="AP413" s="154"/>
    </row>
    <row r="414">
      <c r="A414" s="154"/>
      <c r="B414" s="255">
        <v>45540.0</v>
      </c>
      <c r="C414" s="174">
        <v>21.36</v>
      </c>
      <c r="D414" s="256">
        <f t="shared" si="1"/>
        <v>-0.03870387039</v>
      </c>
      <c r="E414" s="154"/>
      <c r="F414" s="255">
        <v>45540.0</v>
      </c>
      <c r="G414" s="174">
        <v>11.67</v>
      </c>
      <c r="H414" s="256">
        <f t="shared" si="2"/>
        <v>-0.009337860781</v>
      </c>
      <c r="I414" s="154"/>
      <c r="J414" s="255">
        <v>45540.0</v>
      </c>
      <c r="K414" s="174">
        <v>18.43</v>
      </c>
      <c r="L414" s="256">
        <f t="shared" si="3"/>
        <v>-0.0279535865</v>
      </c>
      <c r="M414" s="154"/>
      <c r="N414" s="255">
        <v>45540.0</v>
      </c>
      <c r="O414" s="174">
        <v>1992.0</v>
      </c>
      <c r="P414" s="256">
        <f t="shared" si="4"/>
        <v>0.007587253414</v>
      </c>
      <c r="Q414" s="154"/>
      <c r="R414" s="255">
        <v>45540.0</v>
      </c>
      <c r="S414" s="174">
        <v>28.18</v>
      </c>
      <c r="T414" s="256">
        <f t="shared" si="5"/>
        <v>-0.01088101088</v>
      </c>
      <c r="U414" s="154"/>
      <c r="V414" s="255">
        <v>45540.0</v>
      </c>
      <c r="W414" s="174">
        <v>1339.15</v>
      </c>
      <c r="X414" s="256">
        <f t="shared" si="6"/>
        <v>-0.01347389203</v>
      </c>
      <c r="Y414" s="154"/>
      <c r="Z414" s="255">
        <v>45540.0</v>
      </c>
      <c r="AA414" s="174">
        <v>1627.75</v>
      </c>
      <c r="AB414" s="256">
        <f t="shared" si="7"/>
        <v>-0.01461952903</v>
      </c>
      <c r="AC414" s="154"/>
      <c r="AD414" s="255">
        <v>45540.0</v>
      </c>
      <c r="AE414" s="174">
        <v>11.35</v>
      </c>
      <c r="AF414" s="256">
        <f t="shared" si="8"/>
        <v>0</v>
      </c>
      <c r="AG414" s="257"/>
      <c r="AH414" s="255">
        <v>45540.0</v>
      </c>
      <c r="AI414" s="174">
        <v>382.85</v>
      </c>
      <c r="AJ414" s="256">
        <f t="shared" si="9"/>
        <v>0.009093305219</v>
      </c>
      <c r="AK414" s="257"/>
      <c r="AL414" s="255">
        <v>45540.0</v>
      </c>
      <c r="AM414" s="174">
        <v>5503.41</v>
      </c>
      <c r="AN414" s="256">
        <f t="shared" si="10"/>
        <v>-0.003018077669</v>
      </c>
      <c r="AO414" s="154"/>
      <c r="AP414" s="154"/>
    </row>
    <row r="415">
      <c r="A415" s="154"/>
      <c r="B415" s="255">
        <v>45539.0</v>
      </c>
      <c r="C415" s="174">
        <v>22.22</v>
      </c>
      <c r="D415" s="256">
        <f t="shared" si="1"/>
        <v>0.00634057971</v>
      </c>
      <c r="E415" s="154"/>
      <c r="F415" s="255">
        <v>45539.0</v>
      </c>
      <c r="G415" s="174">
        <v>11.78</v>
      </c>
      <c r="H415" s="256">
        <f t="shared" si="2"/>
        <v>-0.009251471825</v>
      </c>
      <c r="I415" s="154"/>
      <c r="J415" s="255">
        <v>45539.0</v>
      </c>
      <c r="K415" s="174">
        <v>18.96</v>
      </c>
      <c r="L415" s="256">
        <f t="shared" si="3"/>
        <v>0.02375809935</v>
      </c>
      <c r="M415" s="154"/>
      <c r="N415" s="255">
        <v>45539.0</v>
      </c>
      <c r="O415" s="174">
        <v>1977.0</v>
      </c>
      <c r="P415" s="256">
        <f t="shared" si="4"/>
        <v>0.008159102499</v>
      </c>
      <c r="Q415" s="154"/>
      <c r="R415" s="255">
        <v>45539.0</v>
      </c>
      <c r="S415" s="174">
        <v>28.49</v>
      </c>
      <c r="T415" s="256">
        <f t="shared" si="5"/>
        <v>-0.002800140007</v>
      </c>
      <c r="U415" s="154"/>
      <c r="V415" s="255">
        <v>45539.0</v>
      </c>
      <c r="W415" s="174">
        <v>1357.44</v>
      </c>
      <c r="X415" s="256">
        <f t="shared" si="6"/>
        <v>-0.009724461434</v>
      </c>
      <c r="Y415" s="154"/>
      <c r="Z415" s="255">
        <v>45539.0</v>
      </c>
      <c r="AA415" s="174">
        <v>1651.9</v>
      </c>
      <c r="AB415" s="256">
        <f t="shared" si="7"/>
        <v>-0.0007863537382</v>
      </c>
      <c r="AC415" s="154"/>
      <c r="AD415" s="255">
        <v>45539.0</v>
      </c>
      <c r="AE415" s="174">
        <v>11.35</v>
      </c>
      <c r="AF415" s="256">
        <f t="shared" si="8"/>
        <v>0</v>
      </c>
      <c r="AG415" s="257"/>
      <c r="AH415" s="255">
        <v>45539.0</v>
      </c>
      <c r="AI415" s="174">
        <v>379.4</v>
      </c>
      <c r="AJ415" s="256">
        <f t="shared" si="9"/>
        <v>0.04835589942</v>
      </c>
      <c r="AK415" s="257"/>
      <c r="AL415" s="255">
        <v>45539.0</v>
      </c>
      <c r="AM415" s="174">
        <v>5520.07</v>
      </c>
      <c r="AN415" s="256">
        <f t="shared" si="10"/>
        <v>-0.001602480046</v>
      </c>
      <c r="AO415" s="154"/>
      <c r="AP415" s="154"/>
    </row>
    <row r="416">
      <c r="A416" s="154"/>
      <c r="B416" s="255">
        <v>45538.0</v>
      </c>
      <c r="C416" s="174">
        <v>22.08</v>
      </c>
      <c r="D416" s="256">
        <f t="shared" si="1"/>
        <v>-0.01208053691</v>
      </c>
      <c r="E416" s="154"/>
      <c r="F416" s="255">
        <v>45538.0</v>
      </c>
      <c r="G416" s="174">
        <v>11.89</v>
      </c>
      <c r="H416" s="256">
        <f t="shared" si="2"/>
        <v>-0.01572847682</v>
      </c>
      <c r="I416" s="154"/>
      <c r="J416" s="255">
        <v>45538.0</v>
      </c>
      <c r="K416" s="174">
        <v>18.52</v>
      </c>
      <c r="L416" s="256">
        <f t="shared" si="3"/>
        <v>-0.01854795972</v>
      </c>
      <c r="M416" s="154"/>
      <c r="N416" s="255">
        <v>45538.0</v>
      </c>
      <c r="O416" s="174">
        <v>1961.0</v>
      </c>
      <c r="P416" s="256">
        <f t="shared" si="4"/>
        <v>-0.006585612969</v>
      </c>
      <c r="Q416" s="154"/>
      <c r="R416" s="255">
        <v>45538.0</v>
      </c>
      <c r="S416" s="174">
        <v>28.57</v>
      </c>
      <c r="T416" s="256">
        <f t="shared" si="5"/>
        <v>-0.01821305842</v>
      </c>
      <c r="U416" s="154"/>
      <c r="V416" s="255">
        <v>45538.0</v>
      </c>
      <c r="W416" s="174">
        <v>1370.77</v>
      </c>
      <c r="X416" s="256">
        <f t="shared" si="6"/>
        <v>-0.02524408542</v>
      </c>
      <c r="Y416" s="154"/>
      <c r="Z416" s="255">
        <v>45538.0</v>
      </c>
      <c r="AA416" s="174">
        <v>1653.2</v>
      </c>
      <c r="AB416" s="256">
        <f t="shared" si="7"/>
        <v>-0.001027252402</v>
      </c>
      <c r="AC416" s="154"/>
      <c r="AD416" s="255">
        <v>45538.0</v>
      </c>
      <c r="AE416" s="174">
        <v>11.35</v>
      </c>
      <c r="AF416" s="256">
        <f t="shared" si="8"/>
        <v>-0.02825342466</v>
      </c>
      <c r="AG416" s="257"/>
      <c r="AH416" s="255">
        <v>45538.0</v>
      </c>
      <c r="AI416" s="174">
        <v>361.9</v>
      </c>
      <c r="AJ416" s="256">
        <f t="shared" si="9"/>
        <v>0.007797270955</v>
      </c>
      <c r="AK416" s="257"/>
      <c r="AL416" s="255">
        <v>45538.0</v>
      </c>
      <c r="AM416" s="174">
        <v>5528.93</v>
      </c>
      <c r="AN416" s="256">
        <f t="shared" si="10"/>
        <v>-0.02115112244</v>
      </c>
      <c r="AO416" s="154"/>
      <c r="AP416" s="154"/>
    </row>
    <row r="417">
      <c r="A417" s="154"/>
      <c r="B417" s="255">
        <v>45534.0</v>
      </c>
      <c r="C417" s="174">
        <v>22.35</v>
      </c>
      <c r="D417" s="256">
        <f t="shared" si="1"/>
        <v>0.001792917974</v>
      </c>
      <c r="E417" s="154"/>
      <c r="F417" s="255">
        <v>45534.0</v>
      </c>
      <c r="G417" s="174">
        <v>12.08</v>
      </c>
      <c r="H417" s="256">
        <f t="shared" si="2"/>
        <v>0.01597981497</v>
      </c>
      <c r="I417" s="154"/>
      <c r="J417" s="255">
        <v>45534.0</v>
      </c>
      <c r="K417" s="174">
        <v>18.87</v>
      </c>
      <c r="L417" s="256">
        <f t="shared" si="3"/>
        <v>0.007474639616</v>
      </c>
      <c r="M417" s="154"/>
      <c r="N417" s="255">
        <v>45537.0</v>
      </c>
      <c r="O417" s="174">
        <v>1974.0</v>
      </c>
      <c r="P417" s="256">
        <f t="shared" si="4"/>
        <v>-0.004538577912</v>
      </c>
      <c r="Q417" s="154"/>
      <c r="R417" s="255">
        <v>45534.0</v>
      </c>
      <c r="S417" s="174">
        <v>29.1</v>
      </c>
      <c r="T417" s="256">
        <f t="shared" si="5"/>
        <v>0.003448275862</v>
      </c>
      <c r="U417" s="154"/>
      <c r="V417" s="255">
        <v>45534.0</v>
      </c>
      <c r="W417" s="174">
        <v>1406.27</v>
      </c>
      <c r="X417" s="256">
        <f t="shared" si="6"/>
        <v>0.01445647548</v>
      </c>
      <c r="Y417" s="154"/>
      <c r="Z417" s="255">
        <v>45534.0</v>
      </c>
      <c r="AA417" s="174">
        <v>1654.9</v>
      </c>
      <c r="AB417" s="256">
        <f t="shared" si="7"/>
        <v>0.02245837324</v>
      </c>
      <c r="AC417" s="154"/>
      <c r="AD417" s="255">
        <v>45534.0</v>
      </c>
      <c r="AE417" s="174">
        <v>11.68</v>
      </c>
      <c r="AF417" s="256">
        <f t="shared" si="8"/>
        <v>0.002575107296</v>
      </c>
      <c r="AG417" s="257"/>
      <c r="AH417" s="255">
        <v>45534.0</v>
      </c>
      <c r="AI417" s="174">
        <v>359.1</v>
      </c>
      <c r="AJ417" s="256">
        <f t="shared" si="9"/>
        <v>0.01026867351</v>
      </c>
      <c r="AK417" s="257"/>
      <c r="AL417" s="255">
        <v>45534.0</v>
      </c>
      <c r="AM417" s="174">
        <v>5648.4</v>
      </c>
      <c r="AN417" s="256">
        <f t="shared" si="10"/>
        <v>0.01009306218</v>
      </c>
      <c r="AO417" s="154"/>
      <c r="AP417" s="154"/>
    </row>
    <row r="418">
      <c r="A418" s="154"/>
      <c r="B418" s="255">
        <v>45533.0</v>
      </c>
      <c r="C418" s="174">
        <v>22.31</v>
      </c>
      <c r="D418" s="256">
        <f t="shared" si="1"/>
        <v>-0.007120605251</v>
      </c>
      <c r="E418" s="154"/>
      <c r="F418" s="255">
        <v>45533.0</v>
      </c>
      <c r="G418" s="174">
        <v>11.89</v>
      </c>
      <c r="H418" s="256">
        <f t="shared" si="2"/>
        <v>-0.0008403361345</v>
      </c>
      <c r="I418" s="154"/>
      <c r="J418" s="255">
        <v>45533.0</v>
      </c>
      <c r="K418" s="174">
        <v>18.73</v>
      </c>
      <c r="L418" s="256">
        <f t="shared" si="3"/>
        <v>0.009159482759</v>
      </c>
      <c r="M418" s="154"/>
      <c r="N418" s="255">
        <v>45534.0</v>
      </c>
      <c r="O418" s="174">
        <v>1983.0</v>
      </c>
      <c r="P418" s="256">
        <f t="shared" si="4"/>
        <v>-0.005017561465</v>
      </c>
      <c r="Q418" s="154"/>
      <c r="R418" s="255">
        <v>45533.0</v>
      </c>
      <c r="S418" s="174">
        <v>29.0</v>
      </c>
      <c r="T418" s="256">
        <f t="shared" si="5"/>
        <v>-0.007868628122</v>
      </c>
      <c r="U418" s="154"/>
      <c r="V418" s="255">
        <v>45533.0</v>
      </c>
      <c r="W418" s="174">
        <v>1386.23</v>
      </c>
      <c r="X418" s="256">
        <f t="shared" si="6"/>
        <v>-0.009736687955</v>
      </c>
      <c r="Y418" s="154"/>
      <c r="Z418" s="255">
        <v>45533.0</v>
      </c>
      <c r="AA418" s="174">
        <v>1618.55</v>
      </c>
      <c r="AB418" s="256">
        <f t="shared" si="7"/>
        <v>0.0002162897046</v>
      </c>
      <c r="AC418" s="154"/>
      <c r="AD418" s="255">
        <v>45533.0</v>
      </c>
      <c r="AE418" s="174">
        <v>11.65</v>
      </c>
      <c r="AF418" s="256">
        <f t="shared" si="8"/>
        <v>0</v>
      </c>
      <c r="AG418" s="257"/>
      <c r="AH418" s="255">
        <v>45533.0</v>
      </c>
      <c r="AI418" s="174">
        <v>355.45</v>
      </c>
      <c r="AJ418" s="256">
        <f t="shared" si="9"/>
        <v>-0.003504345388</v>
      </c>
      <c r="AK418" s="257"/>
      <c r="AL418" s="255">
        <v>45533.0</v>
      </c>
      <c r="AM418" s="174">
        <v>5591.96</v>
      </c>
      <c r="AN418" s="256">
        <f t="shared" si="10"/>
        <v>-0.00003934065069</v>
      </c>
      <c r="AO418" s="154"/>
      <c r="AP418" s="154"/>
    </row>
    <row r="419">
      <c r="A419" s="154"/>
      <c r="B419" s="255">
        <v>45532.0</v>
      </c>
      <c r="C419" s="174">
        <v>22.47</v>
      </c>
      <c r="D419" s="256">
        <f t="shared" si="1"/>
        <v>0.002677376171</v>
      </c>
      <c r="E419" s="154"/>
      <c r="F419" s="255">
        <v>45532.0</v>
      </c>
      <c r="G419" s="174">
        <v>11.9</v>
      </c>
      <c r="H419" s="256">
        <f t="shared" si="2"/>
        <v>0.01796407186</v>
      </c>
      <c r="I419" s="154"/>
      <c r="J419" s="255">
        <v>45532.0</v>
      </c>
      <c r="K419" s="174">
        <v>18.56</v>
      </c>
      <c r="L419" s="256">
        <f t="shared" si="3"/>
        <v>-0.01066098081</v>
      </c>
      <c r="M419" s="154"/>
      <c r="N419" s="255">
        <v>45533.0</v>
      </c>
      <c r="O419" s="174">
        <v>1993.0</v>
      </c>
      <c r="P419" s="256">
        <f t="shared" si="4"/>
        <v>0.001507537688</v>
      </c>
      <c r="Q419" s="154"/>
      <c r="R419" s="255">
        <v>45532.0</v>
      </c>
      <c r="S419" s="174">
        <v>29.23</v>
      </c>
      <c r="T419" s="256">
        <f t="shared" si="5"/>
        <v>-0.001366586949</v>
      </c>
      <c r="U419" s="154"/>
      <c r="V419" s="255">
        <v>45532.0</v>
      </c>
      <c r="W419" s="174">
        <v>1399.86</v>
      </c>
      <c r="X419" s="256">
        <f t="shared" si="6"/>
        <v>0.005220488442</v>
      </c>
      <c r="Y419" s="154"/>
      <c r="Z419" s="255">
        <v>45532.0</v>
      </c>
      <c r="AA419" s="174">
        <v>1618.2</v>
      </c>
      <c r="AB419" s="256">
        <f t="shared" si="7"/>
        <v>0.01260911736</v>
      </c>
      <c r="AC419" s="154"/>
      <c r="AD419" s="255">
        <v>45532.0</v>
      </c>
      <c r="AE419" s="174">
        <v>11.65</v>
      </c>
      <c r="AF419" s="256">
        <f t="shared" si="8"/>
        <v>-0.006820119352</v>
      </c>
      <c r="AG419" s="257"/>
      <c r="AH419" s="255">
        <v>45532.0</v>
      </c>
      <c r="AI419" s="174">
        <v>356.7</v>
      </c>
      <c r="AJ419" s="256">
        <f t="shared" si="9"/>
        <v>0.0111977321</v>
      </c>
      <c r="AK419" s="257"/>
      <c r="AL419" s="255">
        <v>45532.0</v>
      </c>
      <c r="AM419" s="174">
        <v>5592.18</v>
      </c>
      <c r="AN419" s="256">
        <f t="shared" si="10"/>
        <v>-0.005976038963</v>
      </c>
      <c r="AO419" s="154"/>
      <c r="AP419" s="154"/>
    </row>
    <row r="420">
      <c r="A420" s="154"/>
      <c r="B420" s="255">
        <v>45531.0</v>
      </c>
      <c r="C420" s="174">
        <v>22.41</v>
      </c>
      <c r="D420" s="256">
        <f t="shared" si="1"/>
        <v>-0.02692140686</v>
      </c>
      <c r="E420" s="154"/>
      <c r="F420" s="255">
        <v>45531.0</v>
      </c>
      <c r="G420" s="174">
        <v>11.69</v>
      </c>
      <c r="H420" s="256">
        <f t="shared" si="2"/>
        <v>-0.005106382979</v>
      </c>
      <c r="I420" s="154"/>
      <c r="J420" s="255">
        <v>45531.0</v>
      </c>
      <c r="K420" s="174">
        <v>18.76</v>
      </c>
      <c r="L420" s="256">
        <f t="shared" si="3"/>
        <v>0.008602150538</v>
      </c>
      <c r="M420" s="154"/>
      <c r="N420" s="255">
        <v>45532.0</v>
      </c>
      <c r="O420" s="174">
        <v>1990.0</v>
      </c>
      <c r="P420" s="256">
        <f t="shared" si="4"/>
        <v>-0.003505257887</v>
      </c>
      <c r="Q420" s="154"/>
      <c r="R420" s="255">
        <v>45531.0</v>
      </c>
      <c r="S420" s="174">
        <v>29.27</v>
      </c>
      <c r="T420" s="256">
        <f t="shared" si="5"/>
        <v>0.001711156742</v>
      </c>
      <c r="U420" s="154"/>
      <c r="V420" s="255">
        <v>45531.0</v>
      </c>
      <c r="W420" s="174">
        <v>1392.59</v>
      </c>
      <c r="X420" s="256">
        <f t="shared" si="6"/>
        <v>0.002830066395</v>
      </c>
      <c r="Y420" s="154"/>
      <c r="Z420" s="255">
        <v>45531.0</v>
      </c>
      <c r="AA420" s="174">
        <v>1598.05</v>
      </c>
      <c r="AB420" s="256">
        <f t="shared" si="7"/>
        <v>0.00257222623</v>
      </c>
      <c r="AC420" s="154"/>
      <c r="AD420" s="255">
        <v>45531.0</v>
      </c>
      <c r="AE420" s="174">
        <v>11.73</v>
      </c>
      <c r="AF420" s="256">
        <f t="shared" si="8"/>
        <v>-0.00170212766</v>
      </c>
      <c r="AG420" s="257"/>
      <c r="AH420" s="255">
        <v>45531.0</v>
      </c>
      <c r="AI420" s="174">
        <v>352.75</v>
      </c>
      <c r="AJ420" s="256">
        <f t="shared" si="9"/>
        <v>-0.001415428167</v>
      </c>
      <c r="AK420" s="257"/>
      <c r="AL420" s="255">
        <v>45531.0</v>
      </c>
      <c r="AM420" s="174">
        <v>5625.8</v>
      </c>
      <c r="AN420" s="256">
        <f t="shared" si="10"/>
        <v>0.001595202997</v>
      </c>
      <c r="AO420" s="154"/>
      <c r="AP420" s="154"/>
    </row>
    <row r="421">
      <c r="A421" s="154"/>
      <c r="B421" s="255">
        <v>45530.0</v>
      </c>
      <c r="C421" s="174">
        <v>23.03</v>
      </c>
      <c r="D421" s="256">
        <f t="shared" si="1"/>
        <v>0.02996422182</v>
      </c>
      <c r="E421" s="154"/>
      <c r="F421" s="255">
        <v>45530.0</v>
      </c>
      <c r="G421" s="174">
        <v>11.75</v>
      </c>
      <c r="H421" s="256">
        <f t="shared" si="2"/>
        <v>-0.0008503401361</v>
      </c>
      <c r="I421" s="154"/>
      <c r="J421" s="255">
        <v>45530.0</v>
      </c>
      <c r="K421" s="174">
        <v>18.6</v>
      </c>
      <c r="L421" s="256">
        <f t="shared" si="3"/>
        <v>0.002155172414</v>
      </c>
      <c r="M421" s="154"/>
      <c r="N421" s="255">
        <v>45531.0</v>
      </c>
      <c r="O421" s="174">
        <v>1997.0</v>
      </c>
      <c r="P421" s="256">
        <f t="shared" si="4"/>
        <v>-0.008440913605</v>
      </c>
      <c r="Q421" s="154"/>
      <c r="R421" s="255">
        <v>45530.0</v>
      </c>
      <c r="S421" s="174">
        <v>29.22</v>
      </c>
      <c r="T421" s="256">
        <f t="shared" si="5"/>
        <v>-0.001025641026</v>
      </c>
      <c r="U421" s="154"/>
      <c r="V421" s="255">
        <v>45530.0</v>
      </c>
      <c r="W421" s="174">
        <v>1388.66</v>
      </c>
      <c r="X421" s="256">
        <f t="shared" si="6"/>
        <v>-0.001610468042</v>
      </c>
      <c r="Y421" s="154"/>
      <c r="Z421" s="255">
        <v>45530.0</v>
      </c>
      <c r="AA421" s="174">
        <v>1593.95</v>
      </c>
      <c r="AB421" s="256">
        <f t="shared" si="7"/>
        <v>0.0123209806</v>
      </c>
      <c r="AC421" s="154"/>
      <c r="AD421" s="255">
        <v>45530.0</v>
      </c>
      <c r="AE421" s="174">
        <v>11.75</v>
      </c>
      <c r="AF421" s="256">
        <f t="shared" si="8"/>
        <v>-0.0117746005</v>
      </c>
      <c r="AG421" s="257"/>
      <c r="AH421" s="255">
        <v>45530.0</v>
      </c>
      <c r="AI421" s="174">
        <v>353.25</v>
      </c>
      <c r="AJ421" s="256">
        <f t="shared" si="9"/>
        <v>0.004692832765</v>
      </c>
      <c r="AK421" s="257"/>
      <c r="AL421" s="255">
        <v>45530.0</v>
      </c>
      <c r="AM421" s="174">
        <v>5616.84</v>
      </c>
      <c r="AN421" s="256">
        <f t="shared" si="10"/>
        <v>-0.00315372315</v>
      </c>
      <c r="AO421" s="154"/>
      <c r="AP421" s="154"/>
    </row>
    <row r="422">
      <c r="A422" s="154"/>
      <c r="B422" s="255">
        <v>45527.0</v>
      </c>
      <c r="C422" s="174">
        <v>22.36</v>
      </c>
      <c r="D422" s="256">
        <f t="shared" si="1"/>
        <v>0.07036859742</v>
      </c>
      <c r="E422" s="154"/>
      <c r="F422" s="255">
        <v>45527.0</v>
      </c>
      <c r="G422" s="174">
        <v>11.76</v>
      </c>
      <c r="H422" s="256">
        <f t="shared" si="2"/>
        <v>0.005128205128</v>
      </c>
      <c r="I422" s="154"/>
      <c r="J422" s="255">
        <v>45527.0</v>
      </c>
      <c r="K422" s="174">
        <v>18.56</v>
      </c>
      <c r="L422" s="256">
        <f t="shared" si="3"/>
        <v>0.009244154432</v>
      </c>
      <c r="M422" s="154"/>
      <c r="N422" s="255">
        <v>45527.0</v>
      </c>
      <c r="O422" s="174">
        <v>2014.0</v>
      </c>
      <c r="P422" s="256">
        <f t="shared" si="4"/>
        <v>-0.00297029703</v>
      </c>
      <c r="Q422" s="154"/>
      <c r="R422" s="255">
        <v>45527.0</v>
      </c>
      <c r="S422" s="174">
        <v>29.25</v>
      </c>
      <c r="T422" s="256">
        <f t="shared" si="5"/>
        <v>0.039445629</v>
      </c>
      <c r="U422" s="154"/>
      <c r="V422" s="255">
        <v>45527.0</v>
      </c>
      <c r="W422" s="174">
        <v>1390.9</v>
      </c>
      <c r="X422" s="256">
        <f t="shared" si="6"/>
        <v>-0.002087802498</v>
      </c>
      <c r="Y422" s="154"/>
      <c r="Z422" s="255">
        <v>45527.0</v>
      </c>
      <c r="AA422" s="174">
        <v>1574.55</v>
      </c>
      <c r="AB422" s="256">
        <f t="shared" si="7"/>
        <v>-0.007094211124</v>
      </c>
      <c r="AC422" s="154"/>
      <c r="AD422" s="255">
        <v>45527.0</v>
      </c>
      <c r="AE422" s="174">
        <v>11.89</v>
      </c>
      <c r="AF422" s="256">
        <f t="shared" si="8"/>
        <v>-0.006683375104</v>
      </c>
      <c r="AG422" s="257"/>
      <c r="AH422" s="255">
        <v>45527.0</v>
      </c>
      <c r="AI422" s="174">
        <v>351.6</v>
      </c>
      <c r="AJ422" s="256">
        <f t="shared" si="9"/>
        <v>-0.01374474053</v>
      </c>
      <c r="AK422" s="257"/>
      <c r="AL422" s="255">
        <v>45527.0</v>
      </c>
      <c r="AM422" s="174">
        <v>5634.61</v>
      </c>
      <c r="AN422" s="256">
        <f t="shared" si="10"/>
        <v>0.01148342022</v>
      </c>
      <c r="AO422" s="154"/>
      <c r="AP422" s="154"/>
    </row>
    <row r="423">
      <c r="A423" s="154"/>
      <c r="B423" s="255">
        <v>45526.0</v>
      </c>
      <c r="C423" s="174">
        <v>20.89</v>
      </c>
      <c r="D423" s="256">
        <f t="shared" si="1"/>
        <v>-0.006657156443</v>
      </c>
      <c r="E423" s="154"/>
      <c r="F423" s="255">
        <v>45526.0</v>
      </c>
      <c r="G423" s="174">
        <v>11.7</v>
      </c>
      <c r="H423" s="256">
        <f t="shared" si="2"/>
        <v>-0.001706484642</v>
      </c>
      <c r="I423" s="154"/>
      <c r="J423" s="255">
        <v>45526.0</v>
      </c>
      <c r="K423" s="174">
        <v>18.39</v>
      </c>
      <c r="L423" s="256">
        <f t="shared" si="3"/>
        <v>0.01434087148</v>
      </c>
      <c r="M423" s="154"/>
      <c r="N423" s="255">
        <v>45526.0</v>
      </c>
      <c r="O423" s="174">
        <v>2020.0</v>
      </c>
      <c r="P423" s="256">
        <f t="shared" si="4"/>
        <v>-0.009803921569</v>
      </c>
      <c r="Q423" s="154"/>
      <c r="R423" s="255">
        <v>45526.0</v>
      </c>
      <c r="S423" s="174">
        <v>28.14</v>
      </c>
      <c r="T423" s="256">
        <f t="shared" si="5"/>
        <v>-0.008456659619</v>
      </c>
      <c r="U423" s="154"/>
      <c r="V423" s="255">
        <v>45526.0</v>
      </c>
      <c r="W423" s="174">
        <v>1393.81</v>
      </c>
      <c r="X423" s="256">
        <f t="shared" si="6"/>
        <v>-0.01322487239</v>
      </c>
      <c r="Y423" s="154"/>
      <c r="Z423" s="255">
        <v>45526.0</v>
      </c>
      <c r="AA423" s="174">
        <v>1585.8</v>
      </c>
      <c r="AB423" s="256">
        <f t="shared" si="7"/>
        <v>-0.005518625361</v>
      </c>
      <c r="AC423" s="154"/>
      <c r="AD423" s="255">
        <v>45526.0</v>
      </c>
      <c r="AE423" s="174">
        <v>11.97</v>
      </c>
      <c r="AF423" s="256">
        <f t="shared" si="8"/>
        <v>-0.03467741935</v>
      </c>
      <c r="AG423" s="257"/>
      <c r="AH423" s="255">
        <v>45526.0</v>
      </c>
      <c r="AI423" s="174">
        <v>356.5</v>
      </c>
      <c r="AJ423" s="256">
        <f t="shared" si="9"/>
        <v>0.004225352113</v>
      </c>
      <c r="AK423" s="257"/>
      <c r="AL423" s="255">
        <v>45526.0</v>
      </c>
      <c r="AM423" s="174">
        <v>5570.64</v>
      </c>
      <c r="AN423" s="256">
        <f t="shared" si="10"/>
        <v>-0.008932812653</v>
      </c>
      <c r="AO423" s="154"/>
      <c r="AP423" s="154"/>
    </row>
    <row r="424">
      <c r="A424" s="154"/>
      <c r="B424" s="255">
        <v>45525.0</v>
      </c>
      <c r="C424" s="174">
        <v>21.03</v>
      </c>
      <c r="D424" s="256">
        <f t="shared" si="1"/>
        <v>0.01105769231</v>
      </c>
      <c r="E424" s="154"/>
      <c r="F424" s="255">
        <v>45525.0</v>
      </c>
      <c r="G424" s="174">
        <v>11.72</v>
      </c>
      <c r="H424" s="256">
        <f t="shared" si="2"/>
        <v>0.005145797599</v>
      </c>
      <c r="I424" s="154"/>
      <c r="J424" s="255">
        <v>45525.0</v>
      </c>
      <c r="K424" s="174">
        <v>18.13</v>
      </c>
      <c r="L424" s="256">
        <f t="shared" si="3"/>
        <v>-0.007662835249</v>
      </c>
      <c r="M424" s="154"/>
      <c r="N424" s="255">
        <v>45525.0</v>
      </c>
      <c r="O424" s="174">
        <v>2040.0</v>
      </c>
      <c r="P424" s="256">
        <f t="shared" si="4"/>
        <v>0.003937007874</v>
      </c>
      <c r="Q424" s="154"/>
      <c r="R424" s="255">
        <v>45525.0</v>
      </c>
      <c r="S424" s="174">
        <v>28.38</v>
      </c>
      <c r="T424" s="256">
        <f t="shared" si="5"/>
        <v>0.02049622438</v>
      </c>
      <c r="U424" s="154"/>
      <c r="V424" s="255">
        <v>45525.0</v>
      </c>
      <c r="W424" s="174">
        <v>1412.49</v>
      </c>
      <c r="X424" s="256">
        <f t="shared" si="6"/>
        <v>0.01394043372</v>
      </c>
      <c r="Y424" s="154"/>
      <c r="Z424" s="255">
        <v>45525.0</v>
      </c>
      <c r="AA424" s="174">
        <v>1594.6</v>
      </c>
      <c r="AB424" s="256">
        <f t="shared" si="7"/>
        <v>0.02031544934</v>
      </c>
      <c r="AC424" s="154"/>
      <c r="AD424" s="255">
        <v>45525.0</v>
      </c>
      <c r="AE424" s="174">
        <v>12.4</v>
      </c>
      <c r="AF424" s="256">
        <f t="shared" si="8"/>
        <v>-0.01976284585</v>
      </c>
      <c r="AG424" s="257"/>
      <c r="AH424" s="255">
        <v>45525.0</v>
      </c>
      <c r="AI424" s="174">
        <v>355.0</v>
      </c>
      <c r="AJ424" s="256">
        <f t="shared" si="9"/>
        <v>0.02379235761</v>
      </c>
      <c r="AK424" s="257"/>
      <c r="AL424" s="255">
        <v>45525.0</v>
      </c>
      <c r="AM424" s="174">
        <v>5620.85</v>
      </c>
      <c r="AN424" s="256">
        <f t="shared" si="10"/>
        <v>0.004239680407</v>
      </c>
      <c r="AO424" s="154"/>
      <c r="AP424" s="154"/>
    </row>
    <row r="425">
      <c r="A425" s="154"/>
      <c r="B425" s="255">
        <v>45524.0</v>
      </c>
      <c r="C425" s="174">
        <v>20.8</v>
      </c>
      <c r="D425" s="256">
        <f t="shared" si="1"/>
        <v>-0.007633587786</v>
      </c>
      <c r="E425" s="154"/>
      <c r="F425" s="255">
        <v>45524.0</v>
      </c>
      <c r="G425" s="174">
        <v>11.66</v>
      </c>
      <c r="H425" s="256">
        <f t="shared" si="2"/>
        <v>-0.01437024514</v>
      </c>
      <c r="I425" s="154"/>
      <c r="J425" s="255">
        <v>45524.0</v>
      </c>
      <c r="K425" s="174">
        <v>18.27</v>
      </c>
      <c r="L425" s="256">
        <f t="shared" si="3"/>
        <v>-0.001093493712</v>
      </c>
      <c r="M425" s="154"/>
      <c r="N425" s="255">
        <v>45524.0</v>
      </c>
      <c r="O425" s="174">
        <v>2032.0</v>
      </c>
      <c r="P425" s="256">
        <f t="shared" si="4"/>
        <v>-0.002944062807</v>
      </c>
      <c r="Q425" s="154"/>
      <c r="R425" s="255">
        <v>45524.0</v>
      </c>
      <c r="S425" s="174">
        <v>27.81</v>
      </c>
      <c r="T425" s="256">
        <f t="shared" si="5"/>
        <v>0.007243752264</v>
      </c>
      <c r="U425" s="154"/>
      <c r="V425" s="255">
        <v>45524.0</v>
      </c>
      <c r="W425" s="174">
        <v>1393.07</v>
      </c>
      <c r="X425" s="256">
        <f t="shared" si="6"/>
        <v>0.007813234752</v>
      </c>
      <c r="Y425" s="154"/>
      <c r="Z425" s="255">
        <v>45524.0</v>
      </c>
      <c r="AA425" s="174">
        <v>1562.85</v>
      </c>
      <c r="AB425" s="256">
        <f t="shared" si="7"/>
        <v>-0.00802919708</v>
      </c>
      <c r="AC425" s="154"/>
      <c r="AD425" s="255">
        <v>45524.0</v>
      </c>
      <c r="AE425" s="174">
        <v>12.65</v>
      </c>
      <c r="AF425" s="256">
        <f t="shared" si="8"/>
        <v>-0.02617397998</v>
      </c>
      <c r="AG425" s="257"/>
      <c r="AH425" s="255">
        <v>45524.0</v>
      </c>
      <c r="AI425" s="174">
        <v>346.75</v>
      </c>
      <c r="AJ425" s="256">
        <f t="shared" si="9"/>
        <v>0.005655452436</v>
      </c>
      <c r="AK425" s="257"/>
      <c r="AL425" s="255">
        <v>45524.0</v>
      </c>
      <c r="AM425" s="174">
        <v>5597.12</v>
      </c>
      <c r="AN425" s="256">
        <f t="shared" si="10"/>
        <v>-0.001984576294</v>
      </c>
      <c r="AO425" s="154"/>
      <c r="AP425" s="154"/>
    </row>
    <row r="426">
      <c r="A426" s="154"/>
      <c r="B426" s="255">
        <v>45523.0</v>
      </c>
      <c r="C426" s="174">
        <v>20.96</v>
      </c>
      <c r="D426" s="256">
        <f t="shared" si="1"/>
        <v>0.02997542998</v>
      </c>
      <c r="E426" s="154"/>
      <c r="F426" s="255">
        <v>45523.0</v>
      </c>
      <c r="G426" s="174">
        <v>11.83</v>
      </c>
      <c r="H426" s="256">
        <f t="shared" si="2"/>
        <v>0.01457975986</v>
      </c>
      <c r="I426" s="154"/>
      <c r="J426" s="255">
        <v>45523.0</v>
      </c>
      <c r="K426" s="174">
        <v>18.29</v>
      </c>
      <c r="L426" s="256">
        <f t="shared" si="3"/>
        <v>0.001642935378</v>
      </c>
      <c r="M426" s="154"/>
      <c r="N426" s="255">
        <v>45523.0</v>
      </c>
      <c r="O426" s="174">
        <v>2038.0</v>
      </c>
      <c r="P426" s="256">
        <f t="shared" si="4"/>
        <v>-0.0154589372</v>
      </c>
      <c r="Q426" s="154"/>
      <c r="R426" s="255">
        <v>45523.0</v>
      </c>
      <c r="S426" s="174">
        <v>27.61</v>
      </c>
      <c r="T426" s="256">
        <f t="shared" si="5"/>
        <v>-0.002528901734</v>
      </c>
      <c r="U426" s="154"/>
      <c r="V426" s="255">
        <v>45523.0</v>
      </c>
      <c r="W426" s="174">
        <v>1382.27</v>
      </c>
      <c r="X426" s="256">
        <f t="shared" si="6"/>
        <v>0.0173324894</v>
      </c>
      <c r="Y426" s="154"/>
      <c r="Z426" s="255">
        <v>45523.0</v>
      </c>
      <c r="AA426" s="174">
        <v>1575.5</v>
      </c>
      <c r="AB426" s="256">
        <f t="shared" si="7"/>
        <v>-0.0003806865047</v>
      </c>
      <c r="AC426" s="154"/>
      <c r="AD426" s="255">
        <v>45523.0</v>
      </c>
      <c r="AE426" s="174">
        <v>12.99</v>
      </c>
      <c r="AF426" s="256">
        <f t="shared" si="8"/>
        <v>0.001542020046</v>
      </c>
      <c r="AG426" s="257"/>
      <c r="AH426" s="255">
        <v>45523.0</v>
      </c>
      <c r="AI426" s="174">
        <v>344.8</v>
      </c>
      <c r="AJ426" s="256">
        <f t="shared" si="9"/>
        <v>0.0112919783</v>
      </c>
      <c r="AK426" s="257"/>
      <c r="AL426" s="255">
        <v>45523.0</v>
      </c>
      <c r="AM426" s="174">
        <v>5608.25</v>
      </c>
      <c r="AN426" s="256">
        <f t="shared" si="10"/>
        <v>0.009722284737</v>
      </c>
      <c r="AO426" s="154"/>
      <c r="AP426" s="154"/>
    </row>
    <row r="427">
      <c r="A427" s="154"/>
      <c r="B427" s="255">
        <v>45520.0</v>
      </c>
      <c r="C427" s="174">
        <v>20.35</v>
      </c>
      <c r="D427" s="256">
        <f t="shared" si="1"/>
        <v>0.01902854281</v>
      </c>
      <c r="E427" s="154"/>
      <c r="F427" s="255">
        <v>45520.0</v>
      </c>
      <c r="G427" s="174">
        <v>11.66</v>
      </c>
      <c r="H427" s="256">
        <f t="shared" si="2"/>
        <v>0.02280701754</v>
      </c>
      <c r="I427" s="154"/>
      <c r="J427" s="255">
        <v>45520.0</v>
      </c>
      <c r="K427" s="174">
        <v>18.26</v>
      </c>
      <c r="L427" s="256">
        <f t="shared" si="3"/>
        <v>0.01388117712</v>
      </c>
      <c r="M427" s="154"/>
      <c r="N427" s="255">
        <v>45520.0</v>
      </c>
      <c r="O427" s="174">
        <v>2070.0</v>
      </c>
      <c r="P427" s="256">
        <f t="shared" si="4"/>
        <v>-0.008620689655</v>
      </c>
      <c r="Q427" s="154"/>
      <c r="R427" s="255">
        <v>45520.0</v>
      </c>
      <c r="S427" s="174">
        <v>27.68</v>
      </c>
      <c r="T427" s="256">
        <f t="shared" si="5"/>
        <v>0.03014514328</v>
      </c>
      <c r="U427" s="154"/>
      <c r="V427" s="255">
        <v>45520.0</v>
      </c>
      <c r="W427" s="174">
        <v>1358.72</v>
      </c>
      <c r="X427" s="256">
        <f t="shared" si="6"/>
        <v>-0.00109541909</v>
      </c>
      <c r="Y427" s="154"/>
      <c r="Z427" s="255">
        <v>45520.0</v>
      </c>
      <c r="AA427" s="174">
        <v>1576.1</v>
      </c>
      <c r="AB427" s="256">
        <f t="shared" si="7"/>
        <v>0.007865455941</v>
      </c>
      <c r="AC427" s="154"/>
      <c r="AD427" s="255">
        <v>45520.0</v>
      </c>
      <c r="AE427" s="174">
        <v>12.97</v>
      </c>
      <c r="AF427" s="256">
        <f t="shared" si="8"/>
        <v>0.1737556561</v>
      </c>
      <c r="AG427" s="257"/>
      <c r="AH427" s="255">
        <v>45520.0</v>
      </c>
      <c r="AI427" s="174">
        <v>340.95</v>
      </c>
      <c r="AJ427" s="256">
        <f t="shared" si="9"/>
        <v>0.04059209522</v>
      </c>
      <c r="AK427" s="257"/>
      <c r="AL427" s="255">
        <v>45520.0</v>
      </c>
      <c r="AM427" s="174">
        <v>5554.25</v>
      </c>
      <c r="AN427" s="256">
        <f t="shared" si="10"/>
        <v>0.01815512143</v>
      </c>
      <c r="AO427" s="154"/>
      <c r="AP427" s="154"/>
    </row>
    <row r="428">
      <c r="A428" s="154"/>
      <c r="B428" s="255">
        <v>45518.0</v>
      </c>
      <c r="C428" s="174">
        <v>19.97</v>
      </c>
      <c r="D428" s="256">
        <f t="shared" si="1"/>
        <v>-0.01577131592</v>
      </c>
      <c r="E428" s="154"/>
      <c r="F428" s="255">
        <v>45518.0</v>
      </c>
      <c r="G428" s="174">
        <v>11.4</v>
      </c>
      <c r="H428" s="256">
        <f t="shared" si="2"/>
        <v>-0.014693172</v>
      </c>
      <c r="I428" s="154"/>
      <c r="J428" s="255">
        <v>45518.0</v>
      </c>
      <c r="K428" s="174">
        <v>18.01</v>
      </c>
      <c r="L428" s="256">
        <f t="shared" si="3"/>
        <v>0.05137186223</v>
      </c>
      <c r="M428" s="154"/>
      <c r="N428" s="255">
        <v>45518.0</v>
      </c>
      <c r="O428" s="174">
        <v>2088.0</v>
      </c>
      <c r="P428" s="256">
        <f t="shared" si="4"/>
        <v>0.04977375566</v>
      </c>
      <c r="Q428" s="154"/>
      <c r="R428" s="255">
        <v>45518.0</v>
      </c>
      <c r="S428" s="174">
        <v>26.87</v>
      </c>
      <c r="T428" s="256">
        <f t="shared" si="5"/>
        <v>0.002611940299</v>
      </c>
      <c r="U428" s="154"/>
      <c r="V428" s="255">
        <v>45518.0</v>
      </c>
      <c r="W428" s="174">
        <v>1360.21</v>
      </c>
      <c r="X428" s="256">
        <f t="shared" si="6"/>
        <v>-0.02120632088</v>
      </c>
      <c r="Y428" s="154"/>
      <c r="Z428" s="255">
        <v>45518.0</v>
      </c>
      <c r="AA428" s="174">
        <v>1563.8</v>
      </c>
      <c r="AB428" s="256">
        <f t="shared" si="7"/>
        <v>-0.01240961192</v>
      </c>
      <c r="AC428" s="154"/>
      <c r="AD428" s="255">
        <v>45518.0</v>
      </c>
      <c r="AE428" s="174">
        <v>11.05</v>
      </c>
      <c r="AF428" s="256">
        <f t="shared" si="8"/>
        <v>0.02409638554</v>
      </c>
      <c r="AG428" s="257"/>
      <c r="AH428" s="255">
        <v>45518.0</v>
      </c>
      <c r="AI428" s="174">
        <v>327.65</v>
      </c>
      <c r="AJ428" s="256">
        <f t="shared" si="9"/>
        <v>-0.02803322456</v>
      </c>
      <c r="AK428" s="257"/>
      <c r="AL428" s="255">
        <v>45518.0</v>
      </c>
      <c r="AM428" s="174">
        <v>5455.21</v>
      </c>
      <c r="AN428" s="256">
        <f t="shared" si="10"/>
        <v>0.003823768086</v>
      </c>
      <c r="AO428" s="154"/>
      <c r="AP428" s="154"/>
    </row>
    <row r="429">
      <c r="A429" s="154"/>
      <c r="B429" s="255">
        <v>45517.0</v>
      </c>
      <c r="C429" s="174">
        <v>20.29</v>
      </c>
      <c r="D429" s="256">
        <f t="shared" si="1"/>
        <v>0.04265159301</v>
      </c>
      <c r="E429" s="154"/>
      <c r="F429" s="255">
        <v>45517.0</v>
      </c>
      <c r="G429" s="174">
        <v>11.57</v>
      </c>
      <c r="H429" s="256">
        <f t="shared" si="2"/>
        <v>0</v>
      </c>
      <c r="I429" s="154"/>
      <c r="J429" s="255">
        <v>45517.0</v>
      </c>
      <c r="K429" s="174">
        <v>17.13</v>
      </c>
      <c r="L429" s="256">
        <f t="shared" si="3"/>
        <v>0.002927400468</v>
      </c>
      <c r="M429" s="154"/>
      <c r="N429" s="255">
        <v>45517.0</v>
      </c>
      <c r="O429" s="174">
        <v>1989.0</v>
      </c>
      <c r="P429" s="256">
        <f t="shared" si="4"/>
        <v>-0.006493506494</v>
      </c>
      <c r="Q429" s="154"/>
      <c r="R429" s="255">
        <v>45517.0</v>
      </c>
      <c r="S429" s="174">
        <v>26.8</v>
      </c>
      <c r="T429" s="256">
        <f t="shared" si="5"/>
        <v>0.01399924328</v>
      </c>
      <c r="U429" s="154"/>
      <c r="V429" s="255">
        <v>45517.0</v>
      </c>
      <c r="W429" s="174">
        <v>1389.68</v>
      </c>
      <c r="X429" s="256">
        <f t="shared" si="6"/>
        <v>0.008981275094</v>
      </c>
      <c r="Y429" s="154"/>
      <c r="Z429" s="255">
        <v>45517.0</v>
      </c>
      <c r="AA429" s="174">
        <v>1583.45</v>
      </c>
      <c r="AB429" s="256">
        <f t="shared" si="7"/>
        <v>-0.001765169425</v>
      </c>
      <c r="AC429" s="154"/>
      <c r="AD429" s="255">
        <v>45517.0</v>
      </c>
      <c r="AE429" s="174">
        <v>10.79</v>
      </c>
      <c r="AF429" s="256">
        <f t="shared" si="8"/>
        <v>-0.009182736455</v>
      </c>
      <c r="AG429" s="257"/>
      <c r="AH429" s="255">
        <v>45517.0</v>
      </c>
      <c r="AI429" s="174">
        <v>337.1</v>
      </c>
      <c r="AJ429" s="256">
        <f t="shared" si="9"/>
        <v>-0.002219920083</v>
      </c>
      <c r="AK429" s="257"/>
      <c r="AL429" s="255">
        <v>45517.0</v>
      </c>
      <c r="AM429" s="174">
        <v>5434.43</v>
      </c>
      <c r="AN429" s="256">
        <f t="shared" si="10"/>
        <v>0.01684757288</v>
      </c>
      <c r="AO429" s="154"/>
      <c r="AP429" s="154"/>
    </row>
    <row r="430">
      <c r="A430" s="154"/>
      <c r="B430" s="255">
        <v>45516.0</v>
      </c>
      <c r="C430" s="174">
        <v>19.46</v>
      </c>
      <c r="D430" s="256">
        <f t="shared" si="1"/>
        <v>-0.03424317618</v>
      </c>
      <c r="E430" s="154"/>
      <c r="F430" s="255">
        <v>45516.0</v>
      </c>
      <c r="G430" s="174">
        <v>11.57</v>
      </c>
      <c r="H430" s="256">
        <f t="shared" si="2"/>
        <v>-0.01782682513</v>
      </c>
      <c r="I430" s="154"/>
      <c r="J430" s="255">
        <v>45516.0</v>
      </c>
      <c r="K430" s="174">
        <v>17.08</v>
      </c>
      <c r="L430" s="256">
        <f t="shared" si="3"/>
        <v>-0.02008032129</v>
      </c>
      <c r="M430" s="154"/>
      <c r="N430" s="255">
        <v>45516.0</v>
      </c>
      <c r="O430" s="174">
        <v>2002.0</v>
      </c>
      <c r="P430" s="256">
        <f t="shared" si="4"/>
        <v>-0.01766437684</v>
      </c>
      <c r="Q430" s="154"/>
      <c r="R430" s="255">
        <v>45516.0</v>
      </c>
      <c r="S430" s="174">
        <v>26.43</v>
      </c>
      <c r="T430" s="256">
        <f t="shared" si="5"/>
        <v>-0.01820208024</v>
      </c>
      <c r="U430" s="154"/>
      <c r="V430" s="255">
        <v>45516.0</v>
      </c>
      <c r="W430" s="174">
        <v>1377.31</v>
      </c>
      <c r="X430" s="256">
        <f t="shared" si="6"/>
        <v>-0.01810080559</v>
      </c>
      <c r="Y430" s="154"/>
      <c r="Z430" s="255">
        <v>45516.0</v>
      </c>
      <c r="AA430" s="174">
        <v>1586.25</v>
      </c>
      <c r="AB430" s="256">
        <f t="shared" si="7"/>
        <v>0.007302746468</v>
      </c>
      <c r="AC430" s="154"/>
      <c r="AD430" s="255">
        <v>45516.0</v>
      </c>
      <c r="AE430" s="174">
        <v>10.89</v>
      </c>
      <c r="AF430" s="256">
        <f t="shared" si="8"/>
        <v>-0.001833180568</v>
      </c>
      <c r="AG430" s="257"/>
      <c r="AH430" s="255">
        <v>45516.0</v>
      </c>
      <c r="AI430" s="174">
        <v>337.85</v>
      </c>
      <c r="AJ430" s="256">
        <f t="shared" si="9"/>
        <v>0.002671019439</v>
      </c>
      <c r="AK430" s="257"/>
      <c r="AL430" s="255">
        <v>45516.0</v>
      </c>
      <c r="AM430" s="174">
        <v>5344.39</v>
      </c>
      <c r="AN430" s="256">
        <f t="shared" si="10"/>
        <v>0.0000430376336</v>
      </c>
      <c r="AO430" s="154"/>
      <c r="AP430" s="154"/>
    </row>
    <row r="431">
      <c r="A431" s="154"/>
      <c r="B431" s="255">
        <v>45513.0</v>
      </c>
      <c r="C431" s="174">
        <v>20.15</v>
      </c>
      <c r="D431" s="256">
        <f t="shared" si="1"/>
        <v>0.03016359918</v>
      </c>
      <c r="E431" s="154"/>
      <c r="F431" s="255">
        <v>45513.0</v>
      </c>
      <c r="G431" s="174">
        <v>11.78</v>
      </c>
      <c r="H431" s="256">
        <f t="shared" si="2"/>
        <v>-0.02644628099</v>
      </c>
      <c r="I431" s="154"/>
      <c r="J431" s="255">
        <v>45513.0</v>
      </c>
      <c r="K431" s="174">
        <v>17.43</v>
      </c>
      <c r="L431" s="256">
        <f t="shared" si="3"/>
        <v>0.01573426573</v>
      </c>
      <c r="M431" s="154"/>
      <c r="N431" s="255">
        <v>45513.0</v>
      </c>
      <c r="O431" s="174">
        <v>2038.0</v>
      </c>
      <c r="P431" s="256">
        <f t="shared" si="4"/>
        <v>0.02309236948</v>
      </c>
      <c r="Q431" s="154"/>
      <c r="R431" s="255">
        <v>45513.0</v>
      </c>
      <c r="S431" s="174">
        <v>26.92</v>
      </c>
      <c r="T431" s="256">
        <f t="shared" si="5"/>
        <v>-0.03547115729</v>
      </c>
      <c r="U431" s="154"/>
      <c r="V431" s="255">
        <v>45513.0</v>
      </c>
      <c r="W431" s="174">
        <v>1402.7</v>
      </c>
      <c r="X431" s="256">
        <f t="shared" si="6"/>
        <v>0.01083838981</v>
      </c>
      <c r="Y431" s="154"/>
      <c r="Z431" s="255">
        <v>45513.0</v>
      </c>
      <c r="AA431" s="174">
        <v>1574.75</v>
      </c>
      <c r="AB431" s="256">
        <f t="shared" si="7"/>
        <v>0.003057422211</v>
      </c>
      <c r="AC431" s="154"/>
      <c r="AD431" s="255">
        <v>45513.0</v>
      </c>
      <c r="AE431" s="174">
        <v>10.91</v>
      </c>
      <c r="AF431" s="256">
        <f t="shared" si="8"/>
        <v>0.0009174311927</v>
      </c>
      <c r="AG431" s="257"/>
      <c r="AH431" s="255">
        <v>45513.0</v>
      </c>
      <c r="AI431" s="174">
        <v>336.95</v>
      </c>
      <c r="AJ431" s="256">
        <f t="shared" si="9"/>
        <v>-0.006486805248</v>
      </c>
      <c r="AK431" s="257"/>
      <c r="AL431" s="255">
        <v>45513.0</v>
      </c>
      <c r="AM431" s="174">
        <v>5344.16</v>
      </c>
      <c r="AN431" s="256">
        <f t="shared" si="10"/>
        <v>0.004671658542</v>
      </c>
      <c r="AO431" s="154"/>
      <c r="AP431" s="154"/>
    </row>
    <row r="432">
      <c r="A432" s="154"/>
      <c r="B432" s="255">
        <v>45512.0</v>
      </c>
      <c r="C432" s="174">
        <v>19.56</v>
      </c>
      <c r="D432" s="256">
        <f t="shared" si="1"/>
        <v>0.02677165354</v>
      </c>
      <c r="E432" s="154"/>
      <c r="F432" s="255">
        <v>45512.0</v>
      </c>
      <c r="G432" s="174">
        <v>12.1</v>
      </c>
      <c r="H432" s="256">
        <f t="shared" si="2"/>
        <v>0.06514084507</v>
      </c>
      <c r="I432" s="154"/>
      <c r="J432" s="255">
        <v>45512.0</v>
      </c>
      <c r="K432" s="174">
        <v>17.16</v>
      </c>
      <c r="L432" s="256">
        <f t="shared" si="3"/>
        <v>0.02203692674</v>
      </c>
      <c r="M432" s="154"/>
      <c r="N432" s="255">
        <v>45512.0</v>
      </c>
      <c r="O432" s="174">
        <v>1992.0</v>
      </c>
      <c r="P432" s="256">
        <f t="shared" si="4"/>
        <v>0.08260869565</v>
      </c>
      <c r="Q432" s="154"/>
      <c r="R432" s="255">
        <v>45512.0</v>
      </c>
      <c r="S432" s="174">
        <v>27.91</v>
      </c>
      <c r="T432" s="256">
        <f t="shared" si="5"/>
        <v>0.005403458213</v>
      </c>
      <c r="U432" s="154"/>
      <c r="V432" s="255">
        <v>45512.0</v>
      </c>
      <c r="W432" s="174">
        <v>1387.66</v>
      </c>
      <c r="X432" s="256">
        <f t="shared" si="6"/>
        <v>0.00172529543</v>
      </c>
      <c r="Y432" s="154"/>
      <c r="Z432" s="255">
        <v>45512.0</v>
      </c>
      <c r="AA432" s="174">
        <v>1569.95</v>
      </c>
      <c r="AB432" s="256">
        <f t="shared" si="7"/>
        <v>0.01055646745</v>
      </c>
      <c r="AC432" s="154"/>
      <c r="AD432" s="255">
        <v>45512.0</v>
      </c>
      <c r="AE432" s="174">
        <v>10.9</v>
      </c>
      <c r="AF432" s="256">
        <f t="shared" si="8"/>
        <v>-0.009990917348</v>
      </c>
      <c r="AG432" s="257"/>
      <c r="AH432" s="255">
        <v>45512.0</v>
      </c>
      <c r="AI432" s="174">
        <v>339.15</v>
      </c>
      <c r="AJ432" s="256">
        <f t="shared" si="9"/>
        <v>-0.02219979818</v>
      </c>
      <c r="AK432" s="257"/>
      <c r="AL432" s="255">
        <v>45512.0</v>
      </c>
      <c r="AM432" s="174">
        <v>5319.31</v>
      </c>
      <c r="AN432" s="256">
        <f t="shared" si="10"/>
        <v>0.02304260025</v>
      </c>
      <c r="AO432" s="154"/>
      <c r="AP432" s="154"/>
    </row>
    <row r="433">
      <c r="A433" s="154"/>
      <c r="B433" s="255">
        <v>45511.0</v>
      </c>
      <c r="C433" s="174">
        <v>19.05</v>
      </c>
      <c r="D433" s="256">
        <f t="shared" si="1"/>
        <v>0.02144772118</v>
      </c>
      <c r="E433" s="154"/>
      <c r="F433" s="255">
        <v>45511.0</v>
      </c>
      <c r="G433" s="174">
        <v>11.36</v>
      </c>
      <c r="H433" s="256">
        <f t="shared" si="2"/>
        <v>0.0008810572687</v>
      </c>
      <c r="I433" s="154"/>
      <c r="J433" s="255">
        <v>45511.0</v>
      </c>
      <c r="K433" s="174">
        <v>16.79</v>
      </c>
      <c r="L433" s="256">
        <f t="shared" si="3"/>
        <v>-0.007096392667</v>
      </c>
      <c r="M433" s="154"/>
      <c r="N433" s="255">
        <v>45511.0</v>
      </c>
      <c r="O433" s="174">
        <v>1840.0</v>
      </c>
      <c r="P433" s="256">
        <f t="shared" si="4"/>
        <v>0.01043382757</v>
      </c>
      <c r="Q433" s="154"/>
      <c r="R433" s="255">
        <v>45511.0</v>
      </c>
      <c r="S433" s="174">
        <v>27.76</v>
      </c>
      <c r="T433" s="256">
        <f t="shared" si="5"/>
        <v>-0.02219091229</v>
      </c>
      <c r="U433" s="154"/>
      <c r="V433" s="255">
        <v>45511.0</v>
      </c>
      <c r="W433" s="174">
        <v>1385.27</v>
      </c>
      <c r="X433" s="256">
        <f t="shared" si="6"/>
        <v>0.01747363164</v>
      </c>
      <c r="Y433" s="154"/>
      <c r="Z433" s="255">
        <v>45511.0</v>
      </c>
      <c r="AA433" s="174">
        <v>1553.55</v>
      </c>
      <c r="AB433" s="256">
        <f t="shared" si="7"/>
        <v>0.01413277629</v>
      </c>
      <c r="AC433" s="154"/>
      <c r="AD433" s="255">
        <v>45511.0</v>
      </c>
      <c r="AE433" s="174">
        <v>11.01</v>
      </c>
      <c r="AF433" s="256">
        <f t="shared" si="8"/>
        <v>-0.009892086331</v>
      </c>
      <c r="AG433" s="257"/>
      <c r="AH433" s="255">
        <v>45511.0</v>
      </c>
      <c r="AI433" s="174">
        <v>346.85</v>
      </c>
      <c r="AJ433" s="256">
        <f t="shared" si="9"/>
        <v>0.03692077728</v>
      </c>
      <c r="AK433" s="257"/>
      <c r="AL433" s="255">
        <v>45511.0</v>
      </c>
      <c r="AM433" s="174">
        <v>5199.5</v>
      </c>
      <c r="AN433" s="256">
        <f t="shared" si="10"/>
        <v>-0.007734688542</v>
      </c>
      <c r="AO433" s="154"/>
      <c r="AP433" s="154"/>
    </row>
    <row r="434">
      <c r="A434" s="154"/>
      <c r="B434" s="255">
        <v>45510.0</v>
      </c>
      <c r="C434" s="174">
        <v>18.65</v>
      </c>
      <c r="D434" s="256">
        <f t="shared" si="1"/>
        <v>-0.07627538385</v>
      </c>
      <c r="E434" s="154"/>
      <c r="F434" s="255">
        <v>45510.0</v>
      </c>
      <c r="G434" s="174">
        <v>11.35</v>
      </c>
      <c r="H434" s="256">
        <f t="shared" si="2"/>
        <v>-0.01816608997</v>
      </c>
      <c r="I434" s="154"/>
      <c r="J434" s="255">
        <v>45510.0</v>
      </c>
      <c r="K434" s="174">
        <v>16.91</v>
      </c>
      <c r="L434" s="256">
        <f t="shared" si="3"/>
        <v>0.01378896882</v>
      </c>
      <c r="M434" s="154"/>
      <c r="N434" s="255">
        <v>45510.0</v>
      </c>
      <c r="O434" s="174">
        <v>1821.0</v>
      </c>
      <c r="P434" s="256">
        <f t="shared" si="4"/>
        <v>-0.01885775862</v>
      </c>
      <c r="Q434" s="154"/>
      <c r="R434" s="255">
        <v>45510.0</v>
      </c>
      <c r="S434" s="174">
        <v>28.39</v>
      </c>
      <c r="T434" s="256">
        <f t="shared" si="5"/>
        <v>-0.01080139373</v>
      </c>
      <c r="U434" s="154"/>
      <c r="V434" s="255">
        <v>45510.0</v>
      </c>
      <c r="W434" s="174">
        <v>1361.48</v>
      </c>
      <c r="X434" s="256">
        <f t="shared" si="6"/>
        <v>-0.0006826138974</v>
      </c>
      <c r="Y434" s="154"/>
      <c r="Z434" s="255">
        <v>45510.0</v>
      </c>
      <c r="AA434" s="174">
        <v>1531.9</v>
      </c>
      <c r="AB434" s="256">
        <f t="shared" si="7"/>
        <v>0.01112174516</v>
      </c>
      <c r="AC434" s="154"/>
      <c r="AD434" s="255">
        <v>45510.0</v>
      </c>
      <c r="AE434" s="174">
        <v>11.12</v>
      </c>
      <c r="AF434" s="256">
        <f t="shared" si="8"/>
        <v>0.006334841629</v>
      </c>
      <c r="AG434" s="257"/>
      <c r="AH434" s="255">
        <v>45510.0</v>
      </c>
      <c r="AI434" s="174">
        <v>334.5</v>
      </c>
      <c r="AJ434" s="256">
        <f t="shared" si="9"/>
        <v>-0.01733254994</v>
      </c>
      <c r="AK434" s="257"/>
      <c r="AL434" s="255">
        <v>45510.0</v>
      </c>
      <c r="AM434" s="174">
        <v>5240.03</v>
      </c>
      <c r="AN434" s="256">
        <f t="shared" si="10"/>
        <v>0.01035414252</v>
      </c>
      <c r="AO434" s="154"/>
      <c r="AP434" s="154"/>
    </row>
    <row r="435">
      <c r="A435" s="154"/>
      <c r="B435" s="255">
        <v>45509.0</v>
      </c>
      <c r="C435" s="174">
        <v>20.19</v>
      </c>
      <c r="D435" s="256">
        <f t="shared" si="1"/>
        <v>-0.03443328551</v>
      </c>
      <c r="E435" s="154"/>
      <c r="F435" s="255">
        <v>45509.0</v>
      </c>
      <c r="G435" s="174">
        <v>11.56</v>
      </c>
      <c r="H435" s="256">
        <f t="shared" si="2"/>
        <v>-0.02611625948</v>
      </c>
      <c r="I435" s="154"/>
      <c r="J435" s="255">
        <v>45509.0</v>
      </c>
      <c r="K435" s="174">
        <v>16.68</v>
      </c>
      <c r="L435" s="256">
        <f t="shared" si="3"/>
        <v>-0.01824602707</v>
      </c>
      <c r="M435" s="154"/>
      <c r="N435" s="255">
        <v>45509.0</v>
      </c>
      <c r="O435" s="174">
        <v>1856.0</v>
      </c>
      <c r="P435" s="256">
        <f t="shared" si="4"/>
        <v>-0.0164281929</v>
      </c>
      <c r="Q435" s="154"/>
      <c r="R435" s="255">
        <v>45509.0</v>
      </c>
      <c r="S435" s="174">
        <v>28.7</v>
      </c>
      <c r="T435" s="256">
        <f t="shared" si="5"/>
        <v>0.04060913706</v>
      </c>
      <c r="U435" s="154"/>
      <c r="V435" s="255">
        <v>45509.0</v>
      </c>
      <c r="W435" s="174">
        <v>1362.41</v>
      </c>
      <c r="X435" s="256">
        <f t="shared" si="6"/>
        <v>-0.02184042561</v>
      </c>
      <c r="Y435" s="154"/>
      <c r="Z435" s="255">
        <v>45509.0</v>
      </c>
      <c r="AA435" s="174">
        <v>1515.05</v>
      </c>
      <c r="AB435" s="256">
        <f t="shared" si="7"/>
        <v>-0.008993982208</v>
      </c>
      <c r="AC435" s="154"/>
      <c r="AD435" s="255">
        <v>45509.0</v>
      </c>
      <c r="AE435" s="174">
        <v>11.05</v>
      </c>
      <c r="AF435" s="256">
        <f t="shared" si="8"/>
        <v>-0.0424610052</v>
      </c>
      <c r="AG435" s="257"/>
      <c r="AH435" s="255">
        <v>45509.0</v>
      </c>
      <c r="AI435" s="174">
        <v>340.4</v>
      </c>
      <c r="AJ435" s="256">
        <f t="shared" si="9"/>
        <v>-0.04408873912</v>
      </c>
      <c r="AK435" s="257"/>
      <c r="AL435" s="255">
        <v>45509.0</v>
      </c>
      <c r="AM435" s="174">
        <v>5186.33</v>
      </c>
      <c r="AN435" s="256">
        <f t="shared" si="10"/>
        <v>-0.02996880237</v>
      </c>
      <c r="AO435" s="154"/>
      <c r="AP435" s="154"/>
    </row>
    <row r="436">
      <c r="A436" s="154"/>
      <c r="B436" s="255">
        <v>45506.0</v>
      </c>
      <c r="C436" s="174">
        <v>20.91</v>
      </c>
      <c r="D436" s="256">
        <f t="shared" si="1"/>
        <v>-0.03418013857</v>
      </c>
      <c r="E436" s="154"/>
      <c r="F436" s="255">
        <v>45506.0</v>
      </c>
      <c r="G436" s="174">
        <v>11.87</v>
      </c>
      <c r="H436" s="256">
        <f t="shared" si="2"/>
        <v>-0.007525083612</v>
      </c>
      <c r="I436" s="154"/>
      <c r="J436" s="255">
        <v>45506.0</v>
      </c>
      <c r="K436" s="174">
        <v>16.99</v>
      </c>
      <c r="L436" s="256">
        <f t="shared" si="3"/>
        <v>-0.03135689852</v>
      </c>
      <c r="M436" s="154"/>
      <c r="N436" s="255">
        <v>45506.0</v>
      </c>
      <c r="O436" s="174">
        <v>1887.0</v>
      </c>
      <c r="P436" s="256">
        <f t="shared" si="4"/>
        <v>-0.006842105263</v>
      </c>
      <c r="Q436" s="154"/>
      <c r="R436" s="255">
        <v>45506.0</v>
      </c>
      <c r="S436" s="174">
        <v>27.58</v>
      </c>
      <c r="T436" s="256">
        <f t="shared" si="5"/>
        <v>-0.02129169624</v>
      </c>
      <c r="U436" s="154"/>
      <c r="V436" s="255">
        <v>45506.0</v>
      </c>
      <c r="W436" s="174">
        <v>1392.83</v>
      </c>
      <c r="X436" s="256">
        <f t="shared" si="6"/>
        <v>0.01106279807</v>
      </c>
      <c r="Y436" s="154"/>
      <c r="Z436" s="255">
        <v>45506.0</v>
      </c>
      <c r="AA436" s="174">
        <v>1528.8</v>
      </c>
      <c r="AB436" s="256">
        <f t="shared" si="7"/>
        <v>-0.01125339542</v>
      </c>
      <c r="AC436" s="154"/>
      <c r="AD436" s="255">
        <v>45506.0</v>
      </c>
      <c r="AE436" s="174">
        <v>11.54</v>
      </c>
      <c r="AF436" s="256">
        <f t="shared" si="8"/>
        <v>-0.002592912705</v>
      </c>
      <c r="AG436" s="257"/>
      <c r="AH436" s="255">
        <v>45506.0</v>
      </c>
      <c r="AI436" s="174">
        <v>356.1</v>
      </c>
      <c r="AJ436" s="256">
        <f t="shared" si="9"/>
        <v>0.003805496829</v>
      </c>
      <c r="AK436" s="257"/>
      <c r="AL436" s="255">
        <v>45506.0</v>
      </c>
      <c r="AM436" s="174">
        <v>5346.56</v>
      </c>
      <c r="AN436" s="256">
        <f t="shared" si="10"/>
        <v>-0.01838183995</v>
      </c>
      <c r="AO436" s="154"/>
      <c r="AP436" s="154"/>
    </row>
    <row r="437">
      <c r="A437" s="154"/>
      <c r="B437" s="255">
        <v>45505.0</v>
      </c>
      <c r="C437" s="174">
        <v>21.65</v>
      </c>
      <c r="D437" s="256">
        <f t="shared" si="1"/>
        <v>-0.009606587374</v>
      </c>
      <c r="E437" s="154"/>
      <c r="F437" s="255">
        <v>45505.0</v>
      </c>
      <c r="G437" s="174">
        <v>11.96</v>
      </c>
      <c r="H437" s="256">
        <f t="shared" si="2"/>
        <v>-0.008291873964</v>
      </c>
      <c r="I437" s="154"/>
      <c r="J437" s="255">
        <v>45505.0</v>
      </c>
      <c r="K437" s="174">
        <v>17.54</v>
      </c>
      <c r="L437" s="256">
        <f t="shared" si="3"/>
        <v>0.006310958118</v>
      </c>
      <c r="M437" s="154"/>
      <c r="N437" s="255">
        <v>45505.0</v>
      </c>
      <c r="O437" s="174">
        <v>1900.0</v>
      </c>
      <c r="P437" s="256">
        <f t="shared" si="4"/>
        <v>-0.002100840336</v>
      </c>
      <c r="Q437" s="154"/>
      <c r="R437" s="255">
        <v>45505.0</v>
      </c>
      <c r="S437" s="174">
        <v>28.18</v>
      </c>
      <c r="T437" s="256">
        <f t="shared" si="5"/>
        <v>-0.003183586841</v>
      </c>
      <c r="U437" s="154"/>
      <c r="V437" s="255">
        <v>45505.0</v>
      </c>
      <c r="W437" s="174">
        <v>1377.59</v>
      </c>
      <c r="X437" s="256">
        <f t="shared" si="6"/>
        <v>0.02036145471</v>
      </c>
      <c r="Y437" s="154"/>
      <c r="Z437" s="255">
        <v>45505.0</v>
      </c>
      <c r="AA437" s="174">
        <v>1546.2</v>
      </c>
      <c r="AB437" s="256">
        <f t="shared" si="7"/>
        <v>0.001230330894</v>
      </c>
      <c r="AC437" s="154"/>
      <c r="AD437" s="255">
        <v>45505.0</v>
      </c>
      <c r="AE437" s="174">
        <v>11.57</v>
      </c>
      <c r="AF437" s="256">
        <f t="shared" si="8"/>
        <v>-0.01111111111</v>
      </c>
      <c r="AG437" s="257"/>
      <c r="AH437" s="255">
        <v>45505.0</v>
      </c>
      <c r="AI437" s="174">
        <v>354.75</v>
      </c>
      <c r="AJ437" s="256">
        <f t="shared" si="9"/>
        <v>-0.02097419622</v>
      </c>
      <c r="AK437" s="257"/>
      <c r="AL437" s="255">
        <v>45505.0</v>
      </c>
      <c r="AM437" s="174">
        <v>5446.68</v>
      </c>
      <c r="AN437" s="256">
        <f t="shared" si="10"/>
        <v>-0.01369356971</v>
      </c>
      <c r="AO437" s="154"/>
      <c r="AP437" s="154"/>
    </row>
    <row r="438">
      <c r="A438" s="154"/>
      <c r="B438" s="255">
        <v>45504.0</v>
      </c>
      <c r="C438" s="174">
        <v>21.86</v>
      </c>
      <c r="D438" s="256">
        <f t="shared" si="1"/>
        <v>-0.0184104176</v>
      </c>
      <c r="E438" s="154"/>
      <c r="F438" s="255">
        <v>45504.0</v>
      </c>
      <c r="G438" s="174">
        <v>12.06</v>
      </c>
      <c r="H438" s="256">
        <f t="shared" si="2"/>
        <v>-0.005770816158</v>
      </c>
      <c r="I438" s="154"/>
      <c r="J438" s="255">
        <v>45504.0</v>
      </c>
      <c r="K438" s="174">
        <v>17.43</v>
      </c>
      <c r="L438" s="256">
        <f t="shared" si="3"/>
        <v>0.06215722121</v>
      </c>
      <c r="M438" s="154"/>
      <c r="N438" s="255">
        <v>45504.0</v>
      </c>
      <c r="O438" s="174">
        <v>1904.0</v>
      </c>
      <c r="P438" s="256">
        <f t="shared" si="4"/>
        <v>-0.008333333333</v>
      </c>
      <c r="Q438" s="154"/>
      <c r="R438" s="255">
        <v>45504.0</v>
      </c>
      <c r="S438" s="174">
        <v>28.27</v>
      </c>
      <c r="T438" s="256">
        <f t="shared" si="5"/>
        <v>-0.0007069635914</v>
      </c>
      <c r="U438" s="154"/>
      <c r="V438" s="255">
        <v>45504.0</v>
      </c>
      <c r="W438" s="174">
        <v>1350.1</v>
      </c>
      <c r="X438" s="256">
        <f t="shared" si="6"/>
        <v>-0.007884893778</v>
      </c>
      <c r="Y438" s="154"/>
      <c r="Z438" s="255">
        <v>45504.0</v>
      </c>
      <c r="AA438" s="174">
        <v>1544.3</v>
      </c>
      <c r="AB438" s="256">
        <f t="shared" si="7"/>
        <v>0.01007260122</v>
      </c>
      <c r="AC438" s="154"/>
      <c r="AD438" s="255">
        <v>45504.0</v>
      </c>
      <c r="AE438" s="174">
        <v>11.7</v>
      </c>
      <c r="AF438" s="256">
        <f t="shared" si="8"/>
        <v>-0.008474576271</v>
      </c>
      <c r="AG438" s="257"/>
      <c r="AH438" s="255">
        <v>45504.0</v>
      </c>
      <c r="AI438" s="174">
        <v>362.35</v>
      </c>
      <c r="AJ438" s="256">
        <f t="shared" si="9"/>
        <v>0.008067881486</v>
      </c>
      <c r="AK438" s="257"/>
      <c r="AL438" s="255">
        <v>45504.0</v>
      </c>
      <c r="AM438" s="174">
        <v>5522.3</v>
      </c>
      <c r="AN438" s="256">
        <f t="shared" si="10"/>
        <v>0.01579342364</v>
      </c>
      <c r="AO438" s="154"/>
      <c r="AP438" s="154"/>
    </row>
    <row r="439">
      <c r="A439" s="154"/>
      <c r="B439" s="255">
        <v>45503.0</v>
      </c>
      <c r="C439" s="174">
        <v>22.27</v>
      </c>
      <c r="D439" s="256">
        <f t="shared" si="1"/>
        <v>-0.009341637011</v>
      </c>
      <c r="E439" s="154"/>
      <c r="F439" s="255">
        <v>45503.0</v>
      </c>
      <c r="G439" s="174">
        <v>12.13</v>
      </c>
      <c r="H439" s="256">
        <f t="shared" si="2"/>
        <v>0.01932773109</v>
      </c>
      <c r="I439" s="154"/>
      <c r="J439" s="255">
        <v>45503.0</v>
      </c>
      <c r="K439" s="174">
        <v>16.41</v>
      </c>
      <c r="L439" s="256">
        <f t="shared" si="3"/>
        <v>-0.01559688062</v>
      </c>
      <c r="M439" s="154"/>
      <c r="N439" s="255">
        <v>45503.0</v>
      </c>
      <c r="O439" s="174">
        <v>1920.0</v>
      </c>
      <c r="P439" s="256">
        <f t="shared" si="4"/>
        <v>0.0005211047421</v>
      </c>
      <c r="Q439" s="154"/>
      <c r="R439" s="255">
        <v>45503.0</v>
      </c>
      <c r="S439" s="174">
        <v>28.29</v>
      </c>
      <c r="T439" s="256">
        <f t="shared" si="5"/>
        <v>0.01180257511</v>
      </c>
      <c r="U439" s="154"/>
      <c r="V439" s="255">
        <v>45503.0</v>
      </c>
      <c r="W439" s="174">
        <v>1360.83</v>
      </c>
      <c r="X439" s="256">
        <f t="shared" si="6"/>
        <v>-0.005248499645</v>
      </c>
      <c r="Y439" s="154"/>
      <c r="Z439" s="255">
        <v>45503.0</v>
      </c>
      <c r="AA439" s="174">
        <v>1528.9</v>
      </c>
      <c r="AB439" s="256">
        <f t="shared" si="7"/>
        <v>-0.01612020979</v>
      </c>
      <c r="AC439" s="154"/>
      <c r="AD439" s="255">
        <v>45503.0</v>
      </c>
      <c r="AE439" s="174">
        <v>11.8</v>
      </c>
      <c r="AF439" s="256">
        <f t="shared" si="8"/>
        <v>-0.0008467400508</v>
      </c>
      <c r="AG439" s="257"/>
      <c r="AH439" s="255">
        <v>45503.0</v>
      </c>
      <c r="AI439" s="174">
        <v>359.45</v>
      </c>
      <c r="AJ439" s="256">
        <f t="shared" si="9"/>
        <v>-0.006632582562</v>
      </c>
      <c r="AK439" s="257"/>
      <c r="AL439" s="255">
        <v>45503.0</v>
      </c>
      <c r="AM439" s="174">
        <v>5436.44</v>
      </c>
      <c r="AN439" s="256">
        <f t="shared" si="10"/>
        <v>-0.004960154039</v>
      </c>
      <c r="AO439" s="154"/>
      <c r="AP439" s="154"/>
    </row>
    <row r="440">
      <c r="A440" s="154"/>
      <c r="B440" s="255">
        <v>45502.0</v>
      </c>
      <c r="C440" s="174">
        <v>22.48</v>
      </c>
      <c r="D440" s="256">
        <f t="shared" si="1"/>
        <v>0.01306894998</v>
      </c>
      <c r="E440" s="154"/>
      <c r="F440" s="255">
        <v>45502.0</v>
      </c>
      <c r="G440" s="174">
        <v>11.9</v>
      </c>
      <c r="H440" s="256">
        <f t="shared" si="2"/>
        <v>-0.01490066225</v>
      </c>
      <c r="I440" s="154"/>
      <c r="J440" s="255">
        <v>45502.0</v>
      </c>
      <c r="K440" s="174">
        <v>16.67</v>
      </c>
      <c r="L440" s="256">
        <f t="shared" si="3"/>
        <v>-0.02514619883</v>
      </c>
      <c r="M440" s="154"/>
      <c r="N440" s="255">
        <v>45502.0</v>
      </c>
      <c r="O440" s="174">
        <v>1919.0</v>
      </c>
      <c r="P440" s="256">
        <f t="shared" si="4"/>
        <v>0.01213080169</v>
      </c>
      <c r="Q440" s="154"/>
      <c r="R440" s="255">
        <v>45502.0</v>
      </c>
      <c r="S440" s="174">
        <v>27.96</v>
      </c>
      <c r="T440" s="256">
        <f t="shared" si="5"/>
        <v>-0.005336179296</v>
      </c>
      <c r="U440" s="154"/>
      <c r="V440" s="255">
        <v>45502.0</v>
      </c>
      <c r="W440" s="174">
        <v>1368.01</v>
      </c>
      <c r="X440" s="256">
        <f t="shared" si="6"/>
        <v>-0.005611566223</v>
      </c>
      <c r="Y440" s="154"/>
      <c r="Z440" s="255">
        <v>45502.0</v>
      </c>
      <c r="AA440" s="174">
        <v>1553.95</v>
      </c>
      <c r="AB440" s="256">
        <f t="shared" si="7"/>
        <v>-0.01336507937</v>
      </c>
      <c r="AC440" s="154"/>
      <c r="AD440" s="255">
        <v>45502.0</v>
      </c>
      <c r="AE440" s="174">
        <v>11.81</v>
      </c>
      <c r="AF440" s="256">
        <f t="shared" si="8"/>
        <v>0.01898188093</v>
      </c>
      <c r="AG440" s="257"/>
      <c r="AH440" s="255">
        <v>45502.0</v>
      </c>
      <c r="AI440" s="174">
        <v>361.85</v>
      </c>
      <c r="AJ440" s="256">
        <f t="shared" si="9"/>
        <v>-0.01804613297</v>
      </c>
      <c r="AK440" s="257"/>
      <c r="AL440" s="255">
        <v>45502.0</v>
      </c>
      <c r="AM440" s="174">
        <v>5463.54</v>
      </c>
      <c r="AN440" s="256">
        <f t="shared" si="10"/>
        <v>0.0008133208771</v>
      </c>
      <c r="AO440" s="154"/>
      <c r="AP440" s="154"/>
    </row>
    <row r="441">
      <c r="A441" s="154"/>
      <c r="B441" s="255">
        <v>45499.0</v>
      </c>
      <c r="C441" s="174">
        <v>22.19</v>
      </c>
      <c r="D441" s="256">
        <f t="shared" si="1"/>
        <v>0.005437245129</v>
      </c>
      <c r="E441" s="154"/>
      <c r="F441" s="255">
        <v>45499.0</v>
      </c>
      <c r="G441" s="174">
        <v>12.08</v>
      </c>
      <c r="H441" s="256">
        <f t="shared" si="2"/>
        <v>0.02721088435</v>
      </c>
      <c r="I441" s="154"/>
      <c r="J441" s="255">
        <v>45499.0</v>
      </c>
      <c r="K441" s="174">
        <v>17.1</v>
      </c>
      <c r="L441" s="256">
        <f t="shared" si="3"/>
        <v>0.01785714286</v>
      </c>
      <c r="M441" s="154"/>
      <c r="N441" s="255">
        <v>45499.0</v>
      </c>
      <c r="O441" s="174">
        <v>1896.0</v>
      </c>
      <c r="P441" s="256">
        <f t="shared" si="4"/>
        <v>0.01825993555</v>
      </c>
      <c r="Q441" s="154"/>
      <c r="R441" s="255">
        <v>45499.0</v>
      </c>
      <c r="S441" s="174">
        <v>28.11</v>
      </c>
      <c r="T441" s="256">
        <f t="shared" si="5"/>
        <v>0.001425008906</v>
      </c>
      <c r="U441" s="154"/>
      <c r="V441" s="255">
        <v>45499.0</v>
      </c>
      <c r="W441" s="174">
        <v>1375.73</v>
      </c>
      <c r="X441" s="256">
        <f t="shared" si="6"/>
        <v>0.00371359365</v>
      </c>
      <c r="Y441" s="154"/>
      <c r="Z441" s="255">
        <v>45499.0</v>
      </c>
      <c r="AA441" s="174">
        <v>1575.0</v>
      </c>
      <c r="AB441" s="256">
        <f t="shared" si="7"/>
        <v>0.04996500117</v>
      </c>
      <c r="AC441" s="154"/>
      <c r="AD441" s="255">
        <v>45499.0</v>
      </c>
      <c r="AE441" s="174">
        <v>11.59</v>
      </c>
      <c r="AF441" s="256">
        <f t="shared" si="8"/>
        <v>0.02657218778</v>
      </c>
      <c r="AG441" s="257"/>
      <c r="AH441" s="255">
        <v>45499.0</v>
      </c>
      <c r="AI441" s="174">
        <v>368.5</v>
      </c>
      <c r="AJ441" s="256">
        <f t="shared" si="9"/>
        <v>0.01837778085</v>
      </c>
      <c r="AK441" s="257"/>
      <c r="AL441" s="255">
        <v>45499.0</v>
      </c>
      <c r="AM441" s="174">
        <v>5459.1</v>
      </c>
      <c r="AN441" s="256">
        <f t="shared" si="10"/>
        <v>0.01109049085</v>
      </c>
      <c r="AO441" s="154"/>
      <c r="AP441" s="154"/>
    </row>
    <row r="442">
      <c r="A442" s="154"/>
      <c r="B442" s="255">
        <v>45498.0</v>
      </c>
      <c r="C442" s="174">
        <v>22.07</v>
      </c>
      <c r="D442" s="256">
        <f t="shared" si="1"/>
        <v>0.02034211743</v>
      </c>
      <c r="E442" s="154"/>
      <c r="F442" s="255">
        <v>45498.0</v>
      </c>
      <c r="G442" s="174">
        <v>11.76</v>
      </c>
      <c r="H442" s="256">
        <f t="shared" si="2"/>
        <v>0.005128205128</v>
      </c>
      <c r="I442" s="154"/>
      <c r="J442" s="255">
        <v>45498.0</v>
      </c>
      <c r="K442" s="174">
        <v>16.8</v>
      </c>
      <c r="L442" s="256">
        <f t="shared" si="3"/>
        <v>0.01818181818</v>
      </c>
      <c r="M442" s="154"/>
      <c r="N442" s="255">
        <v>45498.0</v>
      </c>
      <c r="O442" s="174">
        <v>1862.0</v>
      </c>
      <c r="P442" s="256">
        <f t="shared" si="4"/>
        <v>0.001075268817</v>
      </c>
      <c r="Q442" s="154"/>
      <c r="R442" s="255">
        <v>45498.0</v>
      </c>
      <c r="S442" s="174">
        <v>28.07</v>
      </c>
      <c r="T442" s="256">
        <f t="shared" si="5"/>
        <v>0.004652827487</v>
      </c>
      <c r="U442" s="154"/>
      <c r="V442" s="255">
        <v>45498.0</v>
      </c>
      <c r="W442" s="174">
        <v>1370.64</v>
      </c>
      <c r="X442" s="256">
        <f t="shared" si="6"/>
        <v>0.004845934474</v>
      </c>
      <c r="Y442" s="154"/>
      <c r="Z442" s="255">
        <v>45498.0</v>
      </c>
      <c r="AA442" s="174">
        <v>1500.05</v>
      </c>
      <c r="AB442" s="256">
        <f t="shared" si="7"/>
        <v>-0.002294645826</v>
      </c>
      <c r="AC442" s="154"/>
      <c r="AD442" s="255">
        <v>45498.0</v>
      </c>
      <c r="AE442" s="174">
        <v>11.29</v>
      </c>
      <c r="AF442" s="256">
        <f t="shared" si="8"/>
        <v>-0.02672413793</v>
      </c>
      <c r="AG442" s="257"/>
      <c r="AH442" s="255">
        <v>45498.0</v>
      </c>
      <c r="AI442" s="174">
        <v>361.85</v>
      </c>
      <c r="AJ442" s="256">
        <f t="shared" si="9"/>
        <v>0.03979885057</v>
      </c>
      <c r="AK442" s="257"/>
      <c r="AL442" s="255">
        <v>45498.0</v>
      </c>
      <c r="AM442" s="174">
        <v>5399.22</v>
      </c>
      <c r="AN442" s="256">
        <f t="shared" si="10"/>
        <v>-0.005142681307</v>
      </c>
      <c r="AO442" s="154"/>
      <c r="AP442" s="154"/>
    </row>
    <row r="443">
      <c r="A443" s="154"/>
      <c r="B443" s="255">
        <v>45497.0</v>
      </c>
      <c r="C443" s="174">
        <v>21.63</v>
      </c>
      <c r="D443" s="256">
        <f t="shared" si="1"/>
        <v>0.007921714818</v>
      </c>
      <c r="E443" s="154"/>
      <c r="F443" s="255">
        <v>45497.0</v>
      </c>
      <c r="G443" s="174">
        <v>11.7</v>
      </c>
      <c r="H443" s="256">
        <f t="shared" si="2"/>
        <v>0.01739130435</v>
      </c>
      <c r="I443" s="154"/>
      <c r="J443" s="255">
        <v>45497.0</v>
      </c>
      <c r="K443" s="174">
        <v>16.5</v>
      </c>
      <c r="L443" s="256">
        <f t="shared" si="3"/>
        <v>-0.02654867257</v>
      </c>
      <c r="M443" s="154"/>
      <c r="N443" s="255">
        <v>45497.0</v>
      </c>
      <c r="O443" s="174">
        <v>1860.0</v>
      </c>
      <c r="P443" s="256">
        <f t="shared" si="4"/>
        <v>0.00269541779</v>
      </c>
      <c r="Q443" s="154"/>
      <c r="R443" s="255">
        <v>45497.0</v>
      </c>
      <c r="S443" s="174">
        <v>27.94</v>
      </c>
      <c r="T443" s="256">
        <f t="shared" si="5"/>
        <v>0.001074883554</v>
      </c>
      <c r="U443" s="154"/>
      <c r="V443" s="255">
        <v>45497.0</v>
      </c>
      <c r="W443" s="174">
        <v>1364.03</v>
      </c>
      <c r="X443" s="256">
        <f t="shared" si="6"/>
        <v>-0.006533139111</v>
      </c>
      <c r="Y443" s="154"/>
      <c r="Z443" s="255">
        <v>45497.0</v>
      </c>
      <c r="AA443" s="174">
        <v>1503.5</v>
      </c>
      <c r="AB443" s="256">
        <f t="shared" si="7"/>
        <v>0.003738567328</v>
      </c>
      <c r="AC443" s="154"/>
      <c r="AD443" s="255">
        <v>45497.0</v>
      </c>
      <c r="AE443" s="174">
        <v>11.6</v>
      </c>
      <c r="AF443" s="256">
        <f t="shared" si="8"/>
        <v>-0.01694915254</v>
      </c>
      <c r="AG443" s="257"/>
      <c r="AH443" s="255">
        <v>45497.0</v>
      </c>
      <c r="AI443" s="174">
        <v>348.0</v>
      </c>
      <c r="AJ443" s="256">
        <f t="shared" si="9"/>
        <v>0.03248776146</v>
      </c>
      <c r="AK443" s="257"/>
      <c r="AL443" s="255">
        <v>45497.0</v>
      </c>
      <c r="AM443" s="174">
        <v>5427.13</v>
      </c>
      <c r="AN443" s="256">
        <f t="shared" si="10"/>
        <v>-0.02314903145</v>
      </c>
      <c r="AO443" s="154"/>
      <c r="AP443" s="154"/>
    </row>
    <row r="444">
      <c r="A444" s="154"/>
      <c r="B444" s="255">
        <v>45496.0</v>
      </c>
      <c r="C444" s="174">
        <v>21.46</v>
      </c>
      <c r="D444" s="256">
        <f t="shared" si="1"/>
        <v>-0.003714020427</v>
      </c>
      <c r="E444" s="154"/>
      <c r="F444" s="255">
        <v>45496.0</v>
      </c>
      <c r="G444" s="174">
        <v>11.5</v>
      </c>
      <c r="H444" s="256">
        <f t="shared" si="2"/>
        <v>-0.0145672665</v>
      </c>
      <c r="I444" s="154"/>
      <c r="J444" s="255">
        <v>45496.0</v>
      </c>
      <c r="K444" s="174">
        <v>16.95</v>
      </c>
      <c r="L444" s="256">
        <f t="shared" si="3"/>
        <v>-0.001766784452</v>
      </c>
      <c r="M444" s="154"/>
      <c r="N444" s="255">
        <v>45496.0</v>
      </c>
      <c r="O444" s="174">
        <v>1855.0</v>
      </c>
      <c r="P444" s="256">
        <f t="shared" si="4"/>
        <v>-0.01329787234</v>
      </c>
      <c r="Q444" s="154"/>
      <c r="R444" s="255">
        <v>45496.0</v>
      </c>
      <c r="S444" s="174">
        <v>27.91</v>
      </c>
      <c r="T444" s="256">
        <f t="shared" si="5"/>
        <v>0.005765765766</v>
      </c>
      <c r="U444" s="154"/>
      <c r="V444" s="255">
        <v>45496.0</v>
      </c>
      <c r="W444" s="174">
        <v>1373.0</v>
      </c>
      <c r="X444" s="256">
        <f t="shared" si="6"/>
        <v>0.01389770931</v>
      </c>
      <c r="Y444" s="154"/>
      <c r="Z444" s="255">
        <v>45496.0</v>
      </c>
      <c r="AA444" s="174">
        <v>1497.9</v>
      </c>
      <c r="AB444" s="256">
        <f t="shared" si="7"/>
        <v>0.005302013423</v>
      </c>
      <c r="AC444" s="154"/>
      <c r="AD444" s="255">
        <v>45496.0</v>
      </c>
      <c r="AE444" s="174">
        <v>11.8</v>
      </c>
      <c r="AF444" s="256">
        <f t="shared" si="8"/>
        <v>-0.01666666667</v>
      </c>
      <c r="AG444" s="257"/>
      <c r="AH444" s="255">
        <v>45496.0</v>
      </c>
      <c r="AI444" s="174">
        <v>337.05</v>
      </c>
      <c r="AJ444" s="256">
        <f t="shared" si="9"/>
        <v>0.00506933055</v>
      </c>
      <c r="AK444" s="257"/>
      <c r="AL444" s="255">
        <v>45496.0</v>
      </c>
      <c r="AM444" s="174">
        <v>5555.74</v>
      </c>
      <c r="AN444" s="256">
        <f t="shared" si="10"/>
        <v>-0.001558116674</v>
      </c>
      <c r="AO444" s="154"/>
      <c r="AP444" s="154"/>
    </row>
    <row r="445">
      <c r="A445" s="154"/>
      <c r="B445" s="255">
        <v>45495.0</v>
      </c>
      <c r="C445" s="174">
        <v>21.54</v>
      </c>
      <c r="D445" s="256">
        <f t="shared" si="1"/>
        <v>0.0266920877</v>
      </c>
      <c r="E445" s="154"/>
      <c r="F445" s="255">
        <v>45495.0</v>
      </c>
      <c r="G445" s="174">
        <v>11.67</v>
      </c>
      <c r="H445" s="256">
        <f t="shared" si="2"/>
        <v>-0.01435810811</v>
      </c>
      <c r="I445" s="154"/>
      <c r="J445" s="255">
        <v>45495.0</v>
      </c>
      <c r="K445" s="174">
        <v>16.98</v>
      </c>
      <c r="L445" s="256">
        <f t="shared" si="3"/>
        <v>0.01011302796</v>
      </c>
      <c r="M445" s="154"/>
      <c r="N445" s="255">
        <v>45495.0</v>
      </c>
      <c r="O445" s="174">
        <v>1880.0</v>
      </c>
      <c r="P445" s="256">
        <f t="shared" si="4"/>
        <v>0.006963042314</v>
      </c>
      <c r="Q445" s="154"/>
      <c r="R445" s="255">
        <v>45495.0</v>
      </c>
      <c r="S445" s="174">
        <v>27.75</v>
      </c>
      <c r="T445" s="256">
        <f t="shared" si="5"/>
        <v>-0.008928571429</v>
      </c>
      <c r="U445" s="154"/>
      <c r="V445" s="255">
        <v>45495.0</v>
      </c>
      <c r="W445" s="174">
        <v>1354.18</v>
      </c>
      <c r="X445" s="256">
        <f t="shared" si="6"/>
        <v>0.02032851115</v>
      </c>
      <c r="Y445" s="154"/>
      <c r="Z445" s="255">
        <v>45495.0</v>
      </c>
      <c r="AA445" s="174">
        <v>1490.0</v>
      </c>
      <c r="AB445" s="256">
        <f t="shared" si="7"/>
        <v>0.00302928307</v>
      </c>
      <c r="AC445" s="154"/>
      <c r="AD445" s="255">
        <v>45495.0</v>
      </c>
      <c r="AE445" s="174">
        <v>12.0</v>
      </c>
      <c r="AF445" s="256">
        <f t="shared" si="8"/>
        <v>0.005025125628</v>
      </c>
      <c r="AG445" s="257"/>
      <c r="AH445" s="255">
        <v>45495.0</v>
      </c>
      <c r="AI445" s="174">
        <v>335.35</v>
      </c>
      <c r="AJ445" s="256">
        <f t="shared" si="9"/>
        <v>0.0004474940334</v>
      </c>
      <c r="AK445" s="257"/>
      <c r="AL445" s="255">
        <v>45495.0</v>
      </c>
      <c r="AM445" s="174">
        <v>5564.41</v>
      </c>
      <c r="AN445" s="256">
        <f t="shared" si="10"/>
        <v>0.01079200727</v>
      </c>
      <c r="AO445" s="154"/>
      <c r="AP445" s="154"/>
    </row>
    <row r="446">
      <c r="A446" s="154"/>
      <c r="B446" s="255">
        <v>45492.0</v>
      </c>
      <c r="C446" s="174">
        <v>20.98</v>
      </c>
      <c r="D446" s="256">
        <f t="shared" si="1"/>
        <v>0.0004768717215</v>
      </c>
      <c r="E446" s="154"/>
      <c r="F446" s="255">
        <v>45492.0</v>
      </c>
      <c r="G446" s="174">
        <v>11.84</v>
      </c>
      <c r="H446" s="256">
        <f t="shared" si="2"/>
        <v>0.005947323704</v>
      </c>
      <c r="I446" s="154"/>
      <c r="J446" s="255">
        <v>45492.0</v>
      </c>
      <c r="K446" s="174">
        <v>16.81</v>
      </c>
      <c r="L446" s="256">
        <f t="shared" si="3"/>
        <v>0.02876376989</v>
      </c>
      <c r="M446" s="154"/>
      <c r="N446" s="255">
        <v>45492.0</v>
      </c>
      <c r="O446" s="174">
        <v>1867.0</v>
      </c>
      <c r="P446" s="256">
        <f t="shared" si="4"/>
        <v>0.004303388919</v>
      </c>
      <c r="Q446" s="154"/>
      <c r="R446" s="255">
        <v>45492.0</v>
      </c>
      <c r="S446" s="174">
        <v>28.0</v>
      </c>
      <c r="T446" s="256">
        <f t="shared" si="5"/>
        <v>0.01265822785</v>
      </c>
      <c r="U446" s="154"/>
      <c r="V446" s="255">
        <v>45492.0</v>
      </c>
      <c r="W446" s="174">
        <v>1327.2</v>
      </c>
      <c r="X446" s="256">
        <f t="shared" si="6"/>
        <v>-0.004724409449</v>
      </c>
      <c r="Y446" s="154"/>
      <c r="Z446" s="255">
        <v>45492.0</v>
      </c>
      <c r="AA446" s="174">
        <v>1485.5</v>
      </c>
      <c r="AB446" s="256">
        <f t="shared" si="7"/>
        <v>-0.0140377659</v>
      </c>
      <c r="AC446" s="154"/>
      <c r="AD446" s="255">
        <v>45492.0</v>
      </c>
      <c r="AE446" s="174">
        <v>11.94</v>
      </c>
      <c r="AF446" s="256">
        <f t="shared" si="8"/>
        <v>0.002518891688</v>
      </c>
      <c r="AG446" s="257"/>
      <c r="AH446" s="255">
        <v>45492.0</v>
      </c>
      <c r="AI446" s="174">
        <v>335.2</v>
      </c>
      <c r="AJ446" s="256">
        <f t="shared" si="9"/>
        <v>-0.02331002331</v>
      </c>
      <c r="AK446" s="257"/>
      <c r="AL446" s="255">
        <v>45492.0</v>
      </c>
      <c r="AM446" s="174">
        <v>5505.0</v>
      </c>
      <c r="AN446" s="256">
        <f t="shared" si="10"/>
        <v>-0.007140293511</v>
      </c>
      <c r="AO446" s="154"/>
      <c r="AP446" s="154"/>
    </row>
    <row r="447">
      <c r="A447" s="154"/>
      <c r="B447" s="255">
        <v>45491.0</v>
      </c>
      <c r="C447" s="174">
        <v>20.97</v>
      </c>
      <c r="D447" s="256">
        <f t="shared" si="1"/>
        <v>0.007688611245</v>
      </c>
      <c r="E447" s="154"/>
      <c r="F447" s="255">
        <v>45491.0</v>
      </c>
      <c r="G447" s="174">
        <v>11.77</v>
      </c>
      <c r="H447" s="256">
        <f t="shared" si="2"/>
        <v>0.03427065026</v>
      </c>
      <c r="I447" s="154"/>
      <c r="J447" s="255">
        <v>45491.0</v>
      </c>
      <c r="K447" s="174">
        <v>16.34</v>
      </c>
      <c r="L447" s="256">
        <f t="shared" si="3"/>
        <v>-0.01861861862</v>
      </c>
      <c r="M447" s="154"/>
      <c r="N447" s="255">
        <v>45491.0</v>
      </c>
      <c r="O447" s="174">
        <v>1859.0</v>
      </c>
      <c r="P447" s="256">
        <f t="shared" si="4"/>
        <v>0.004864864865</v>
      </c>
      <c r="Q447" s="154"/>
      <c r="R447" s="255">
        <v>45491.0</v>
      </c>
      <c r="S447" s="174">
        <v>27.65</v>
      </c>
      <c r="T447" s="256">
        <f t="shared" si="5"/>
        <v>0.02067183463</v>
      </c>
      <c r="U447" s="154"/>
      <c r="V447" s="255">
        <v>45491.0</v>
      </c>
      <c r="W447" s="174">
        <v>1333.5</v>
      </c>
      <c r="X447" s="256">
        <f t="shared" si="6"/>
        <v>0.003227480985</v>
      </c>
      <c r="Y447" s="154"/>
      <c r="Z447" s="255">
        <v>45491.0</v>
      </c>
      <c r="AA447" s="174">
        <v>1506.65</v>
      </c>
      <c r="AB447" s="256">
        <f t="shared" si="7"/>
        <v>-0.002482786017</v>
      </c>
      <c r="AC447" s="154"/>
      <c r="AD447" s="255">
        <v>45491.0</v>
      </c>
      <c r="AE447" s="174">
        <v>11.91</v>
      </c>
      <c r="AF447" s="256">
        <f t="shared" si="8"/>
        <v>-0.01894563427</v>
      </c>
      <c r="AG447" s="257"/>
      <c r="AH447" s="255">
        <v>45491.0</v>
      </c>
      <c r="AI447" s="174">
        <v>343.2</v>
      </c>
      <c r="AJ447" s="256">
        <f t="shared" si="9"/>
        <v>-0.02886247878</v>
      </c>
      <c r="AK447" s="257"/>
      <c r="AL447" s="255">
        <v>45491.0</v>
      </c>
      <c r="AM447" s="174">
        <v>5544.59</v>
      </c>
      <c r="AN447" s="256">
        <f t="shared" si="10"/>
        <v>-0.02163502259</v>
      </c>
      <c r="AO447" s="154"/>
      <c r="AP447" s="154"/>
    </row>
    <row r="448">
      <c r="A448" s="154"/>
      <c r="B448" s="255">
        <v>45489.0</v>
      </c>
      <c r="C448" s="174">
        <v>20.81</v>
      </c>
      <c r="D448" s="256">
        <f t="shared" si="1"/>
        <v>0.003859141341</v>
      </c>
      <c r="E448" s="154"/>
      <c r="F448" s="255">
        <v>45489.0</v>
      </c>
      <c r="G448" s="174">
        <v>11.38</v>
      </c>
      <c r="H448" s="256">
        <f t="shared" si="2"/>
        <v>0.03454545455</v>
      </c>
      <c r="I448" s="154"/>
      <c r="J448" s="255">
        <v>45489.0</v>
      </c>
      <c r="K448" s="174">
        <v>16.65</v>
      </c>
      <c r="L448" s="256">
        <f t="shared" si="3"/>
        <v>-0.02517564403</v>
      </c>
      <c r="M448" s="154"/>
      <c r="N448" s="255">
        <v>45489.0</v>
      </c>
      <c r="O448" s="174">
        <v>1850.0</v>
      </c>
      <c r="P448" s="256">
        <f t="shared" si="4"/>
        <v>0.00707675558</v>
      </c>
      <c r="Q448" s="154"/>
      <c r="R448" s="255">
        <v>45489.0</v>
      </c>
      <c r="S448" s="174">
        <v>27.09</v>
      </c>
      <c r="T448" s="256">
        <f t="shared" si="5"/>
        <v>0.007063197026</v>
      </c>
      <c r="U448" s="154"/>
      <c r="V448" s="255">
        <v>45489.0</v>
      </c>
      <c r="W448" s="174">
        <v>1329.21</v>
      </c>
      <c r="X448" s="256">
        <f t="shared" si="6"/>
        <v>-0.02188454321</v>
      </c>
      <c r="Y448" s="154"/>
      <c r="Z448" s="255">
        <v>45489.0</v>
      </c>
      <c r="AA448" s="174">
        <v>1510.4</v>
      </c>
      <c r="AB448" s="256">
        <f t="shared" si="7"/>
        <v>-0.004481940417</v>
      </c>
      <c r="AC448" s="154"/>
      <c r="AD448" s="255">
        <v>45489.0</v>
      </c>
      <c r="AE448" s="174">
        <v>12.14</v>
      </c>
      <c r="AF448" s="256">
        <f t="shared" si="8"/>
        <v>0.003305785124</v>
      </c>
      <c r="AG448" s="257"/>
      <c r="AH448" s="255">
        <v>45489.0</v>
      </c>
      <c r="AI448" s="174">
        <v>353.4</v>
      </c>
      <c r="AJ448" s="256">
        <f t="shared" si="9"/>
        <v>-0.01601002367</v>
      </c>
      <c r="AK448" s="257"/>
      <c r="AL448" s="255">
        <v>45489.0</v>
      </c>
      <c r="AM448" s="174">
        <v>5667.2</v>
      </c>
      <c r="AN448" s="256">
        <f t="shared" si="10"/>
        <v>0.006389379211</v>
      </c>
      <c r="AO448" s="154"/>
      <c r="AP448" s="154"/>
    </row>
    <row r="449">
      <c r="A449" s="154"/>
      <c r="B449" s="255">
        <v>45488.0</v>
      </c>
      <c r="C449" s="174">
        <v>20.73</v>
      </c>
      <c r="D449" s="256">
        <f t="shared" si="1"/>
        <v>-0.02676056338</v>
      </c>
      <c r="E449" s="154"/>
      <c r="F449" s="255">
        <v>45488.0</v>
      </c>
      <c r="G449" s="174">
        <v>11.0</v>
      </c>
      <c r="H449" s="256">
        <f t="shared" si="2"/>
        <v>-0.02135231317</v>
      </c>
      <c r="I449" s="154"/>
      <c r="J449" s="255">
        <v>45488.0</v>
      </c>
      <c r="K449" s="174">
        <v>17.08</v>
      </c>
      <c r="L449" s="256">
        <f t="shared" si="3"/>
        <v>-0.01157407407</v>
      </c>
      <c r="M449" s="154"/>
      <c r="N449" s="255">
        <v>45488.0</v>
      </c>
      <c r="O449" s="174">
        <v>1837.0</v>
      </c>
      <c r="P449" s="256">
        <f t="shared" si="4"/>
        <v>0</v>
      </c>
      <c r="Q449" s="154"/>
      <c r="R449" s="255">
        <v>45488.0</v>
      </c>
      <c r="S449" s="174">
        <v>26.9</v>
      </c>
      <c r="T449" s="256">
        <f t="shared" si="5"/>
        <v>-0.0211062591</v>
      </c>
      <c r="U449" s="154"/>
      <c r="V449" s="255">
        <v>45488.0</v>
      </c>
      <c r="W449" s="174">
        <v>1358.95</v>
      </c>
      <c r="X449" s="256">
        <f t="shared" si="6"/>
        <v>0.01120627432</v>
      </c>
      <c r="Y449" s="154"/>
      <c r="Z449" s="255">
        <v>45488.0</v>
      </c>
      <c r="AA449" s="174">
        <v>1517.2</v>
      </c>
      <c r="AB449" s="256">
        <f t="shared" si="7"/>
        <v>0.003405972025</v>
      </c>
      <c r="AC449" s="154"/>
      <c r="AD449" s="255">
        <v>45488.0</v>
      </c>
      <c r="AE449" s="174">
        <v>12.1</v>
      </c>
      <c r="AF449" s="256">
        <f t="shared" si="8"/>
        <v>-0.004115226337</v>
      </c>
      <c r="AG449" s="257"/>
      <c r="AH449" s="255">
        <v>45488.0</v>
      </c>
      <c r="AI449" s="174">
        <v>359.15</v>
      </c>
      <c r="AJ449" s="256">
        <f t="shared" si="9"/>
        <v>0.0239486814</v>
      </c>
      <c r="AK449" s="257"/>
      <c r="AL449" s="255">
        <v>45488.0</v>
      </c>
      <c r="AM449" s="174">
        <v>5631.22</v>
      </c>
      <c r="AN449" s="256">
        <f t="shared" si="10"/>
        <v>0.002826181805</v>
      </c>
      <c r="AO449" s="154"/>
      <c r="AP449" s="154"/>
    </row>
    <row r="450">
      <c r="A450" s="154"/>
      <c r="B450" s="255">
        <v>45485.0</v>
      </c>
      <c r="C450" s="174">
        <v>21.3</v>
      </c>
      <c r="D450" s="256">
        <f t="shared" si="1"/>
        <v>0.02011494253</v>
      </c>
      <c r="E450" s="154"/>
      <c r="F450" s="255">
        <v>45485.0</v>
      </c>
      <c r="G450" s="174">
        <v>11.24</v>
      </c>
      <c r="H450" s="256">
        <f t="shared" si="2"/>
        <v>0.004468275246</v>
      </c>
      <c r="I450" s="154"/>
      <c r="J450" s="255">
        <v>45485.0</v>
      </c>
      <c r="K450" s="174">
        <v>17.28</v>
      </c>
      <c r="L450" s="256">
        <f t="shared" si="3"/>
        <v>0.01052631579</v>
      </c>
      <c r="M450" s="154"/>
      <c r="N450" s="255">
        <v>45485.0</v>
      </c>
      <c r="O450" s="174">
        <v>1837.0</v>
      </c>
      <c r="P450" s="256">
        <f t="shared" si="4"/>
        <v>0.0005446623094</v>
      </c>
      <c r="Q450" s="154"/>
      <c r="R450" s="255">
        <v>45485.0</v>
      </c>
      <c r="S450" s="174">
        <v>27.48</v>
      </c>
      <c r="T450" s="256">
        <f t="shared" si="5"/>
        <v>-0.01293103448</v>
      </c>
      <c r="U450" s="154"/>
      <c r="V450" s="255">
        <v>45485.0</v>
      </c>
      <c r="W450" s="174">
        <v>1343.89</v>
      </c>
      <c r="X450" s="256">
        <f t="shared" si="6"/>
        <v>0.01890898063</v>
      </c>
      <c r="Y450" s="154"/>
      <c r="Z450" s="255">
        <v>45485.0</v>
      </c>
      <c r="AA450" s="174">
        <v>1512.05</v>
      </c>
      <c r="AB450" s="256">
        <f t="shared" si="7"/>
        <v>0.004017264276</v>
      </c>
      <c r="AC450" s="154"/>
      <c r="AD450" s="255">
        <v>45485.0</v>
      </c>
      <c r="AE450" s="174">
        <v>12.15</v>
      </c>
      <c r="AF450" s="256">
        <f t="shared" si="8"/>
        <v>0.0201511335</v>
      </c>
      <c r="AG450" s="257"/>
      <c r="AH450" s="255">
        <v>45485.0</v>
      </c>
      <c r="AI450" s="174">
        <v>350.75</v>
      </c>
      <c r="AJ450" s="256">
        <f t="shared" si="9"/>
        <v>-0.01071781131</v>
      </c>
      <c r="AK450" s="257"/>
      <c r="AL450" s="255">
        <v>45485.0</v>
      </c>
      <c r="AM450" s="174">
        <v>5615.35</v>
      </c>
      <c r="AN450" s="256">
        <f t="shared" si="10"/>
        <v>0.005517016621</v>
      </c>
      <c r="AO450" s="154"/>
      <c r="AP450" s="154"/>
    </row>
    <row r="451">
      <c r="A451" s="154"/>
      <c r="B451" s="255">
        <v>45484.0</v>
      </c>
      <c r="C451" s="174">
        <v>20.88</v>
      </c>
      <c r="D451" s="256">
        <f t="shared" si="1"/>
        <v>0.04819277108</v>
      </c>
      <c r="E451" s="154"/>
      <c r="F451" s="255">
        <v>45484.0</v>
      </c>
      <c r="G451" s="174">
        <v>11.19</v>
      </c>
      <c r="H451" s="256">
        <f t="shared" si="2"/>
        <v>0.02754820937</v>
      </c>
      <c r="I451" s="154"/>
      <c r="J451" s="255">
        <v>45484.0</v>
      </c>
      <c r="K451" s="174">
        <v>17.1</v>
      </c>
      <c r="L451" s="256">
        <f t="shared" si="3"/>
        <v>0.007067137809</v>
      </c>
      <c r="M451" s="154"/>
      <c r="N451" s="255">
        <v>45484.0</v>
      </c>
      <c r="O451" s="174">
        <v>1836.0</v>
      </c>
      <c r="P451" s="256">
        <f t="shared" si="4"/>
        <v>0.01045679692</v>
      </c>
      <c r="Q451" s="154"/>
      <c r="R451" s="255">
        <v>45484.0</v>
      </c>
      <c r="S451" s="174">
        <v>27.84</v>
      </c>
      <c r="T451" s="256">
        <f t="shared" si="5"/>
        <v>0.02503681885</v>
      </c>
      <c r="U451" s="154"/>
      <c r="V451" s="255">
        <v>45484.0</v>
      </c>
      <c r="W451" s="174">
        <v>1318.95</v>
      </c>
      <c r="X451" s="256">
        <f t="shared" si="6"/>
        <v>0.0003337100212</v>
      </c>
      <c r="Y451" s="154"/>
      <c r="Z451" s="255">
        <v>45484.0</v>
      </c>
      <c r="AA451" s="174">
        <v>1506.0</v>
      </c>
      <c r="AB451" s="256">
        <f t="shared" si="7"/>
        <v>-0.004758128469</v>
      </c>
      <c r="AC451" s="154"/>
      <c r="AD451" s="255">
        <v>45484.0</v>
      </c>
      <c r="AE451" s="174">
        <v>11.91</v>
      </c>
      <c r="AF451" s="256">
        <f t="shared" si="8"/>
        <v>-0.01488833747</v>
      </c>
      <c r="AG451" s="257"/>
      <c r="AH451" s="255">
        <v>45484.0</v>
      </c>
      <c r="AI451" s="174">
        <v>354.55</v>
      </c>
      <c r="AJ451" s="256">
        <f t="shared" si="9"/>
        <v>-0.00894479385</v>
      </c>
      <c r="AK451" s="257"/>
      <c r="AL451" s="255">
        <v>45484.0</v>
      </c>
      <c r="AM451" s="174">
        <v>5584.54</v>
      </c>
      <c r="AN451" s="256">
        <f t="shared" si="10"/>
        <v>-0.008763008284</v>
      </c>
      <c r="AO451" s="154"/>
      <c r="AP451" s="154"/>
    </row>
    <row r="452">
      <c r="A452" s="154"/>
      <c r="B452" s="255">
        <v>45483.0</v>
      </c>
      <c r="C452" s="174">
        <v>19.92</v>
      </c>
      <c r="D452" s="256">
        <f t="shared" si="1"/>
        <v>-0.0005017561465</v>
      </c>
      <c r="E452" s="154"/>
      <c r="F452" s="255">
        <v>45483.0</v>
      </c>
      <c r="G452" s="174">
        <v>10.89</v>
      </c>
      <c r="H452" s="256">
        <f t="shared" si="2"/>
        <v>0.008333333333</v>
      </c>
      <c r="I452" s="154"/>
      <c r="J452" s="255">
        <v>45483.0</v>
      </c>
      <c r="K452" s="174">
        <v>16.98</v>
      </c>
      <c r="L452" s="256">
        <f t="shared" si="3"/>
        <v>0.07400379507</v>
      </c>
      <c r="M452" s="154"/>
      <c r="N452" s="255">
        <v>45483.0</v>
      </c>
      <c r="O452" s="174">
        <v>1817.0</v>
      </c>
      <c r="P452" s="256">
        <f t="shared" si="4"/>
        <v>0.003867403315</v>
      </c>
      <c r="Q452" s="154"/>
      <c r="R452" s="255">
        <v>45483.0</v>
      </c>
      <c r="S452" s="174">
        <v>27.16</v>
      </c>
      <c r="T452" s="256">
        <f t="shared" si="5"/>
        <v>0.02529256323</v>
      </c>
      <c r="U452" s="154"/>
      <c r="V452" s="255">
        <v>45483.0</v>
      </c>
      <c r="W452" s="174">
        <v>1318.51</v>
      </c>
      <c r="X452" s="256">
        <f t="shared" si="6"/>
        <v>0.001473525904</v>
      </c>
      <c r="Y452" s="154"/>
      <c r="Z452" s="255">
        <v>45483.0</v>
      </c>
      <c r="AA452" s="174">
        <v>1513.2</v>
      </c>
      <c r="AB452" s="256">
        <f t="shared" si="7"/>
        <v>0.0007605568599</v>
      </c>
      <c r="AC452" s="154"/>
      <c r="AD452" s="255">
        <v>45483.0</v>
      </c>
      <c r="AE452" s="174">
        <v>12.09</v>
      </c>
      <c r="AF452" s="256">
        <f t="shared" si="8"/>
        <v>0.006661115737</v>
      </c>
      <c r="AG452" s="257"/>
      <c r="AH452" s="255">
        <v>45483.0</v>
      </c>
      <c r="AI452" s="174">
        <v>357.75</v>
      </c>
      <c r="AJ452" s="256">
        <f t="shared" si="9"/>
        <v>-0.01446280992</v>
      </c>
      <c r="AK452" s="257"/>
      <c r="AL452" s="255">
        <v>45483.0</v>
      </c>
      <c r="AM452" s="174">
        <v>5633.91</v>
      </c>
      <c r="AN452" s="256">
        <f t="shared" si="10"/>
        <v>0.01020803374</v>
      </c>
      <c r="AO452" s="154"/>
      <c r="AP452" s="154"/>
    </row>
    <row r="453">
      <c r="A453" s="154"/>
      <c r="B453" s="255">
        <v>45482.0</v>
      </c>
      <c r="C453" s="174">
        <v>19.93</v>
      </c>
      <c r="D453" s="256">
        <f t="shared" si="1"/>
        <v>-0.01042701092</v>
      </c>
      <c r="E453" s="154"/>
      <c r="F453" s="255">
        <v>45482.0</v>
      </c>
      <c r="G453" s="174">
        <v>10.8</v>
      </c>
      <c r="H453" s="256">
        <f t="shared" si="2"/>
        <v>0.01790763431</v>
      </c>
      <c r="I453" s="154"/>
      <c r="J453" s="255">
        <v>45482.0</v>
      </c>
      <c r="K453" s="174">
        <v>15.81</v>
      </c>
      <c r="L453" s="256">
        <f t="shared" si="3"/>
        <v>-0.03361858191</v>
      </c>
      <c r="M453" s="154"/>
      <c r="N453" s="255">
        <v>45482.0</v>
      </c>
      <c r="O453" s="174">
        <v>1810.0</v>
      </c>
      <c r="P453" s="256">
        <f t="shared" si="4"/>
        <v>0.0005527915976</v>
      </c>
      <c r="Q453" s="154"/>
      <c r="R453" s="255">
        <v>45482.0</v>
      </c>
      <c r="S453" s="174">
        <v>26.49</v>
      </c>
      <c r="T453" s="256">
        <f t="shared" si="5"/>
        <v>0.0299377916</v>
      </c>
      <c r="U453" s="154"/>
      <c r="V453" s="255">
        <v>45482.0</v>
      </c>
      <c r="W453" s="174">
        <v>1316.57</v>
      </c>
      <c r="X453" s="256">
        <f t="shared" si="6"/>
        <v>0.007453149989</v>
      </c>
      <c r="Y453" s="154"/>
      <c r="Z453" s="255">
        <v>45482.0</v>
      </c>
      <c r="AA453" s="174">
        <v>1512.05</v>
      </c>
      <c r="AB453" s="256">
        <f t="shared" si="7"/>
        <v>0.01681180861</v>
      </c>
      <c r="AC453" s="154"/>
      <c r="AD453" s="255">
        <v>45482.0</v>
      </c>
      <c r="AE453" s="174">
        <v>12.01</v>
      </c>
      <c r="AF453" s="256">
        <f t="shared" si="8"/>
        <v>-0.01152263374</v>
      </c>
      <c r="AG453" s="257"/>
      <c r="AH453" s="255">
        <v>45482.0</v>
      </c>
      <c r="AI453" s="174">
        <v>363.0</v>
      </c>
      <c r="AJ453" s="256">
        <f t="shared" si="9"/>
        <v>-0.009954997954</v>
      </c>
      <c r="AK453" s="257"/>
      <c r="AL453" s="255">
        <v>45482.0</v>
      </c>
      <c r="AM453" s="174">
        <v>5576.98</v>
      </c>
      <c r="AN453" s="256">
        <f t="shared" si="10"/>
        <v>0.0007410929776</v>
      </c>
      <c r="AO453" s="154"/>
      <c r="AP453" s="154"/>
    </row>
    <row r="454">
      <c r="A454" s="154"/>
      <c r="B454" s="255">
        <v>45481.0</v>
      </c>
      <c r="C454" s="174">
        <v>20.14</v>
      </c>
      <c r="D454" s="256">
        <f t="shared" si="1"/>
        <v>0.001491795127</v>
      </c>
      <c r="E454" s="154"/>
      <c r="F454" s="255">
        <v>45481.0</v>
      </c>
      <c r="G454" s="174">
        <v>10.61</v>
      </c>
      <c r="H454" s="256">
        <f t="shared" si="2"/>
        <v>0.02810077519</v>
      </c>
      <c r="I454" s="154"/>
      <c r="J454" s="255">
        <v>45481.0</v>
      </c>
      <c r="K454" s="174">
        <v>16.36</v>
      </c>
      <c r="L454" s="256">
        <f t="shared" si="3"/>
        <v>-0.00243902439</v>
      </c>
      <c r="M454" s="154"/>
      <c r="N454" s="255">
        <v>45481.0</v>
      </c>
      <c r="O454" s="174">
        <v>1809.0</v>
      </c>
      <c r="P454" s="256">
        <f t="shared" si="4"/>
        <v>-0.00495049505</v>
      </c>
      <c r="Q454" s="154"/>
      <c r="R454" s="255">
        <v>45481.0</v>
      </c>
      <c r="S454" s="174">
        <v>25.72</v>
      </c>
      <c r="T454" s="256">
        <f t="shared" si="5"/>
        <v>0.01100628931</v>
      </c>
      <c r="U454" s="154"/>
      <c r="V454" s="255">
        <v>45481.0</v>
      </c>
      <c r="W454" s="174">
        <v>1306.83</v>
      </c>
      <c r="X454" s="256">
        <f t="shared" si="6"/>
        <v>0.002170245399</v>
      </c>
      <c r="Y454" s="154"/>
      <c r="Z454" s="255">
        <v>45481.0</v>
      </c>
      <c r="AA454" s="174">
        <v>1487.05</v>
      </c>
      <c r="AB454" s="256">
        <f t="shared" si="7"/>
        <v>-0.01513345255</v>
      </c>
      <c r="AC454" s="154"/>
      <c r="AD454" s="255">
        <v>45481.0</v>
      </c>
      <c r="AE454" s="174">
        <v>12.15</v>
      </c>
      <c r="AF454" s="256">
        <f t="shared" si="8"/>
        <v>0.002475247525</v>
      </c>
      <c r="AG454" s="257"/>
      <c r="AH454" s="255">
        <v>45481.0</v>
      </c>
      <c r="AI454" s="174">
        <v>366.65</v>
      </c>
      <c r="AJ454" s="256">
        <f t="shared" si="9"/>
        <v>-0.009589411129</v>
      </c>
      <c r="AK454" s="257"/>
      <c r="AL454" s="255">
        <v>45481.0</v>
      </c>
      <c r="AM454" s="174">
        <v>5572.85</v>
      </c>
      <c r="AN454" s="256">
        <f t="shared" si="10"/>
        <v>0.001016670888</v>
      </c>
      <c r="AO454" s="154"/>
      <c r="AP454" s="154"/>
    </row>
    <row r="455">
      <c r="A455" s="154"/>
      <c r="B455" s="255">
        <v>45478.0</v>
      </c>
      <c r="C455" s="174">
        <v>20.11</v>
      </c>
      <c r="D455" s="256">
        <f t="shared" si="1"/>
        <v>-0.00984736583</v>
      </c>
      <c r="E455" s="154"/>
      <c r="F455" s="255">
        <v>45478.0</v>
      </c>
      <c r="G455" s="174">
        <v>10.32</v>
      </c>
      <c r="H455" s="256">
        <f t="shared" si="2"/>
        <v>-0.005780346821</v>
      </c>
      <c r="I455" s="154"/>
      <c r="J455" s="255">
        <v>45478.0</v>
      </c>
      <c r="K455" s="174">
        <v>16.4</v>
      </c>
      <c r="L455" s="256">
        <f t="shared" si="3"/>
        <v>-0.02497027348</v>
      </c>
      <c r="M455" s="154"/>
      <c r="N455" s="255">
        <v>45478.0</v>
      </c>
      <c r="O455" s="174">
        <v>1818.0</v>
      </c>
      <c r="P455" s="256">
        <f t="shared" si="4"/>
        <v>-0.002742731761</v>
      </c>
      <c r="Q455" s="154"/>
      <c r="R455" s="255">
        <v>45478.0</v>
      </c>
      <c r="S455" s="174">
        <v>25.44</v>
      </c>
      <c r="T455" s="256">
        <f t="shared" si="5"/>
        <v>-0.02863688431</v>
      </c>
      <c r="U455" s="154"/>
      <c r="V455" s="255">
        <v>45478.0</v>
      </c>
      <c r="W455" s="174">
        <v>1304.0</v>
      </c>
      <c r="X455" s="256">
        <f t="shared" si="6"/>
        <v>0.01464386312</v>
      </c>
      <c r="Y455" s="154"/>
      <c r="Z455" s="255">
        <v>45478.0</v>
      </c>
      <c r="AA455" s="174">
        <v>1509.9</v>
      </c>
      <c r="AB455" s="256">
        <f t="shared" si="7"/>
        <v>0.01762426285</v>
      </c>
      <c r="AC455" s="154"/>
      <c r="AD455" s="255">
        <v>45478.0</v>
      </c>
      <c r="AE455" s="174">
        <v>12.12</v>
      </c>
      <c r="AF455" s="256">
        <f t="shared" si="8"/>
        <v>-0.002469135802</v>
      </c>
      <c r="AG455" s="257"/>
      <c r="AH455" s="255">
        <v>45478.0</v>
      </c>
      <c r="AI455" s="174">
        <v>370.2</v>
      </c>
      <c r="AJ455" s="256">
        <f t="shared" si="9"/>
        <v>0.02420805091</v>
      </c>
      <c r="AK455" s="257"/>
      <c r="AL455" s="255">
        <v>45478.0</v>
      </c>
      <c r="AM455" s="174">
        <v>5567.19</v>
      </c>
      <c r="AN455" s="256">
        <f t="shared" si="10"/>
        <v>0.005448779307</v>
      </c>
      <c r="AO455" s="154"/>
      <c r="AP455" s="154"/>
    </row>
    <row r="456">
      <c r="A456" s="154"/>
      <c r="B456" s="255">
        <v>45476.0</v>
      </c>
      <c r="C456" s="174">
        <v>20.31</v>
      </c>
      <c r="D456" s="256">
        <f t="shared" si="1"/>
        <v>0.00944333996</v>
      </c>
      <c r="E456" s="154"/>
      <c r="F456" s="255">
        <v>45476.0</v>
      </c>
      <c r="G456" s="174">
        <v>10.38</v>
      </c>
      <c r="H456" s="256">
        <f t="shared" si="2"/>
        <v>-0.004793863854</v>
      </c>
      <c r="I456" s="154"/>
      <c r="J456" s="255">
        <v>45476.0</v>
      </c>
      <c r="K456" s="174">
        <v>16.82</v>
      </c>
      <c r="L456" s="256">
        <f t="shared" si="3"/>
        <v>0.0163141994</v>
      </c>
      <c r="M456" s="154"/>
      <c r="N456" s="255">
        <v>45476.0</v>
      </c>
      <c r="O456" s="174">
        <v>1823.0</v>
      </c>
      <c r="P456" s="256">
        <f t="shared" si="4"/>
        <v>-0.01192411924</v>
      </c>
      <c r="Q456" s="154"/>
      <c r="R456" s="255">
        <v>45476.0</v>
      </c>
      <c r="S456" s="174">
        <v>26.19</v>
      </c>
      <c r="T456" s="256">
        <f t="shared" si="5"/>
        <v>0.007695267411</v>
      </c>
      <c r="U456" s="154"/>
      <c r="V456" s="255">
        <v>45476.0</v>
      </c>
      <c r="W456" s="174">
        <v>1285.18</v>
      </c>
      <c r="X456" s="256">
        <f t="shared" si="6"/>
        <v>0.008735920882</v>
      </c>
      <c r="Y456" s="154"/>
      <c r="Z456" s="255">
        <v>45476.0</v>
      </c>
      <c r="AA456" s="174">
        <v>1483.75</v>
      </c>
      <c r="AB456" s="256">
        <f t="shared" si="7"/>
        <v>-0.003291572902</v>
      </c>
      <c r="AC456" s="154"/>
      <c r="AD456" s="255">
        <v>45476.0</v>
      </c>
      <c r="AE456" s="174">
        <v>12.15</v>
      </c>
      <c r="AF456" s="256">
        <f t="shared" si="8"/>
        <v>-0.007352941176</v>
      </c>
      <c r="AG456" s="257"/>
      <c r="AH456" s="255">
        <v>45476.0</v>
      </c>
      <c r="AI456" s="174">
        <v>361.45</v>
      </c>
      <c r="AJ456" s="256">
        <f t="shared" si="9"/>
        <v>0.01331651248</v>
      </c>
      <c r="AK456" s="257"/>
      <c r="AL456" s="255">
        <v>45476.0</v>
      </c>
      <c r="AM456" s="174">
        <v>5537.02</v>
      </c>
      <c r="AN456" s="256">
        <f t="shared" si="10"/>
        <v>0.005084398104</v>
      </c>
      <c r="AO456" s="154"/>
      <c r="AP456" s="154"/>
    </row>
    <row r="457">
      <c r="A457" s="154"/>
      <c r="B457" s="255">
        <v>45475.0</v>
      </c>
      <c r="C457" s="174">
        <v>20.12</v>
      </c>
      <c r="D457" s="256">
        <f t="shared" si="1"/>
        <v>-0.009354997538</v>
      </c>
      <c r="E457" s="154"/>
      <c r="F457" s="255">
        <v>45475.0</v>
      </c>
      <c r="G457" s="174">
        <v>10.43</v>
      </c>
      <c r="H457" s="256">
        <f t="shared" si="2"/>
        <v>-0.01510859301</v>
      </c>
      <c r="I457" s="154"/>
      <c r="J457" s="255">
        <v>45475.0</v>
      </c>
      <c r="K457" s="174">
        <v>16.55</v>
      </c>
      <c r="L457" s="256">
        <f t="shared" si="3"/>
        <v>0.01285189718</v>
      </c>
      <c r="M457" s="154"/>
      <c r="N457" s="255">
        <v>45475.0</v>
      </c>
      <c r="O457" s="174">
        <v>1845.0</v>
      </c>
      <c r="P457" s="256">
        <f t="shared" si="4"/>
        <v>-0.01178361007</v>
      </c>
      <c r="Q457" s="154"/>
      <c r="R457" s="255">
        <v>45475.0</v>
      </c>
      <c r="S457" s="174">
        <v>25.99</v>
      </c>
      <c r="T457" s="256">
        <f t="shared" si="5"/>
        <v>-0.009904761905</v>
      </c>
      <c r="U457" s="154"/>
      <c r="V457" s="255">
        <v>45475.0</v>
      </c>
      <c r="W457" s="174">
        <v>1274.05</v>
      </c>
      <c r="X457" s="256">
        <f t="shared" si="6"/>
        <v>0.002604781466</v>
      </c>
      <c r="Y457" s="154"/>
      <c r="Z457" s="255">
        <v>45475.0</v>
      </c>
      <c r="AA457" s="174">
        <v>1488.65</v>
      </c>
      <c r="AB457" s="256">
        <f t="shared" si="7"/>
        <v>0.006456629031</v>
      </c>
      <c r="AC457" s="154"/>
      <c r="AD457" s="255">
        <v>45475.0</v>
      </c>
      <c r="AE457" s="174">
        <v>12.24</v>
      </c>
      <c r="AF457" s="256">
        <f t="shared" si="8"/>
        <v>-0.009708737864</v>
      </c>
      <c r="AG457" s="257"/>
      <c r="AH457" s="255">
        <v>45475.0</v>
      </c>
      <c r="AI457" s="174">
        <v>356.7</v>
      </c>
      <c r="AJ457" s="256">
        <f t="shared" si="9"/>
        <v>-0.002656228156</v>
      </c>
      <c r="AK457" s="257"/>
      <c r="AL457" s="255">
        <v>45475.0</v>
      </c>
      <c r="AM457" s="174">
        <v>5509.01</v>
      </c>
      <c r="AN457" s="256">
        <f t="shared" si="10"/>
        <v>0.006195331949</v>
      </c>
      <c r="AO457" s="154"/>
      <c r="AP457" s="154"/>
    </row>
    <row r="458">
      <c r="A458" s="154"/>
      <c r="B458" s="255">
        <v>45474.0</v>
      </c>
      <c r="C458" s="174">
        <v>20.31</v>
      </c>
      <c r="D458" s="256">
        <f t="shared" si="1"/>
        <v>-0.01884057971</v>
      </c>
      <c r="E458" s="154"/>
      <c r="F458" s="255">
        <v>45474.0</v>
      </c>
      <c r="G458" s="174">
        <v>10.59</v>
      </c>
      <c r="H458" s="256">
        <f t="shared" si="2"/>
        <v>-0.003762935089</v>
      </c>
      <c r="I458" s="154"/>
      <c r="J458" s="255">
        <v>45474.0</v>
      </c>
      <c r="K458" s="174">
        <v>16.34</v>
      </c>
      <c r="L458" s="256">
        <f t="shared" si="3"/>
        <v>0.005538461538</v>
      </c>
      <c r="M458" s="154"/>
      <c r="N458" s="255">
        <v>45474.0</v>
      </c>
      <c r="O458" s="174">
        <v>1867.0</v>
      </c>
      <c r="P458" s="256">
        <f t="shared" si="4"/>
        <v>-0.01269169751</v>
      </c>
      <c r="Q458" s="154"/>
      <c r="R458" s="255">
        <v>45474.0</v>
      </c>
      <c r="S458" s="174">
        <v>26.25</v>
      </c>
      <c r="T458" s="256">
        <f t="shared" si="5"/>
        <v>0.02219626168</v>
      </c>
      <c r="U458" s="154"/>
      <c r="V458" s="255">
        <v>45474.0</v>
      </c>
      <c r="W458" s="174">
        <v>1270.74</v>
      </c>
      <c r="X458" s="256">
        <f t="shared" si="6"/>
        <v>-0.007598772326</v>
      </c>
      <c r="Y458" s="154"/>
      <c r="Z458" s="255">
        <v>45474.0</v>
      </c>
      <c r="AA458" s="174">
        <v>1479.1</v>
      </c>
      <c r="AB458" s="256">
        <f t="shared" si="7"/>
        <v>-0.001148028093</v>
      </c>
      <c r="AC458" s="154"/>
      <c r="AD458" s="255">
        <v>45474.0</v>
      </c>
      <c r="AE458" s="174">
        <v>12.36</v>
      </c>
      <c r="AF458" s="256">
        <f t="shared" si="8"/>
        <v>0.01644736842</v>
      </c>
      <c r="AG458" s="257"/>
      <c r="AH458" s="255">
        <v>45474.0</v>
      </c>
      <c r="AI458" s="174">
        <v>357.65</v>
      </c>
      <c r="AJ458" s="256">
        <f t="shared" si="9"/>
        <v>0.01865565366</v>
      </c>
      <c r="AK458" s="257"/>
      <c r="AL458" s="255">
        <v>45474.0</v>
      </c>
      <c r="AM458" s="174">
        <v>5475.09</v>
      </c>
      <c r="AN458" s="256">
        <f t="shared" si="10"/>
        <v>0.002675588959</v>
      </c>
      <c r="AO458" s="154"/>
      <c r="AP458" s="154"/>
    </row>
    <row r="459">
      <c r="A459" s="154"/>
      <c r="B459" s="255">
        <v>45471.0</v>
      </c>
      <c r="C459" s="174">
        <v>20.7</v>
      </c>
      <c r="D459" s="256">
        <f t="shared" si="1"/>
        <v>0.005342399223</v>
      </c>
      <c r="E459" s="154"/>
      <c r="F459" s="255">
        <v>45471.0</v>
      </c>
      <c r="G459" s="174">
        <v>10.63</v>
      </c>
      <c r="H459" s="256">
        <f t="shared" si="2"/>
        <v>0.0143129771</v>
      </c>
      <c r="I459" s="154"/>
      <c r="J459" s="255">
        <v>45471.0</v>
      </c>
      <c r="K459" s="174">
        <v>16.25</v>
      </c>
      <c r="L459" s="256">
        <f t="shared" si="3"/>
        <v>-0.0006150061501</v>
      </c>
      <c r="M459" s="154"/>
      <c r="N459" s="255">
        <v>45471.0</v>
      </c>
      <c r="O459" s="174">
        <v>1891.0</v>
      </c>
      <c r="P459" s="256">
        <f t="shared" si="4"/>
        <v>0.008533333333</v>
      </c>
      <c r="Q459" s="154"/>
      <c r="R459" s="255">
        <v>45471.0</v>
      </c>
      <c r="S459" s="174">
        <v>25.68</v>
      </c>
      <c r="T459" s="256">
        <f t="shared" si="5"/>
        <v>0.009830908376</v>
      </c>
      <c r="U459" s="154"/>
      <c r="V459" s="255">
        <v>45471.0</v>
      </c>
      <c r="W459" s="174">
        <v>1280.47</v>
      </c>
      <c r="X459" s="256">
        <f t="shared" si="6"/>
        <v>0.02669221764</v>
      </c>
      <c r="Y459" s="154"/>
      <c r="Z459" s="255">
        <v>45471.0</v>
      </c>
      <c r="AA459" s="174">
        <v>1480.8</v>
      </c>
      <c r="AB459" s="256">
        <f t="shared" si="7"/>
        <v>-0.00006752650415</v>
      </c>
      <c r="AC459" s="154"/>
      <c r="AD459" s="255">
        <v>45471.0</v>
      </c>
      <c r="AE459" s="174">
        <v>12.16</v>
      </c>
      <c r="AF459" s="256">
        <f t="shared" si="8"/>
        <v>0.01333333333</v>
      </c>
      <c r="AG459" s="257"/>
      <c r="AH459" s="255">
        <v>45471.0</v>
      </c>
      <c r="AI459" s="174">
        <v>351.1</v>
      </c>
      <c r="AJ459" s="256">
        <f t="shared" si="9"/>
        <v>0.01430015889</v>
      </c>
      <c r="AK459" s="257"/>
      <c r="AL459" s="255">
        <v>45471.0</v>
      </c>
      <c r="AM459" s="174">
        <v>5460.48</v>
      </c>
      <c r="AN459" s="256">
        <f t="shared" si="10"/>
        <v>-0.004083627735</v>
      </c>
      <c r="AO459" s="154"/>
      <c r="AP459" s="154"/>
    </row>
    <row r="460">
      <c r="A460" s="154"/>
      <c r="B460" s="255">
        <v>45470.0</v>
      </c>
      <c r="C460" s="174">
        <v>20.59</v>
      </c>
      <c r="D460" s="256">
        <f t="shared" si="1"/>
        <v>-0.001938923897</v>
      </c>
      <c r="E460" s="154"/>
      <c r="F460" s="255">
        <v>45470.0</v>
      </c>
      <c r="G460" s="174">
        <v>10.48</v>
      </c>
      <c r="H460" s="256">
        <f t="shared" si="2"/>
        <v>0.004793863854</v>
      </c>
      <c r="I460" s="154"/>
      <c r="J460" s="255">
        <v>45470.0</v>
      </c>
      <c r="K460" s="174">
        <v>16.26</v>
      </c>
      <c r="L460" s="256">
        <f t="shared" si="3"/>
        <v>0.0006153846154</v>
      </c>
      <c r="M460" s="154"/>
      <c r="N460" s="255">
        <v>45470.0</v>
      </c>
      <c r="O460" s="174">
        <v>1875.0</v>
      </c>
      <c r="P460" s="256">
        <f t="shared" si="4"/>
        <v>-0.02190923318</v>
      </c>
      <c r="Q460" s="154"/>
      <c r="R460" s="255">
        <v>45470.0</v>
      </c>
      <c r="S460" s="174">
        <v>25.43</v>
      </c>
      <c r="T460" s="256">
        <f t="shared" si="5"/>
        <v>-0.01204351204</v>
      </c>
      <c r="U460" s="154"/>
      <c r="V460" s="255">
        <v>45470.0</v>
      </c>
      <c r="W460" s="174">
        <v>1247.18</v>
      </c>
      <c r="X460" s="256">
        <f t="shared" si="6"/>
        <v>0.02732267444</v>
      </c>
      <c r="Y460" s="154"/>
      <c r="Z460" s="255">
        <v>45470.0</v>
      </c>
      <c r="AA460" s="174">
        <v>1480.9</v>
      </c>
      <c r="AB460" s="256">
        <f t="shared" si="7"/>
        <v>0.001216956257</v>
      </c>
      <c r="AC460" s="154"/>
      <c r="AD460" s="255">
        <v>45470.0</v>
      </c>
      <c r="AE460" s="174">
        <v>12.0</v>
      </c>
      <c r="AF460" s="256">
        <f t="shared" si="8"/>
        <v>-0.001663893511</v>
      </c>
      <c r="AG460" s="257"/>
      <c r="AH460" s="255">
        <v>45470.0</v>
      </c>
      <c r="AI460" s="174">
        <v>346.15</v>
      </c>
      <c r="AJ460" s="256">
        <f t="shared" si="9"/>
        <v>-0.01703819395</v>
      </c>
      <c r="AK460" s="257"/>
      <c r="AL460" s="255">
        <v>45470.0</v>
      </c>
      <c r="AM460" s="174">
        <v>5482.87</v>
      </c>
      <c r="AN460" s="256">
        <f t="shared" si="10"/>
        <v>0.0009072819876</v>
      </c>
      <c r="AO460" s="154"/>
      <c r="AP460" s="154"/>
    </row>
    <row r="461">
      <c r="A461" s="154"/>
      <c r="B461" s="255">
        <v>45469.0</v>
      </c>
      <c r="C461" s="174">
        <v>20.63</v>
      </c>
      <c r="D461" s="256">
        <f t="shared" si="1"/>
        <v>-0.007696007696</v>
      </c>
      <c r="E461" s="154"/>
      <c r="F461" s="255">
        <v>45469.0</v>
      </c>
      <c r="G461" s="174">
        <v>10.43</v>
      </c>
      <c r="H461" s="256">
        <f t="shared" si="2"/>
        <v>0.01163918526</v>
      </c>
      <c r="I461" s="154"/>
      <c r="J461" s="255">
        <v>45469.0</v>
      </c>
      <c r="K461" s="174">
        <v>16.25</v>
      </c>
      <c r="L461" s="256">
        <f t="shared" si="3"/>
        <v>-0.01515151515</v>
      </c>
      <c r="M461" s="154"/>
      <c r="N461" s="255">
        <v>45469.0</v>
      </c>
      <c r="O461" s="174">
        <v>1917.0</v>
      </c>
      <c r="P461" s="256">
        <f t="shared" si="4"/>
        <v>-0.01236476043</v>
      </c>
      <c r="Q461" s="154"/>
      <c r="R461" s="255">
        <v>45469.0</v>
      </c>
      <c r="S461" s="174">
        <v>25.74</v>
      </c>
      <c r="T461" s="256">
        <f t="shared" si="5"/>
        <v>0.00546875</v>
      </c>
      <c r="U461" s="154"/>
      <c r="V461" s="255">
        <v>45469.0</v>
      </c>
      <c r="W461" s="174">
        <v>1214.01</v>
      </c>
      <c r="X461" s="256">
        <f t="shared" si="6"/>
        <v>-0.001373716768</v>
      </c>
      <c r="Y461" s="154"/>
      <c r="Z461" s="255">
        <v>45469.0</v>
      </c>
      <c r="AA461" s="174">
        <v>1479.1</v>
      </c>
      <c r="AB461" s="256">
        <f t="shared" si="7"/>
        <v>-0.01373608055</v>
      </c>
      <c r="AC461" s="154"/>
      <c r="AD461" s="255">
        <v>45469.0</v>
      </c>
      <c r="AE461" s="174">
        <v>12.02</v>
      </c>
      <c r="AF461" s="256">
        <f t="shared" si="8"/>
        <v>-0.05873140172</v>
      </c>
      <c r="AG461" s="257"/>
      <c r="AH461" s="255">
        <v>45469.0</v>
      </c>
      <c r="AI461" s="174">
        <v>352.15</v>
      </c>
      <c r="AJ461" s="256">
        <f t="shared" si="9"/>
        <v>0.03802505527</v>
      </c>
      <c r="AK461" s="257"/>
      <c r="AL461" s="255">
        <v>45469.0</v>
      </c>
      <c r="AM461" s="174">
        <v>5477.9</v>
      </c>
      <c r="AN461" s="256">
        <f t="shared" si="10"/>
        <v>0.001572413289</v>
      </c>
      <c r="AO461" s="154"/>
      <c r="AP461" s="154"/>
    </row>
    <row r="462">
      <c r="A462" s="154"/>
      <c r="B462" s="255">
        <v>45468.0</v>
      </c>
      <c r="C462" s="174">
        <v>20.79</v>
      </c>
      <c r="D462" s="256">
        <f t="shared" si="1"/>
        <v>-0.015625</v>
      </c>
      <c r="E462" s="154"/>
      <c r="F462" s="255">
        <v>45468.0</v>
      </c>
      <c r="G462" s="174">
        <v>10.31</v>
      </c>
      <c r="H462" s="256">
        <f t="shared" si="2"/>
        <v>-0.0152817574</v>
      </c>
      <c r="I462" s="154"/>
      <c r="J462" s="255">
        <v>45468.0</v>
      </c>
      <c r="K462" s="174">
        <v>16.5</v>
      </c>
      <c r="L462" s="256">
        <f t="shared" si="3"/>
        <v>0.0006064281383</v>
      </c>
      <c r="M462" s="154"/>
      <c r="N462" s="255">
        <v>45468.0</v>
      </c>
      <c r="O462" s="174">
        <v>1941.0</v>
      </c>
      <c r="P462" s="256">
        <f t="shared" si="4"/>
        <v>-0.01920161698</v>
      </c>
      <c r="Q462" s="154"/>
      <c r="R462" s="255">
        <v>45468.0</v>
      </c>
      <c r="S462" s="174">
        <v>25.6</v>
      </c>
      <c r="T462" s="256">
        <f t="shared" si="5"/>
        <v>-0.01990811639</v>
      </c>
      <c r="U462" s="154"/>
      <c r="V462" s="255">
        <v>45468.0</v>
      </c>
      <c r="W462" s="174">
        <v>1215.68</v>
      </c>
      <c r="X462" s="256">
        <f t="shared" si="6"/>
        <v>0.003872864351</v>
      </c>
      <c r="Y462" s="154"/>
      <c r="Z462" s="255">
        <v>45468.0</v>
      </c>
      <c r="AA462" s="174">
        <v>1499.7</v>
      </c>
      <c r="AB462" s="256">
        <f t="shared" si="7"/>
        <v>-0.003124169104</v>
      </c>
      <c r="AC462" s="154"/>
      <c r="AD462" s="255">
        <v>45468.0</v>
      </c>
      <c r="AE462" s="174">
        <v>12.77</v>
      </c>
      <c r="AF462" s="256">
        <f t="shared" si="8"/>
        <v>-0.04129129129</v>
      </c>
      <c r="AG462" s="257"/>
      <c r="AH462" s="255">
        <v>45468.0</v>
      </c>
      <c r="AI462" s="174">
        <v>339.25</v>
      </c>
      <c r="AJ462" s="256">
        <f t="shared" si="9"/>
        <v>-0.008620689655</v>
      </c>
      <c r="AK462" s="257"/>
      <c r="AL462" s="255">
        <v>45468.0</v>
      </c>
      <c r="AM462" s="174">
        <v>5469.3</v>
      </c>
      <c r="AN462" s="256">
        <f t="shared" si="10"/>
        <v>0.003933647462</v>
      </c>
      <c r="AO462" s="154"/>
      <c r="AP462" s="154"/>
    </row>
    <row r="463">
      <c r="A463" s="154"/>
      <c r="B463" s="255">
        <v>45467.0</v>
      </c>
      <c r="C463" s="174">
        <v>21.12</v>
      </c>
      <c r="D463" s="256">
        <f t="shared" si="1"/>
        <v>0.01343570058</v>
      </c>
      <c r="E463" s="154"/>
      <c r="F463" s="255">
        <v>45467.0</v>
      </c>
      <c r="G463" s="174">
        <v>10.47</v>
      </c>
      <c r="H463" s="256">
        <f t="shared" si="2"/>
        <v>0</v>
      </c>
      <c r="I463" s="154"/>
      <c r="J463" s="255">
        <v>45467.0</v>
      </c>
      <c r="K463" s="174">
        <v>16.49</v>
      </c>
      <c r="L463" s="256">
        <f t="shared" si="3"/>
        <v>-0.02771226415</v>
      </c>
      <c r="M463" s="154"/>
      <c r="N463" s="255">
        <v>45467.0</v>
      </c>
      <c r="O463" s="174">
        <v>1979.0</v>
      </c>
      <c r="P463" s="256">
        <f t="shared" si="4"/>
        <v>0.004058853374</v>
      </c>
      <c r="Q463" s="154"/>
      <c r="R463" s="255">
        <v>45467.0</v>
      </c>
      <c r="S463" s="174">
        <v>26.12</v>
      </c>
      <c r="T463" s="256">
        <f t="shared" si="5"/>
        <v>0.01318851823</v>
      </c>
      <c r="U463" s="154"/>
      <c r="V463" s="255">
        <v>45467.0</v>
      </c>
      <c r="W463" s="174">
        <v>1210.99</v>
      </c>
      <c r="X463" s="256">
        <f t="shared" si="6"/>
        <v>0.007236190936</v>
      </c>
      <c r="Y463" s="154"/>
      <c r="Z463" s="255">
        <v>45467.0</v>
      </c>
      <c r="AA463" s="174">
        <v>1504.4</v>
      </c>
      <c r="AB463" s="256">
        <f t="shared" si="7"/>
        <v>-0.02409912101</v>
      </c>
      <c r="AC463" s="154"/>
      <c r="AD463" s="255">
        <v>45467.0</v>
      </c>
      <c r="AE463" s="174">
        <v>13.32</v>
      </c>
      <c r="AF463" s="256">
        <f t="shared" si="8"/>
        <v>-0.0118694362</v>
      </c>
      <c r="AG463" s="257"/>
      <c r="AH463" s="255">
        <v>45467.0</v>
      </c>
      <c r="AI463" s="174">
        <v>342.2</v>
      </c>
      <c r="AJ463" s="256">
        <f t="shared" si="9"/>
        <v>-0.01012438531</v>
      </c>
      <c r="AK463" s="257"/>
      <c r="AL463" s="255">
        <v>45467.0</v>
      </c>
      <c r="AM463" s="174">
        <v>5447.87</v>
      </c>
      <c r="AN463" s="256">
        <f t="shared" si="10"/>
        <v>-0.003065171961</v>
      </c>
      <c r="AO463" s="154"/>
      <c r="AP463" s="154"/>
    </row>
    <row r="464">
      <c r="A464" s="154"/>
      <c r="B464" s="255">
        <v>45464.0</v>
      </c>
      <c r="C464" s="174">
        <v>20.84</v>
      </c>
      <c r="D464" s="256">
        <f t="shared" si="1"/>
        <v>0.01907090465</v>
      </c>
      <c r="E464" s="154"/>
      <c r="F464" s="255">
        <v>45464.0</v>
      </c>
      <c r="G464" s="174">
        <v>10.47</v>
      </c>
      <c r="H464" s="256">
        <f t="shared" si="2"/>
        <v>0.02046783626</v>
      </c>
      <c r="I464" s="154"/>
      <c r="J464" s="255">
        <v>45464.0</v>
      </c>
      <c r="K464" s="174">
        <v>16.96</v>
      </c>
      <c r="L464" s="256">
        <f t="shared" si="3"/>
        <v>-0.005861664713</v>
      </c>
      <c r="M464" s="154"/>
      <c r="N464" s="255">
        <v>45464.0</v>
      </c>
      <c r="O464" s="174">
        <v>1971.0</v>
      </c>
      <c r="P464" s="256">
        <f t="shared" si="4"/>
        <v>-0.0145</v>
      </c>
      <c r="Q464" s="154"/>
      <c r="R464" s="255">
        <v>45464.0</v>
      </c>
      <c r="S464" s="174">
        <v>25.78</v>
      </c>
      <c r="T464" s="256">
        <f t="shared" si="5"/>
        <v>0.006638032019</v>
      </c>
      <c r="U464" s="154"/>
      <c r="V464" s="255">
        <v>45464.0</v>
      </c>
      <c r="W464" s="174">
        <v>1202.29</v>
      </c>
      <c r="X464" s="256">
        <f t="shared" si="6"/>
        <v>0.006808132914</v>
      </c>
      <c r="Y464" s="154"/>
      <c r="Z464" s="255">
        <v>45464.0</v>
      </c>
      <c r="AA464" s="174">
        <v>1541.55</v>
      </c>
      <c r="AB464" s="256">
        <f t="shared" si="7"/>
        <v>-0.002136129721</v>
      </c>
      <c r="AC464" s="154"/>
      <c r="AD464" s="255">
        <v>45464.0</v>
      </c>
      <c r="AE464" s="174">
        <v>13.48</v>
      </c>
      <c r="AF464" s="256">
        <f t="shared" si="8"/>
        <v>-0.00222057735</v>
      </c>
      <c r="AG464" s="257"/>
      <c r="AH464" s="255">
        <v>45464.0</v>
      </c>
      <c r="AI464" s="174">
        <v>345.7</v>
      </c>
      <c r="AJ464" s="256">
        <f t="shared" si="9"/>
        <v>0.008459743291</v>
      </c>
      <c r="AK464" s="257"/>
      <c r="AL464" s="255">
        <v>45464.0</v>
      </c>
      <c r="AM464" s="174">
        <v>5464.62</v>
      </c>
      <c r="AN464" s="256">
        <f t="shared" si="10"/>
        <v>-0.001562165984</v>
      </c>
      <c r="AO464" s="154"/>
      <c r="AP464" s="154"/>
    </row>
    <row r="465">
      <c r="A465" s="154"/>
      <c r="B465" s="255">
        <v>45463.0</v>
      </c>
      <c r="C465" s="174">
        <v>20.45</v>
      </c>
      <c r="D465" s="256">
        <f t="shared" si="1"/>
        <v>0.004914004914</v>
      </c>
      <c r="E465" s="154"/>
      <c r="F465" s="255">
        <v>45463.0</v>
      </c>
      <c r="G465" s="174">
        <v>10.26</v>
      </c>
      <c r="H465" s="256">
        <f t="shared" si="2"/>
        <v>0.02089552239</v>
      </c>
      <c r="I465" s="154"/>
      <c r="J465" s="255">
        <v>45463.0</v>
      </c>
      <c r="K465" s="174">
        <v>17.06</v>
      </c>
      <c r="L465" s="256">
        <f t="shared" si="3"/>
        <v>0.002939447384</v>
      </c>
      <c r="M465" s="154"/>
      <c r="N465" s="255">
        <v>45463.0</v>
      </c>
      <c r="O465" s="174">
        <v>2000.0</v>
      </c>
      <c r="P465" s="256">
        <f t="shared" si="4"/>
        <v>0.0005002501251</v>
      </c>
      <c r="Q465" s="154"/>
      <c r="R465" s="255">
        <v>45463.0</v>
      </c>
      <c r="S465" s="174">
        <v>25.61</v>
      </c>
      <c r="T465" s="256">
        <f t="shared" si="5"/>
        <v>0.002348336595</v>
      </c>
      <c r="U465" s="154"/>
      <c r="V465" s="255">
        <v>45463.0</v>
      </c>
      <c r="W465" s="174">
        <v>1194.16</v>
      </c>
      <c r="X465" s="256">
        <f t="shared" si="6"/>
        <v>-0.003413311079</v>
      </c>
      <c r="Y465" s="154"/>
      <c r="Z465" s="255">
        <v>45463.0</v>
      </c>
      <c r="AA465" s="174">
        <v>1544.85</v>
      </c>
      <c r="AB465" s="256">
        <f t="shared" si="7"/>
        <v>-0.01901828804</v>
      </c>
      <c r="AC465" s="154"/>
      <c r="AD465" s="255">
        <v>45463.0</v>
      </c>
      <c r="AE465" s="174">
        <v>13.51</v>
      </c>
      <c r="AF465" s="256">
        <f t="shared" si="8"/>
        <v>-0.009530791789</v>
      </c>
      <c r="AG465" s="257"/>
      <c r="AH465" s="255">
        <v>45463.0</v>
      </c>
      <c r="AI465" s="174">
        <v>342.8</v>
      </c>
      <c r="AJ465" s="256">
        <f t="shared" si="9"/>
        <v>0.04400791838</v>
      </c>
      <c r="AK465" s="257"/>
      <c r="AL465" s="255">
        <v>45463.0</v>
      </c>
      <c r="AM465" s="174">
        <v>5473.17</v>
      </c>
      <c r="AN465" s="256">
        <f t="shared" si="10"/>
        <v>-0.002525956665</v>
      </c>
      <c r="AO465" s="154"/>
      <c r="AP465" s="154"/>
    </row>
    <row r="466">
      <c r="A466" s="154"/>
      <c r="B466" s="255">
        <v>45461.0</v>
      </c>
      <c r="C466" s="174">
        <v>20.35</v>
      </c>
      <c r="D466" s="256">
        <f t="shared" si="1"/>
        <v>-0.002450980392</v>
      </c>
      <c r="E466" s="154"/>
      <c r="F466" s="255">
        <v>45461.0</v>
      </c>
      <c r="G466" s="174">
        <v>10.05</v>
      </c>
      <c r="H466" s="256">
        <f t="shared" si="2"/>
        <v>-0.01179941003</v>
      </c>
      <c r="I466" s="154"/>
      <c r="J466" s="255">
        <v>45461.0</v>
      </c>
      <c r="K466" s="174">
        <v>17.01</v>
      </c>
      <c r="L466" s="256">
        <f t="shared" si="3"/>
        <v>-0.008741258741</v>
      </c>
      <c r="M466" s="154"/>
      <c r="N466" s="255">
        <v>45461.0</v>
      </c>
      <c r="O466" s="174">
        <v>1999.0</v>
      </c>
      <c r="P466" s="256">
        <f t="shared" si="4"/>
        <v>0.02093973442</v>
      </c>
      <c r="Q466" s="154"/>
      <c r="R466" s="255">
        <v>45461.0</v>
      </c>
      <c r="S466" s="174">
        <v>25.55</v>
      </c>
      <c r="T466" s="256">
        <f t="shared" si="5"/>
        <v>-0.04841713222</v>
      </c>
      <c r="U466" s="154"/>
      <c r="V466" s="255">
        <v>45461.0</v>
      </c>
      <c r="W466" s="174">
        <v>1198.25</v>
      </c>
      <c r="X466" s="256">
        <f t="shared" si="6"/>
        <v>-0.01544718787</v>
      </c>
      <c r="Y466" s="154"/>
      <c r="Z466" s="255">
        <v>45461.0</v>
      </c>
      <c r="AA466" s="174">
        <v>1574.8</v>
      </c>
      <c r="AB466" s="256">
        <f t="shared" si="7"/>
        <v>0.006422751238</v>
      </c>
      <c r="AC466" s="154"/>
      <c r="AD466" s="255">
        <v>45461.0</v>
      </c>
      <c r="AE466" s="174">
        <v>13.64</v>
      </c>
      <c r="AF466" s="256">
        <f t="shared" si="8"/>
        <v>-0.02918149466</v>
      </c>
      <c r="AG466" s="257"/>
      <c r="AH466" s="255">
        <v>45461.0</v>
      </c>
      <c r="AI466" s="174">
        <v>328.35</v>
      </c>
      <c r="AJ466" s="256">
        <f t="shared" si="9"/>
        <v>-0.01926523297</v>
      </c>
      <c r="AK466" s="257"/>
      <c r="AL466" s="255">
        <v>45461.0</v>
      </c>
      <c r="AM466" s="174">
        <v>5487.03</v>
      </c>
      <c r="AN466" s="256">
        <f t="shared" si="10"/>
        <v>0.0102050961</v>
      </c>
      <c r="AO466" s="154"/>
      <c r="AP466" s="154"/>
    </row>
    <row r="467">
      <c r="A467" s="154"/>
      <c r="B467" s="255">
        <v>45457.0</v>
      </c>
      <c r="C467" s="174">
        <v>20.4</v>
      </c>
      <c r="D467" s="256">
        <f t="shared" si="1"/>
        <v>-0.005363237445</v>
      </c>
      <c r="E467" s="154"/>
      <c r="F467" s="255">
        <v>45457.0</v>
      </c>
      <c r="G467" s="174">
        <v>10.17</v>
      </c>
      <c r="H467" s="256">
        <f t="shared" si="2"/>
        <v>-0.02117420597</v>
      </c>
      <c r="I467" s="154"/>
      <c r="J467" s="255">
        <v>45457.0</v>
      </c>
      <c r="K467" s="174">
        <v>17.16</v>
      </c>
      <c r="L467" s="256">
        <f t="shared" si="3"/>
        <v>-0.01379310345</v>
      </c>
      <c r="M467" s="154"/>
      <c r="N467" s="255">
        <v>45457.0</v>
      </c>
      <c r="O467" s="174">
        <v>1958.0</v>
      </c>
      <c r="P467" s="256">
        <f t="shared" si="4"/>
        <v>-0.01805416249</v>
      </c>
      <c r="Q467" s="154"/>
      <c r="R467" s="255">
        <v>45457.0</v>
      </c>
      <c r="S467" s="174">
        <v>26.85</v>
      </c>
      <c r="T467" s="256">
        <f t="shared" si="5"/>
        <v>-0.01971522453</v>
      </c>
      <c r="U467" s="154"/>
      <c r="V467" s="255">
        <v>45457.0</v>
      </c>
      <c r="W467" s="174">
        <v>1217.05</v>
      </c>
      <c r="X467" s="256">
        <f t="shared" si="6"/>
        <v>-0.001738887932</v>
      </c>
      <c r="Y467" s="154"/>
      <c r="Z467" s="255">
        <v>45457.0</v>
      </c>
      <c r="AA467" s="174">
        <v>1564.75</v>
      </c>
      <c r="AB467" s="256">
        <f t="shared" si="7"/>
        <v>0.01307824285</v>
      </c>
      <c r="AC467" s="154"/>
      <c r="AD467" s="255">
        <v>45457.0</v>
      </c>
      <c r="AE467" s="174">
        <v>14.05</v>
      </c>
      <c r="AF467" s="256">
        <f t="shared" si="8"/>
        <v>-0.01610644258</v>
      </c>
      <c r="AG467" s="257"/>
      <c r="AH467" s="255">
        <v>45457.0</v>
      </c>
      <c r="AI467" s="174">
        <v>334.8</v>
      </c>
      <c r="AJ467" s="256">
        <f t="shared" si="9"/>
        <v>-0.009906846074</v>
      </c>
      <c r="AK467" s="257"/>
      <c r="AL467" s="255">
        <v>45457.0</v>
      </c>
      <c r="AM467" s="174">
        <v>5431.6</v>
      </c>
      <c r="AN467" s="256">
        <f t="shared" si="10"/>
        <v>-0.0003938355534</v>
      </c>
      <c r="AO467" s="154"/>
      <c r="AP467" s="154"/>
    </row>
    <row r="468">
      <c r="A468" s="154"/>
      <c r="B468" s="255">
        <v>45456.0</v>
      </c>
      <c r="C468" s="174">
        <v>20.51</v>
      </c>
      <c r="D468" s="256">
        <f t="shared" si="1"/>
        <v>-0.01583493282</v>
      </c>
      <c r="E468" s="154"/>
      <c r="F468" s="255">
        <v>45456.0</v>
      </c>
      <c r="G468" s="174">
        <v>10.39</v>
      </c>
      <c r="H468" s="256">
        <f t="shared" si="2"/>
        <v>-0.02257761054</v>
      </c>
      <c r="I468" s="154"/>
      <c r="J468" s="255">
        <v>45456.0</v>
      </c>
      <c r="K468" s="174">
        <v>17.4</v>
      </c>
      <c r="L468" s="256">
        <f t="shared" si="3"/>
        <v>0.01045296167</v>
      </c>
      <c r="M468" s="154"/>
      <c r="N468" s="255">
        <v>45456.0</v>
      </c>
      <c r="O468" s="174">
        <v>1994.0</v>
      </c>
      <c r="P468" s="256">
        <f t="shared" si="4"/>
        <v>-0.007960199005</v>
      </c>
      <c r="Q468" s="154"/>
      <c r="R468" s="255">
        <v>45456.0</v>
      </c>
      <c r="S468" s="174">
        <v>27.39</v>
      </c>
      <c r="T468" s="256">
        <f t="shared" si="5"/>
        <v>-0.0161637931</v>
      </c>
      <c r="U468" s="154"/>
      <c r="V468" s="255">
        <v>45456.0</v>
      </c>
      <c r="W468" s="174">
        <v>1219.17</v>
      </c>
      <c r="X468" s="256">
        <f t="shared" si="6"/>
        <v>0.005907542017</v>
      </c>
      <c r="Y468" s="154"/>
      <c r="Z468" s="255">
        <v>45456.0</v>
      </c>
      <c r="AA468" s="174">
        <v>1544.55</v>
      </c>
      <c r="AB468" s="256">
        <f t="shared" si="7"/>
        <v>0.002336221162</v>
      </c>
      <c r="AC468" s="154"/>
      <c r="AD468" s="255">
        <v>45456.0</v>
      </c>
      <c r="AE468" s="174">
        <v>14.28</v>
      </c>
      <c r="AF468" s="256">
        <f t="shared" si="8"/>
        <v>0.003513703443</v>
      </c>
      <c r="AG468" s="257"/>
      <c r="AH468" s="255">
        <v>45456.0</v>
      </c>
      <c r="AI468" s="174">
        <v>338.15</v>
      </c>
      <c r="AJ468" s="256">
        <f t="shared" si="9"/>
        <v>-0.002213042195</v>
      </c>
      <c r="AK468" s="257"/>
      <c r="AL468" s="255">
        <v>45456.0</v>
      </c>
      <c r="AM468" s="174">
        <v>5433.74</v>
      </c>
      <c r="AN468" s="256">
        <f t="shared" si="10"/>
        <v>0.002344572895</v>
      </c>
      <c r="AO468" s="154"/>
      <c r="AP468" s="154"/>
    </row>
    <row r="469">
      <c r="A469" s="154"/>
      <c r="B469" s="255">
        <v>45455.0</v>
      </c>
      <c r="C469" s="174">
        <v>20.84</v>
      </c>
      <c r="D469" s="256">
        <f t="shared" si="1"/>
        <v>0.0286278381</v>
      </c>
      <c r="E469" s="154"/>
      <c r="F469" s="255">
        <v>45455.0</v>
      </c>
      <c r="G469" s="174">
        <v>10.63</v>
      </c>
      <c r="H469" s="256">
        <f t="shared" si="2"/>
        <v>-0.0009398496241</v>
      </c>
      <c r="I469" s="154"/>
      <c r="J469" s="255">
        <v>45455.0</v>
      </c>
      <c r="K469" s="174">
        <v>17.22</v>
      </c>
      <c r="L469" s="256">
        <f t="shared" si="3"/>
        <v>-0.006920415225</v>
      </c>
      <c r="M469" s="154"/>
      <c r="N469" s="255">
        <v>45455.0</v>
      </c>
      <c r="O469" s="174">
        <v>2010.0</v>
      </c>
      <c r="P469" s="256">
        <f t="shared" si="4"/>
        <v>0.01875316776</v>
      </c>
      <c r="Q469" s="154"/>
      <c r="R469" s="255">
        <v>45455.0</v>
      </c>
      <c r="S469" s="174">
        <v>27.84</v>
      </c>
      <c r="T469" s="256">
        <f t="shared" si="5"/>
        <v>-0.01381509033</v>
      </c>
      <c r="U469" s="154"/>
      <c r="V469" s="255">
        <v>45455.0</v>
      </c>
      <c r="W469" s="174">
        <v>1212.01</v>
      </c>
      <c r="X469" s="256">
        <f t="shared" si="6"/>
        <v>0.003444136275</v>
      </c>
      <c r="Y469" s="154"/>
      <c r="Z469" s="255">
        <v>45455.0</v>
      </c>
      <c r="AA469" s="174">
        <v>1540.95</v>
      </c>
      <c r="AB469" s="256">
        <f t="shared" si="7"/>
        <v>0.006992321516</v>
      </c>
      <c r="AC469" s="154"/>
      <c r="AD469" s="255">
        <v>45455.0</v>
      </c>
      <c r="AE469" s="174">
        <v>14.23</v>
      </c>
      <c r="AF469" s="256">
        <f t="shared" si="8"/>
        <v>-0.01111883252</v>
      </c>
      <c r="AG469" s="257"/>
      <c r="AH469" s="255">
        <v>45455.0</v>
      </c>
      <c r="AI469" s="174">
        <v>338.9</v>
      </c>
      <c r="AJ469" s="256">
        <f t="shared" si="9"/>
        <v>-0.01611264334</v>
      </c>
      <c r="AK469" s="257"/>
      <c r="AL469" s="255">
        <v>45455.0</v>
      </c>
      <c r="AM469" s="174">
        <v>5421.03</v>
      </c>
      <c r="AN469" s="256">
        <f t="shared" si="10"/>
        <v>0.008503679781</v>
      </c>
      <c r="AO469" s="154"/>
      <c r="AP469" s="154"/>
    </row>
    <row r="470">
      <c r="A470" s="154"/>
      <c r="B470" s="255">
        <v>45454.0</v>
      </c>
      <c r="C470" s="174">
        <v>20.26</v>
      </c>
      <c r="D470" s="256">
        <f t="shared" si="1"/>
        <v>-0.02172863351</v>
      </c>
      <c r="E470" s="154"/>
      <c r="F470" s="255">
        <v>45454.0</v>
      </c>
      <c r="G470" s="174">
        <v>10.64</v>
      </c>
      <c r="H470" s="256">
        <f t="shared" si="2"/>
        <v>0.01236917222</v>
      </c>
      <c r="I470" s="154"/>
      <c r="J470" s="255">
        <v>45454.0</v>
      </c>
      <c r="K470" s="174">
        <v>17.34</v>
      </c>
      <c r="L470" s="256">
        <f t="shared" si="3"/>
        <v>0.02908011869</v>
      </c>
      <c r="M470" s="154"/>
      <c r="N470" s="255">
        <v>45454.0</v>
      </c>
      <c r="O470" s="174">
        <v>1973.0</v>
      </c>
      <c r="P470" s="256">
        <f t="shared" si="4"/>
        <v>0.02227979275</v>
      </c>
      <c r="Q470" s="154"/>
      <c r="R470" s="255">
        <v>45454.0</v>
      </c>
      <c r="S470" s="174">
        <v>28.23</v>
      </c>
      <c r="T470" s="256">
        <f t="shared" si="5"/>
        <v>0.03558327219</v>
      </c>
      <c r="U470" s="154"/>
      <c r="V470" s="255">
        <v>45454.0</v>
      </c>
      <c r="W470" s="174">
        <v>1207.85</v>
      </c>
      <c r="X470" s="256">
        <f t="shared" si="6"/>
        <v>-0.01095616714</v>
      </c>
      <c r="Y470" s="154"/>
      <c r="Z470" s="255">
        <v>45454.0</v>
      </c>
      <c r="AA470" s="174">
        <v>1530.25</v>
      </c>
      <c r="AB470" s="256">
        <f t="shared" si="7"/>
        <v>-0.002607137038</v>
      </c>
      <c r="AC470" s="154"/>
      <c r="AD470" s="255">
        <v>45454.0</v>
      </c>
      <c r="AE470" s="174">
        <v>14.39</v>
      </c>
      <c r="AF470" s="256">
        <f t="shared" si="8"/>
        <v>-0.004840940526</v>
      </c>
      <c r="AG470" s="257"/>
      <c r="AH470" s="255">
        <v>45454.0</v>
      </c>
      <c r="AI470" s="174">
        <v>344.45</v>
      </c>
      <c r="AJ470" s="256">
        <f t="shared" si="9"/>
        <v>0.01338629009</v>
      </c>
      <c r="AK470" s="257"/>
      <c r="AL470" s="255">
        <v>45454.0</v>
      </c>
      <c r="AM470" s="174">
        <v>5375.32</v>
      </c>
      <c r="AN470" s="256">
        <f t="shared" si="10"/>
        <v>0.002710421412</v>
      </c>
      <c r="AO470" s="154"/>
      <c r="AP470" s="154"/>
    </row>
    <row r="471">
      <c r="A471" s="154"/>
      <c r="B471" s="255">
        <v>45453.0</v>
      </c>
      <c r="C471" s="174">
        <v>20.71</v>
      </c>
      <c r="D471" s="256">
        <f t="shared" si="1"/>
        <v>-0.001927710843</v>
      </c>
      <c r="E471" s="154"/>
      <c r="F471" s="255">
        <v>45453.0</v>
      </c>
      <c r="G471" s="174">
        <v>10.51</v>
      </c>
      <c r="H471" s="256">
        <f t="shared" si="2"/>
        <v>0.003820439351</v>
      </c>
      <c r="I471" s="154"/>
      <c r="J471" s="255">
        <v>45453.0</v>
      </c>
      <c r="K471" s="174">
        <v>16.85</v>
      </c>
      <c r="L471" s="256">
        <f t="shared" si="3"/>
        <v>0.001783590963</v>
      </c>
      <c r="M471" s="154"/>
      <c r="N471" s="255">
        <v>45453.0</v>
      </c>
      <c r="O471" s="174">
        <v>1930.0</v>
      </c>
      <c r="P471" s="256">
        <f t="shared" si="4"/>
        <v>-0.00974858902</v>
      </c>
      <c r="Q471" s="154"/>
      <c r="R471" s="255">
        <v>45453.0</v>
      </c>
      <c r="S471" s="174">
        <v>27.26</v>
      </c>
      <c r="T471" s="256">
        <f t="shared" si="5"/>
        <v>0.01187824796</v>
      </c>
      <c r="U471" s="154"/>
      <c r="V471" s="255">
        <v>45453.0</v>
      </c>
      <c r="W471" s="174">
        <v>1221.23</v>
      </c>
      <c r="X471" s="256">
        <f t="shared" si="6"/>
        <v>0.007399402768</v>
      </c>
      <c r="Y471" s="154"/>
      <c r="Z471" s="255">
        <v>45453.0</v>
      </c>
      <c r="AA471" s="174">
        <v>1534.25</v>
      </c>
      <c r="AB471" s="256">
        <f t="shared" si="7"/>
        <v>0.02471197195</v>
      </c>
      <c r="AC471" s="154"/>
      <c r="AD471" s="255">
        <v>45453.0</v>
      </c>
      <c r="AE471" s="174">
        <v>14.46</v>
      </c>
      <c r="AF471" s="256">
        <f t="shared" si="8"/>
        <v>0.02991452991</v>
      </c>
      <c r="AG471" s="257"/>
      <c r="AH471" s="255">
        <v>45453.0</v>
      </c>
      <c r="AI471" s="174">
        <v>339.9</v>
      </c>
      <c r="AJ471" s="256">
        <f t="shared" si="9"/>
        <v>0.01160714286</v>
      </c>
      <c r="AK471" s="257"/>
      <c r="AL471" s="255">
        <v>45453.0</v>
      </c>
      <c r="AM471" s="174">
        <v>5360.79</v>
      </c>
      <c r="AN471" s="256">
        <f t="shared" si="10"/>
        <v>0.002580891305</v>
      </c>
      <c r="AO471" s="154"/>
      <c r="AP471" s="154"/>
    </row>
    <row r="472">
      <c r="A472" s="154"/>
      <c r="B472" s="255">
        <v>45450.0</v>
      </c>
      <c r="C472" s="174">
        <v>20.75</v>
      </c>
      <c r="D472" s="256">
        <f t="shared" si="1"/>
        <v>0.003870343493</v>
      </c>
      <c r="E472" s="154"/>
      <c r="F472" s="255">
        <v>45450.0</v>
      </c>
      <c r="G472" s="174">
        <v>10.47</v>
      </c>
      <c r="H472" s="256">
        <f t="shared" si="2"/>
        <v>0.004798464491</v>
      </c>
      <c r="I472" s="154"/>
      <c r="J472" s="255">
        <v>45450.0</v>
      </c>
      <c r="K472" s="174">
        <v>16.82</v>
      </c>
      <c r="L472" s="256">
        <f t="shared" si="3"/>
        <v>0.01264298615</v>
      </c>
      <c r="M472" s="154"/>
      <c r="N472" s="255">
        <v>45450.0</v>
      </c>
      <c r="O472" s="174">
        <v>1949.0</v>
      </c>
      <c r="P472" s="256">
        <f t="shared" si="4"/>
        <v>-0.01216421693</v>
      </c>
      <c r="Q472" s="154"/>
      <c r="R472" s="255">
        <v>45450.0</v>
      </c>
      <c r="S472" s="174">
        <v>26.94</v>
      </c>
      <c r="T472" s="256">
        <f t="shared" si="5"/>
        <v>-0.002222222222</v>
      </c>
      <c r="U472" s="154"/>
      <c r="V472" s="255">
        <v>45450.0</v>
      </c>
      <c r="W472" s="174">
        <v>1212.26</v>
      </c>
      <c r="X472" s="256">
        <f t="shared" si="6"/>
        <v>0.02891723746</v>
      </c>
      <c r="Y472" s="154"/>
      <c r="Z472" s="255">
        <v>45450.0</v>
      </c>
      <c r="AA472" s="174">
        <v>1497.25</v>
      </c>
      <c r="AB472" s="256">
        <f t="shared" si="7"/>
        <v>0.01371022343</v>
      </c>
      <c r="AC472" s="154"/>
      <c r="AD472" s="255">
        <v>45450.0</v>
      </c>
      <c r="AE472" s="174">
        <v>14.04</v>
      </c>
      <c r="AF472" s="256">
        <f t="shared" si="8"/>
        <v>0.003573981415</v>
      </c>
      <c r="AG472" s="257"/>
      <c r="AH472" s="255">
        <v>45450.0</v>
      </c>
      <c r="AI472" s="174">
        <v>336.0</v>
      </c>
      <c r="AJ472" s="256">
        <f t="shared" si="9"/>
        <v>0.009767092412</v>
      </c>
      <c r="AK472" s="257"/>
      <c r="AL472" s="255">
        <v>45450.0</v>
      </c>
      <c r="AM472" s="174">
        <v>5346.99</v>
      </c>
      <c r="AN472" s="256">
        <f t="shared" si="10"/>
        <v>-0.001115270803</v>
      </c>
      <c r="AO472" s="154"/>
      <c r="AP472" s="154"/>
    </row>
    <row r="473">
      <c r="A473" s="154"/>
      <c r="B473" s="255">
        <v>45449.0</v>
      </c>
      <c r="C473" s="174">
        <v>20.67</v>
      </c>
      <c r="D473" s="256">
        <f t="shared" si="1"/>
        <v>-0.01383587786</v>
      </c>
      <c r="E473" s="154"/>
      <c r="F473" s="255">
        <v>45449.0</v>
      </c>
      <c r="G473" s="174">
        <v>10.42</v>
      </c>
      <c r="H473" s="256">
        <f t="shared" si="2"/>
        <v>-0.006673021926</v>
      </c>
      <c r="I473" s="154"/>
      <c r="J473" s="255">
        <v>45449.0</v>
      </c>
      <c r="K473" s="174">
        <v>16.61</v>
      </c>
      <c r="L473" s="256">
        <f t="shared" si="3"/>
        <v>-0.01599526066</v>
      </c>
      <c r="M473" s="154"/>
      <c r="N473" s="255">
        <v>45449.0</v>
      </c>
      <c r="O473" s="174">
        <v>1973.0</v>
      </c>
      <c r="P473" s="256">
        <f t="shared" si="4"/>
        <v>-0.001518218623</v>
      </c>
      <c r="Q473" s="154"/>
      <c r="R473" s="255">
        <v>45449.0</v>
      </c>
      <c r="S473" s="174">
        <v>27.0</v>
      </c>
      <c r="T473" s="256">
        <f t="shared" si="5"/>
        <v>0.02272727273</v>
      </c>
      <c r="U473" s="154"/>
      <c r="V473" s="255">
        <v>45449.0</v>
      </c>
      <c r="W473" s="174">
        <v>1178.19</v>
      </c>
      <c r="X473" s="256">
        <f t="shared" si="6"/>
        <v>0.01146948482</v>
      </c>
      <c r="Y473" s="154"/>
      <c r="Z473" s="255">
        <v>45449.0</v>
      </c>
      <c r="AA473" s="174">
        <v>1477.0</v>
      </c>
      <c r="AB473" s="256">
        <f t="shared" si="7"/>
        <v>-0.01332709843</v>
      </c>
      <c r="AC473" s="154"/>
      <c r="AD473" s="255">
        <v>45449.0</v>
      </c>
      <c r="AE473" s="174">
        <v>13.99</v>
      </c>
      <c r="AF473" s="256">
        <f t="shared" si="8"/>
        <v>0.002867383513</v>
      </c>
      <c r="AG473" s="257"/>
      <c r="AH473" s="255">
        <v>45449.0</v>
      </c>
      <c r="AI473" s="174">
        <v>332.75</v>
      </c>
      <c r="AJ473" s="256">
        <f t="shared" si="9"/>
        <v>0.09009009009</v>
      </c>
      <c r="AK473" s="257"/>
      <c r="AL473" s="255">
        <v>45449.0</v>
      </c>
      <c r="AM473" s="174">
        <v>5352.96</v>
      </c>
      <c r="AN473" s="256">
        <f t="shared" si="10"/>
        <v>-0.0001998494592</v>
      </c>
      <c r="AO473" s="154"/>
      <c r="AP473" s="154"/>
    </row>
    <row r="474">
      <c r="A474" s="154"/>
      <c r="B474" s="255">
        <v>45448.0</v>
      </c>
      <c r="C474" s="174">
        <v>20.96</v>
      </c>
      <c r="D474" s="256">
        <f t="shared" si="1"/>
        <v>0.003831417625</v>
      </c>
      <c r="E474" s="154"/>
      <c r="F474" s="255">
        <v>45448.0</v>
      </c>
      <c r="G474" s="174">
        <v>10.49</v>
      </c>
      <c r="H474" s="256">
        <f t="shared" si="2"/>
        <v>-0.003798670465</v>
      </c>
      <c r="I474" s="154"/>
      <c r="J474" s="255">
        <v>45448.0</v>
      </c>
      <c r="K474" s="174">
        <v>16.88</v>
      </c>
      <c r="L474" s="256">
        <f t="shared" si="3"/>
        <v>0.01503307276</v>
      </c>
      <c r="M474" s="154"/>
      <c r="N474" s="255">
        <v>45448.0</v>
      </c>
      <c r="O474" s="174">
        <v>1976.0</v>
      </c>
      <c r="P474" s="256">
        <f t="shared" si="4"/>
        <v>-0.004032258065</v>
      </c>
      <c r="Q474" s="154"/>
      <c r="R474" s="255">
        <v>45448.0</v>
      </c>
      <c r="S474" s="174">
        <v>26.4</v>
      </c>
      <c r="T474" s="256">
        <f t="shared" si="5"/>
        <v>-0.02798232695</v>
      </c>
      <c r="U474" s="154"/>
      <c r="V474" s="255">
        <v>45448.0</v>
      </c>
      <c r="W474" s="174">
        <v>1164.83</v>
      </c>
      <c r="X474" s="256">
        <f t="shared" si="6"/>
        <v>0.01628917429</v>
      </c>
      <c r="Y474" s="154"/>
      <c r="Z474" s="255">
        <v>45448.0</v>
      </c>
      <c r="AA474" s="174">
        <v>1496.95</v>
      </c>
      <c r="AB474" s="256">
        <f t="shared" si="7"/>
        <v>0.0235205634</v>
      </c>
      <c r="AC474" s="154"/>
      <c r="AD474" s="255">
        <v>45448.0</v>
      </c>
      <c r="AE474" s="174">
        <v>13.95</v>
      </c>
      <c r="AF474" s="256">
        <f t="shared" si="8"/>
        <v>0.002875629044</v>
      </c>
      <c r="AG474" s="257"/>
      <c r="AH474" s="255">
        <v>45448.0</v>
      </c>
      <c r="AI474" s="174">
        <v>305.25</v>
      </c>
      <c r="AJ474" s="256">
        <f t="shared" si="9"/>
        <v>0.04932966655</v>
      </c>
      <c r="AK474" s="257"/>
      <c r="AL474" s="255">
        <v>45448.0</v>
      </c>
      <c r="AM474" s="174">
        <v>5354.03</v>
      </c>
      <c r="AN474" s="256">
        <f t="shared" si="10"/>
        <v>0.01184766052</v>
      </c>
      <c r="AO474" s="154"/>
      <c r="AP474" s="154"/>
    </row>
    <row r="475">
      <c r="A475" s="154"/>
      <c r="B475" s="255">
        <v>45447.0</v>
      </c>
      <c r="C475" s="174">
        <v>20.88</v>
      </c>
      <c r="D475" s="256">
        <f t="shared" si="1"/>
        <v>-0.02338634238</v>
      </c>
      <c r="E475" s="154"/>
      <c r="F475" s="255">
        <v>45447.0</v>
      </c>
      <c r="G475" s="174">
        <v>10.53</v>
      </c>
      <c r="H475" s="256">
        <f t="shared" si="2"/>
        <v>-0.004725897921</v>
      </c>
      <c r="I475" s="154"/>
      <c r="J475" s="255">
        <v>45447.0</v>
      </c>
      <c r="K475" s="174">
        <v>16.63</v>
      </c>
      <c r="L475" s="256">
        <f t="shared" si="3"/>
        <v>-0.02061248528</v>
      </c>
      <c r="M475" s="154"/>
      <c r="N475" s="255">
        <v>45447.0</v>
      </c>
      <c r="O475" s="174">
        <v>1984.0</v>
      </c>
      <c r="P475" s="256">
        <f t="shared" si="4"/>
        <v>0.01276161307</v>
      </c>
      <c r="Q475" s="154"/>
      <c r="R475" s="255">
        <v>45447.0</v>
      </c>
      <c r="S475" s="174">
        <v>27.16</v>
      </c>
      <c r="T475" s="256">
        <f t="shared" si="5"/>
        <v>-0.01736613603</v>
      </c>
      <c r="U475" s="154"/>
      <c r="V475" s="255">
        <v>45447.0</v>
      </c>
      <c r="W475" s="174">
        <v>1146.16</v>
      </c>
      <c r="X475" s="256">
        <f t="shared" si="6"/>
        <v>-0.00907786212</v>
      </c>
      <c r="Y475" s="154"/>
      <c r="Z475" s="255">
        <v>45447.0</v>
      </c>
      <c r="AA475" s="174">
        <v>1462.55</v>
      </c>
      <c r="AB475" s="256">
        <f t="shared" si="7"/>
        <v>0.007023100492</v>
      </c>
      <c r="AC475" s="154"/>
      <c r="AD475" s="255">
        <v>45447.0</v>
      </c>
      <c r="AE475" s="174">
        <v>13.91</v>
      </c>
      <c r="AF475" s="256">
        <f t="shared" si="8"/>
        <v>-0.003581661891</v>
      </c>
      <c r="AG475" s="257"/>
      <c r="AH475" s="255">
        <v>45447.0</v>
      </c>
      <c r="AI475" s="174">
        <v>290.9</v>
      </c>
      <c r="AJ475" s="256">
        <f t="shared" si="9"/>
        <v>-0.0605522364</v>
      </c>
      <c r="AK475" s="257"/>
      <c r="AL475" s="255">
        <v>45447.0</v>
      </c>
      <c r="AM475" s="174">
        <v>5291.34</v>
      </c>
      <c r="AN475" s="256">
        <f t="shared" si="10"/>
        <v>0.001502820154</v>
      </c>
      <c r="AO475" s="154"/>
      <c r="AP475" s="154"/>
    </row>
    <row r="476">
      <c r="A476" s="154"/>
      <c r="B476" s="255">
        <v>45446.0</v>
      </c>
      <c r="C476" s="174">
        <v>21.38</v>
      </c>
      <c r="D476" s="256">
        <f t="shared" si="1"/>
        <v>0.002344116268</v>
      </c>
      <c r="E476" s="154"/>
      <c r="F476" s="255">
        <v>45446.0</v>
      </c>
      <c r="G476" s="174">
        <v>10.58</v>
      </c>
      <c r="H476" s="256">
        <f t="shared" si="2"/>
        <v>-0.001886792453</v>
      </c>
      <c r="I476" s="154"/>
      <c r="J476" s="255">
        <v>45446.0</v>
      </c>
      <c r="K476" s="174">
        <v>16.98</v>
      </c>
      <c r="L476" s="256">
        <f t="shared" si="3"/>
        <v>0.002953337271</v>
      </c>
      <c r="M476" s="154"/>
      <c r="N476" s="255">
        <v>45446.0</v>
      </c>
      <c r="O476" s="174">
        <v>1959.0</v>
      </c>
      <c r="P476" s="256">
        <f t="shared" si="4"/>
        <v>0.01502590674</v>
      </c>
      <c r="Q476" s="154"/>
      <c r="R476" s="255">
        <v>45446.0</v>
      </c>
      <c r="S476" s="174">
        <v>27.64</v>
      </c>
      <c r="T476" s="256">
        <f t="shared" si="5"/>
        <v>0.003995641119</v>
      </c>
      <c r="U476" s="154"/>
      <c r="V476" s="255">
        <v>45446.0</v>
      </c>
      <c r="W476" s="174">
        <v>1156.66</v>
      </c>
      <c r="X476" s="256">
        <f t="shared" si="6"/>
        <v>-0.001476212264</v>
      </c>
      <c r="Y476" s="154"/>
      <c r="Z476" s="255">
        <v>45446.0</v>
      </c>
      <c r="AA476" s="174">
        <v>1452.35</v>
      </c>
      <c r="AB476" s="256">
        <f t="shared" si="7"/>
        <v>0.003558595909</v>
      </c>
      <c r="AC476" s="154"/>
      <c r="AD476" s="255">
        <v>45446.0</v>
      </c>
      <c r="AE476" s="174">
        <v>13.96</v>
      </c>
      <c r="AF476" s="256">
        <f t="shared" si="8"/>
        <v>0.005763688761</v>
      </c>
      <c r="AG476" s="257"/>
      <c r="AH476" s="255">
        <v>45446.0</v>
      </c>
      <c r="AI476" s="174">
        <v>309.65</v>
      </c>
      <c r="AJ476" s="256">
        <f t="shared" si="9"/>
        <v>0.0012934519</v>
      </c>
      <c r="AK476" s="257"/>
      <c r="AL476" s="255">
        <v>45446.0</v>
      </c>
      <c r="AM476" s="174">
        <v>5283.4</v>
      </c>
      <c r="AN476" s="256">
        <f t="shared" si="10"/>
        <v>0.001116056625</v>
      </c>
      <c r="AO476" s="154"/>
      <c r="AP476" s="154"/>
    </row>
    <row r="477">
      <c r="A477" s="154"/>
      <c r="B477" s="255">
        <v>45443.0</v>
      </c>
      <c r="C477" s="174">
        <v>21.33</v>
      </c>
      <c r="D477" s="256">
        <f t="shared" si="1"/>
        <v>0.01862464183</v>
      </c>
      <c r="E477" s="154"/>
      <c r="F477" s="255">
        <v>45443.0</v>
      </c>
      <c r="G477" s="174">
        <v>10.6</v>
      </c>
      <c r="H477" s="256">
        <f t="shared" si="2"/>
        <v>0.01145038168</v>
      </c>
      <c r="I477" s="154"/>
      <c r="J477" s="255">
        <v>45443.0</v>
      </c>
      <c r="K477" s="174">
        <v>16.93</v>
      </c>
      <c r="L477" s="256">
        <f t="shared" si="3"/>
        <v>0.001775147929</v>
      </c>
      <c r="M477" s="154"/>
      <c r="N477" s="255">
        <v>45443.0</v>
      </c>
      <c r="O477" s="174">
        <v>1930.0</v>
      </c>
      <c r="P477" s="256">
        <f t="shared" si="4"/>
        <v>0.008886565604</v>
      </c>
      <c r="Q477" s="154"/>
      <c r="R477" s="255">
        <v>45443.0</v>
      </c>
      <c r="S477" s="174">
        <v>27.53</v>
      </c>
      <c r="T477" s="256">
        <f t="shared" si="5"/>
        <v>-0.001450852376</v>
      </c>
      <c r="U477" s="154"/>
      <c r="V477" s="255">
        <v>45443.0</v>
      </c>
      <c r="W477" s="174">
        <v>1158.37</v>
      </c>
      <c r="X477" s="256">
        <f t="shared" si="6"/>
        <v>-0.01394339221</v>
      </c>
      <c r="Y477" s="154"/>
      <c r="Z477" s="255">
        <v>45443.0</v>
      </c>
      <c r="AA477" s="174">
        <v>1447.2</v>
      </c>
      <c r="AB477" s="256">
        <f t="shared" si="7"/>
        <v>-0.01322787399</v>
      </c>
      <c r="AC477" s="154"/>
      <c r="AD477" s="255">
        <v>45443.0</v>
      </c>
      <c r="AE477" s="174">
        <v>13.88</v>
      </c>
      <c r="AF477" s="256">
        <f t="shared" si="8"/>
        <v>0.007988380537</v>
      </c>
      <c r="AG477" s="257"/>
      <c r="AH477" s="255">
        <v>45443.0</v>
      </c>
      <c r="AI477" s="174">
        <v>309.25</v>
      </c>
      <c r="AJ477" s="256">
        <f t="shared" si="9"/>
        <v>-0.005147177095</v>
      </c>
      <c r="AK477" s="257"/>
      <c r="AL477" s="255">
        <v>45443.0</v>
      </c>
      <c r="AM477" s="174">
        <v>5277.51</v>
      </c>
      <c r="AN477" s="256">
        <f t="shared" si="10"/>
        <v>0.008027917211</v>
      </c>
      <c r="AO477" s="154"/>
      <c r="AP477" s="154"/>
    </row>
    <row r="478">
      <c r="A478" s="154"/>
      <c r="B478" s="255">
        <v>45442.0</v>
      </c>
      <c r="C478" s="174">
        <v>20.94</v>
      </c>
      <c r="D478" s="256">
        <f t="shared" si="1"/>
        <v>0.01798736023</v>
      </c>
      <c r="E478" s="154"/>
      <c r="F478" s="255">
        <v>45442.0</v>
      </c>
      <c r="G478" s="174">
        <v>10.48</v>
      </c>
      <c r="H478" s="256">
        <f t="shared" si="2"/>
        <v>0.01648884578</v>
      </c>
      <c r="I478" s="154"/>
      <c r="J478" s="255">
        <v>45442.0</v>
      </c>
      <c r="K478" s="174">
        <v>16.9</v>
      </c>
      <c r="L478" s="256">
        <f t="shared" si="3"/>
        <v>0.0273556231</v>
      </c>
      <c r="M478" s="154"/>
      <c r="N478" s="255">
        <v>45442.0</v>
      </c>
      <c r="O478" s="174">
        <v>1913.0</v>
      </c>
      <c r="P478" s="256">
        <f t="shared" si="4"/>
        <v>0.003146303094</v>
      </c>
      <c r="Q478" s="154"/>
      <c r="R478" s="255">
        <v>45442.0</v>
      </c>
      <c r="S478" s="174">
        <v>27.57</v>
      </c>
      <c r="T478" s="256">
        <f t="shared" si="5"/>
        <v>0.01360294118</v>
      </c>
      <c r="U478" s="154"/>
      <c r="V478" s="255">
        <v>45442.0</v>
      </c>
      <c r="W478" s="174">
        <v>1174.75</v>
      </c>
      <c r="X478" s="256">
        <f t="shared" si="6"/>
        <v>-0.02116402116</v>
      </c>
      <c r="Y478" s="154"/>
      <c r="Z478" s="255">
        <v>45442.0</v>
      </c>
      <c r="AA478" s="174">
        <v>1466.6</v>
      </c>
      <c r="AB478" s="256">
        <f t="shared" si="7"/>
        <v>-0.01804425697</v>
      </c>
      <c r="AC478" s="154"/>
      <c r="AD478" s="255">
        <v>45442.0</v>
      </c>
      <c r="AE478" s="174">
        <v>13.77</v>
      </c>
      <c r="AF478" s="256">
        <f t="shared" si="8"/>
        <v>0.0125</v>
      </c>
      <c r="AG478" s="257"/>
      <c r="AH478" s="255">
        <v>45442.0</v>
      </c>
      <c r="AI478" s="174">
        <v>310.85</v>
      </c>
      <c r="AJ478" s="256">
        <f t="shared" si="9"/>
        <v>-0.03940049444</v>
      </c>
      <c r="AK478" s="257"/>
      <c r="AL478" s="255">
        <v>45442.0</v>
      </c>
      <c r="AM478" s="174">
        <v>5235.48</v>
      </c>
      <c r="AN478" s="256">
        <f t="shared" si="10"/>
        <v>-0.005974995016</v>
      </c>
      <c r="AO478" s="154"/>
      <c r="AP478" s="154"/>
    </row>
    <row r="479">
      <c r="A479" s="154"/>
      <c r="B479" s="255">
        <v>45441.0</v>
      </c>
      <c r="C479" s="174">
        <v>20.57</v>
      </c>
      <c r="D479" s="256">
        <f t="shared" si="1"/>
        <v>-0.01954242135</v>
      </c>
      <c r="E479" s="154"/>
      <c r="F479" s="255">
        <v>45441.0</v>
      </c>
      <c r="G479" s="174">
        <v>10.31</v>
      </c>
      <c r="H479" s="256">
        <f t="shared" si="2"/>
        <v>-0.007699711261</v>
      </c>
      <c r="I479" s="154"/>
      <c r="J479" s="255">
        <v>45441.0</v>
      </c>
      <c r="K479" s="174">
        <v>16.45</v>
      </c>
      <c r="L479" s="256">
        <f t="shared" si="3"/>
        <v>-0.01849642005</v>
      </c>
      <c r="M479" s="154"/>
      <c r="N479" s="255">
        <v>45441.0</v>
      </c>
      <c r="O479" s="174">
        <v>1907.0</v>
      </c>
      <c r="P479" s="256">
        <f t="shared" si="4"/>
        <v>0.001049868766</v>
      </c>
      <c r="Q479" s="154"/>
      <c r="R479" s="255">
        <v>45441.0</v>
      </c>
      <c r="S479" s="174">
        <v>27.2</v>
      </c>
      <c r="T479" s="256">
        <f t="shared" si="5"/>
        <v>-0.004756677644</v>
      </c>
      <c r="U479" s="154"/>
      <c r="V479" s="255">
        <v>45441.0</v>
      </c>
      <c r="W479" s="174">
        <v>1200.15</v>
      </c>
      <c r="X479" s="256">
        <f t="shared" si="6"/>
        <v>0.00594270196</v>
      </c>
      <c r="Y479" s="154"/>
      <c r="Z479" s="255">
        <v>45441.0</v>
      </c>
      <c r="AA479" s="174">
        <v>1493.55</v>
      </c>
      <c r="AB479" s="256">
        <f t="shared" si="7"/>
        <v>0.009530568792</v>
      </c>
      <c r="AC479" s="154"/>
      <c r="AD479" s="255">
        <v>45441.0</v>
      </c>
      <c r="AE479" s="174">
        <v>13.6</v>
      </c>
      <c r="AF479" s="256">
        <f t="shared" si="8"/>
        <v>-0.02787705504</v>
      </c>
      <c r="AG479" s="257"/>
      <c r="AH479" s="255">
        <v>45441.0</v>
      </c>
      <c r="AI479" s="174">
        <v>323.6</v>
      </c>
      <c r="AJ479" s="256">
        <f t="shared" si="9"/>
        <v>0.01841070024</v>
      </c>
      <c r="AK479" s="257"/>
      <c r="AL479" s="255">
        <v>45441.0</v>
      </c>
      <c r="AM479" s="174">
        <v>5266.95</v>
      </c>
      <c r="AN479" s="256">
        <f t="shared" si="10"/>
        <v>-0.007367076011</v>
      </c>
      <c r="AO479" s="154"/>
      <c r="AP479" s="154"/>
    </row>
    <row r="480">
      <c r="A480" s="154"/>
      <c r="B480" s="255">
        <v>45440.0</v>
      </c>
      <c r="C480" s="174">
        <v>20.98</v>
      </c>
      <c r="D480" s="256">
        <f t="shared" si="1"/>
        <v>-0.0004764173416</v>
      </c>
      <c r="E480" s="154"/>
      <c r="F480" s="255">
        <v>45440.0</v>
      </c>
      <c r="G480" s="174">
        <v>10.39</v>
      </c>
      <c r="H480" s="256">
        <f t="shared" si="2"/>
        <v>-0.001921229587</v>
      </c>
      <c r="I480" s="154"/>
      <c r="J480" s="255">
        <v>45440.0</v>
      </c>
      <c r="K480" s="174">
        <v>16.76</v>
      </c>
      <c r="L480" s="256">
        <f t="shared" si="3"/>
        <v>0.009638554217</v>
      </c>
      <c r="M480" s="154"/>
      <c r="N480" s="255">
        <v>45440.0</v>
      </c>
      <c r="O480" s="174">
        <v>1905.0</v>
      </c>
      <c r="P480" s="256">
        <f t="shared" si="4"/>
        <v>-0.02706843718</v>
      </c>
      <c r="Q480" s="154"/>
      <c r="R480" s="255">
        <v>45440.0</v>
      </c>
      <c r="S480" s="174">
        <v>27.33</v>
      </c>
      <c r="T480" s="256">
        <f t="shared" si="5"/>
        <v>-0.01972740316</v>
      </c>
      <c r="U480" s="154"/>
      <c r="V480" s="255">
        <v>45440.0</v>
      </c>
      <c r="W480" s="174">
        <v>1193.06</v>
      </c>
      <c r="X480" s="256">
        <f t="shared" si="6"/>
        <v>0.01576787508</v>
      </c>
      <c r="Y480" s="154"/>
      <c r="Z480" s="255">
        <v>45440.0</v>
      </c>
      <c r="AA480" s="174">
        <v>1479.45</v>
      </c>
      <c r="AB480" s="256">
        <f t="shared" si="7"/>
        <v>0.0005410340513</v>
      </c>
      <c r="AC480" s="154"/>
      <c r="AD480" s="255">
        <v>45440.0</v>
      </c>
      <c r="AE480" s="174">
        <v>13.99</v>
      </c>
      <c r="AF480" s="256">
        <f t="shared" si="8"/>
        <v>-0.0140944327</v>
      </c>
      <c r="AG480" s="257"/>
      <c r="AH480" s="255">
        <v>45440.0</v>
      </c>
      <c r="AI480" s="174">
        <v>317.75</v>
      </c>
      <c r="AJ480" s="256">
        <f t="shared" si="9"/>
        <v>0.008890300048</v>
      </c>
      <c r="AK480" s="257"/>
      <c r="AL480" s="255">
        <v>45440.0</v>
      </c>
      <c r="AM480" s="174">
        <v>5306.04</v>
      </c>
      <c r="AN480" s="256">
        <f t="shared" si="10"/>
        <v>0.0002488349998</v>
      </c>
      <c r="AO480" s="154"/>
      <c r="AP480" s="154"/>
    </row>
    <row r="481">
      <c r="A481" s="154"/>
      <c r="B481" s="255">
        <v>45436.0</v>
      </c>
      <c r="C481" s="174">
        <v>20.99</v>
      </c>
      <c r="D481" s="256">
        <f t="shared" si="1"/>
        <v>-0.0168618267</v>
      </c>
      <c r="E481" s="154"/>
      <c r="F481" s="255">
        <v>45436.0</v>
      </c>
      <c r="G481" s="174">
        <v>10.41</v>
      </c>
      <c r="H481" s="256">
        <f t="shared" si="2"/>
        <v>-0.0113960114</v>
      </c>
      <c r="I481" s="154"/>
      <c r="J481" s="255">
        <v>45436.0</v>
      </c>
      <c r="K481" s="174">
        <v>16.6</v>
      </c>
      <c r="L481" s="256">
        <f t="shared" si="3"/>
        <v>-0.009546539379</v>
      </c>
      <c r="M481" s="154"/>
      <c r="N481" s="255">
        <v>45436.0</v>
      </c>
      <c r="O481" s="174">
        <v>1958.0</v>
      </c>
      <c r="P481" s="256">
        <f t="shared" si="4"/>
        <v>-0.0005104645227</v>
      </c>
      <c r="Q481" s="154"/>
      <c r="R481" s="255">
        <v>45436.0</v>
      </c>
      <c r="S481" s="174">
        <v>27.88</v>
      </c>
      <c r="T481" s="256">
        <f t="shared" si="5"/>
        <v>-0.00853485064</v>
      </c>
      <c r="U481" s="154"/>
      <c r="V481" s="255">
        <v>45439.0</v>
      </c>
      <c r="W481" s="174">
        <v>1174.54</v>
      </c>
      <c r="X481" s="256">
        <f t="shared" si="6"/>
        <v>-0.004238940604</v>
      </c>
      <c r="Y481" s="154"/>
      <c r="Z481" s="255">
        <v>45439.0</v>
      </c>
      <c r="AA481" s="174">
        <v>1478.65</v>
      </c>
      <c r="AB481" s="256">
        <f t="shared" si="7"/>
        <v>-0.00705100225</v>
      </c>
      <c r="AC481" s="154"/>
      <c r="AD481" s="255">
        <v>45436.0</v>
      </c>
      <c r="AE481" s="174">
        <v>14.19</v>
      </c>
      <c r="AF481" s="256">
        <f t="shared" si="8"/>
        <v>0.04491899853</v>
      </c>
      <c r="AG481" s="257"/>
      <c r="AH481" s="255">
        <v>45439.0</v>
      </c>
      <c r="AI481" s="174">
        <v>314.95</v>
      </c>
      <c r="AJ481" s="256">
        <f t="shared" si="9"/>
        <v>-0.001743264659</v>
      </c>
      <c r="AK481" s="257"/>
      <c r="AL481" s="255">
        <v>45436.0</v>
      </c>
      <c r="AM481" s="174">
        <v>5304.72</v>
      </c>
      <c r="AN481" s="256">
        <f t="shared" si="10"/>
        <v>0.007000971935</v>
      </c>
      <c r="AO481" s="154"/>
      <c r="AP481" s="154"/>
    </row>
    <row r="482">
      <c r="A482" s="154"/>
      <c r="B482" s="255">
        <v>45435.0</v>
      </c>
      <c r="C482" s="174">
        <v>21.35</v>
      </c>
      <c r="D482" s="256">
        <f t="shared" si="1"/>
        <v>-0.02777777778</v>
      </c>
      <c r="E482" s="154"/>
      <c r="F482" s="255">
        <v>45435.0</v>
      </c>
      <c r="G482" s="174">
        <v>10.53</v>
      </c>
      <c r="H482" s="256">
        <f t="shared" si="2"/>
        <v>-0.03216911765</v>
      </c>
      <c r="I482" s="154"/>
      <c r="J482" s="255">
        <v>45435.0</v>
      </c>
      <c r="K482" s="174">
        <v>16.76</v>
      </c>
      <c r="L482" s="256">
        <f t="shared" si="3"/>
        <v>-0.007109004739</v>
      </c>
      <c r="M482" s="154"/>
      <c r="N482" s="255">
        <v>45435.0</v>
      </c>
      <c r="O482" s="174">
        <v>1959.0</v>
      </c>
      <c r="P482" s="256">
        <f t="shared" si="4"/>
        <v>0.01031459515</v>
      </c>
      <c r="Q482" s="154"/>
      <c r="R482" s="255">
        <v>45435.0</v>
      </c>
      <c r="S482" s="174">
        <v>28.12</v>
      </c>
      <c r="T482" s="256">
        <f t="shared" si="5"/>
        <v>-0.04125468803</v>
      </c>
      <c r="U482" s="154"/>
      <c r="V482" s="255">
        <v>45435.0</v>
      </c>
      <c r="W482" s="174">
        <v>1179.54</v>
      </c>
      <c r="X482" s="256">
        <f t="shared" si="6"/>
        <v>0.004248435571</v>
      </c>
      <c r="Y482" s="154"/>
      <c r="Z482" s="255">
        <v>45435.0</v>
      </c>
      <c r="AA482" s="174">
        <v>1489.15</v>
      </c>
      <c r="AB482" s="256">
        <f t="shared" si="7"/>
        <v>0.004621196789</v>
      </c>
      <c r="AC482" s="154"/>
      <c r="AD482" s="255">
        <v>45435.0</v>
      </c>
      <c r="AE482" s="174">
        <v>13.58</v>
      </c>
      <c r="AF482" s="256">
        <f t="shared" si="8"/>
        <v>-0.03</v>
      </c>
      <c r="AG482" s="257"/>
      <c r="AH482" s="255">
        <v>45435.0</v>
      </c>
      <c r="AI482" s="174">
        <v>315.5</v>
      </c>
      <c r="AJ482" s="256">
        <f t="shared" si="9"/>
        <v>0.02451696704</v>
      </c>
      <c r="AK482" s="257"/>
      <c r="AL482" s="255">
        <v>45435.0</v>
      </c>
      <c r="AM482" s="174">
        <v>5267.84</v>
      </c>
      <c r="AN482" s="256">
        <f t="shared" si="10"/>
        <v>-0.00738080388</v>
      </c>
      <c r="AO482" s="154"/>
      <c r="AP482" s="154"/>
    </row>
    <row r="483">
      <c r="A483" s="154"/>
      <c r="B483" s="255">
        <v>45434.0</v>
      </c>
      <c r="C483" s="174">
        <v>21.96</v>
      </c>
      <c r="D483" s="256">
        <f t="shared" si="1"/>
        <v>0.005034324943</v>
      </c>
      <c r="E483" s="154"/>
      <c r="F483" s="255">
        <v>45434.0</v>
      </c>
      <c r="G483" s="174">
        <v>10.88</v>
      </c>
      <c r="H483" s="256">
        <f t="shared" si="2"/>
        <v>-0.007299270073</v>
      </c>
      <c r="I483" s="154"/>
      <c r="J483" s="255">
        <v>45434.0</v>
      </c>
      <c r="K483" s="174">
        <v>16.88</v>
      </c>
      <c r="L483" s="256">
        <f t="shared" si="3"/>
        <v>0.01748040989</v>
      </c>
      <c r="M483" s="154"/>
      <c r="N483" s="255">
        <v>45434.0</v>
      </c>
      <c r="O483" s="174">
        <v>1939.0</v>
      </c>
      <c r="P483" s="256">
        <f t="shared" si="4"/>
        <v>0.003623188406</v>
      </c>
      <c r="Q483" s="154"/>
      <c r="R483" s="255">
        <v>45434.0</v>
      </c>
      <c r="S483" s="174">
        <v>29.33</v>
      </c>
      <c r="T483" s="256">
        <f t="shared" si="5"/>
        <v>-0.01279030629</v>
      </c>
      <c r="U483" s="154"/>
      <c r="V483" s="255">
        <v>45434.0</v>
      </c>
      <c r="W483" s="174">
        <v>1174.55</v>
      </c>
      <c r="X483" s="256">
        <f t="shared" si="6"/>
        <v>0.01608187135</v>
      </c>
      <c r="Y483" s="154"/>
      <c r="Z483" s="255">
        <v>45434.0</v>
      </c>
      <c r="AA483" s="174">
        <v>1482.3</v>
      </c>
      <c r="AB483" s="256">
        <f t="shared" si="7"/>
        <v>0.02773348125</v>
      </c>
      <c r="AC483" s="154"/>
      <c r="AD483" s="255">
        <v>45434.0</v>
      </c>
      <c r="AE483" s="174">
        <v>14.0</v>
      </c>
      <c r="AF483" s="256">
        <f t="shared" si="8"/>
        <v>0.004304160689</v>
      </c>
      <c r="AG483" s="257"/>
      <c r="AH483" s="255">
        <v>45434.0</v>
      </c>
      <c r="AI483" s="174">
        <v>307.95</v>
      </c>
      <c r="AJ483" s="256">
        <f t="shared" si="9"/>
        <v>0.001137841352</v>
      </c>
      <c r="AK483" s="257"/>
      <c r="AL483" s="255">
        <v>45434.0</v>
      </c>
      <c r="AM483" s="174">
        <v>5307.01</v>
      </c>
      <c r="AN483" s="256">
        <f t="shared" si="10"/>
        <v>-0.002706049712</v>
      </c>
      <c r="AO483" s="154"/>
      <c r="AP483" s="154"/>
    </row>
    <row r="484">
      <c r="A484" s="154"/>
      <c r="B484" s="255">
        <v>45433.0</v>
      </c>
      <c r="C484" s="174">
        <v>21.85</v>
      </c>
      <c r="D484" s="256">
        <f t="shared" si="1"/>
        <v>0.002293577982</v>
      </c>
      <c r="E484" s="154"/>
      <c r="F484" s="255">
        <v>45433.0</v>
      </c>
      <c r="G484" s="174">
        <v>10.96</v>
      </c>
      <c r="H484" s="256">
        <f t="shared" si="2"/>
        <v>-0.001821493625</v>
      </c>
      <c r="I484" s="154"/>
      <c r="J484" s="255">
        <v>45433.0</v>
      </c>
      <c r="K484" s="174">
        <v>16.59</v>
      </c>
      <c r="L484" s="256">
        <f t="shared" si="3"/>
        <v>0.01841620626</v>
      </c>
      <c r="M484" s="154"/>
      <c r="N484" s="255">
        <v>45433.0</v>
      </c>
      <c r="O484" s="174">
        <v>1932.0</v>
      </c>
      <c r="P484" s="256">
        <f t="shared" si="4"/>
        <v>-0.02325581395</v>
      </c>
      <c r="Q484" s="154"/>
      <c r="R484" s="255">
        <v>45433.0</v>
      </c>
      <c r="S484" s="174">
        <v>29.71</v>
      </c>
      <c r="T484" s="256">
        <f t="shared" si="5"/>
        <v>-0.004022795843</v>
      </c>
      <c r="U484" s="154"/>
      <c r="V484" s="255">
        <v>45433.0</v>
      </c>
      <c r="W484" s="174">
        <v>1155.96</v>
      </c>
      <c r="X484" s="256">
        <f t="shared" si="6"/>
        <v>-0.003405436629</v>
      </c>
      <c r="Y484" s="154"/>
      <c r="Z484" s="255">
        <v>45433.0</v>
      </c>
      <c r="AA484" s="174">
        <v>1442.3</v>
      </c>
      <c r="AB484" s="256">
        <f t="shared" si="7"/>
        <v>0.03091383439</v>
      </c>
      <c r="AC484" s="154"/>
      <c r="AD484" s="255">
        <v>45433.0</v>
      </c>
      <c r="AE484" s="174">
        <v>13.94</v>
      </c>
      <c r="AF484" s="256">
        <f t="shared" si="8"/>
        <v>0.03259259259</v>
      </c>
      <c r="AG484" s="257"/>
      <c r="AH484" s="255">
        <v>45433.0</v>
      </c>
      <c r="AI484" s="174">
        <v>307.6</v>
      </c>
      <c r="AJ484" s="256">
        <f t="shared" si="9"/>
        <v>0.005721759032</v>
      </c>
      <c r="AK484" s="257"/>
      <c r="AL484" s="255">
        <v>45433.0</v>
      </c>
      <c r="AM484" s="174">
        <v>5321.41</v>
      </c>
      <c r="AN484" s="256">
        <f t="shared" si="10"/>
        <v>0.003420531106</v>
      </c>
      <c r="AO484" s="154"/>
      <c r="AP484" s="154"/>
    </row>
    <row r="485">
      <c r="A485" s="154"/>
      <c r="B485" s="255">
        <v>45429.0</v>
      </c>
      <c r="C485" s="174">
        <v>21.8</v>
      </c>
      <c r="D485" s="256">
        <f t="shared" si="1"/>
        <v>0.01301115242</v>
      </c>
      <c r="E485" s="154"/>
      <c r="F485" s="255">
        <v>45429.0</v>
      </c>
      <c r="G485" s="174">
        <v>10.98</v>
      </c>
      <c r="H485" s="256">
        <f t="shared" si="2"/>
        <v>-0.003629764065</v>
      </c>
      <c r="I485" s="154"/>
      <c r="J485" s="255">
        <v>45429.0</v>
      </c>
      <c r="K485" s="174">
        <v>16.29</v>
      </c>
      <c r="L485" s="256">
        <f t="shared" si="3"/>
        <v>-0.0006134969325</v>
      </c>
      <c r="M485" s="154"/>
      <c r="N485" s="255">
        <v>45429.0</v>
      </c>
      <c r="O485" s="174">
        <v>1978.0</v>
      </c>
      <c r="P485" s="256">
        <f t="shared" si="4"/>
        <v>-0.002521432173</v>
      </c>
      <c r="Q485" s="154"/>
      <c r="R485" s="255">
        <v>45429.0</v>
      </c>
      <c r="S485" s="174">
        <v>29.83</v>
      </c>
      <c r="T485" s="256">
        <f t="shared" si="5"/>
        <v>-0.008970099668</v>
      </c>
      <c r="U485" s="154"/>
      <c r="V485" s="255">
        <v>45429.0</v>
      </c>
      <c r="W485" s="174">
        <v>1159.91</v>
      </c>
      <c r="X485" s="256">
        <f t="shared" si="6"/>
        <v>-0.008691713387</v>
      </c>
      <c r="Y485" s="154"/>
      <c r="Z485" s="255">
        <v>45429.0</v>
      </c>
      <c r="AA485" s="174">
        <v>1399.05</v>
      </c>
      <c r="AB485" s="256">
        <f t="shared" si="7"/>
        <v>-0.01551614946</v>
      </c>
      <c r="AC485" s="154"/>
      <c r="AD485" s="255">
        <v>45429.0</v>
      </c>
      <c r="AE485" s="174">
        <v>13.5</v>
      </c>
      <c r="AF485" s="256">
        <f t="shared" si="8"/>
        <v>0</v>
      </c>
      <c r="AG485" s="257"/>
      <c r="AH485" s="255">
        <v>45429.0</v>
      </c>
      <c r="AI485" s="174">
        <v>305.85</v>
      </c>
      <c r="AJ485" s="256">
        <f t="shared" si="9"/>
        <v>0.0003270645953</v>
      </c>
      <c r="AK485" s="257"/>
      <c r="AL485" s="255">
        <v>45429.0</v>
      </c>
      <c r="AM485" s="174">
        <v>5303.27</v>
      </c>
      <c r="AN485" s="256">
        <f t="shared" si="10"/>
        <v>0.00116478828</v>
      </c>
      <c r="AO485" s="154"/>
      <c r="AP485" s="154"/>
    </row>
    <row r="486">
      <c r="A486" s="154"/>
      <c r="B486" s="255">
        <v>45428.0</v>
      </c>
      <c r="C486" s="174">
        <v>21.52</v>
      </c>
      <c r="D486" s="256">
        <f t="shared" si="1"/>
        <v>-0.006004618938</v>
      </c>
      <c r="E486" s="154"/>
      <c r="F486" s="255">
        <v>45428.0</v>
      </c>
      <c r="G486" s="174">
        <v>11.02</v>
      </c>
      <c r="H486" s="256">
        <f t="shared" si="2"/>
        <v>-0.004516711834</v>
      </c>
      <c r="I486" s="154"/>
      <c r="J486" s="255">
        <v>45428.0</v>
      </c>
      <c r="K486" s="174">
        <v>16.3</v>
      </c>
      <c r="L486" s="256">
        <f t="shared" si="3"/>
        <v>-0.02860548272</v>
      </c>
      <c r="M486" s="154"/>
      <c r="N486" s="255">
        <v>45428.0</v>
      </c>
      <c r="O486" s="174">
        <v>1983.0</v>
      </c>
      <c r="P486" s="256">
        <f t="shared" si="4"/>
        <v>-0.02218934911</v>
      </c>
      <c r="Q486" s="154"/>
      <c r="R486" s="255">
        <v>45428.0</v>
      </c>
      <c r="S486" s="174">
        <v>30.1</v>
      </c>
      <c r="T486" s="256">
        <f t="shared" si="5"/>
        <v>-0.003970880212</v>
      </c>
      <c r="U486" s="154"/>
      <c r="V486" s="255">
        <v>45428.0</v>
      </c>
      <c r="W486" s="174">
        <v>1170.08</v>
      </c>
      <c r="X486" s="256">
        <f t="shared" si="6"/>
        <v>-0.004187234043</v>
      </c>
      <c r="Y486" s="154"/>
      <c r="Z486" s="255">
        <v>45428.0</v>
      </c>
      <c r="AA486" s="174">
        <v>1421.1</v>
      </c>
      <c r="AB486" s="256">
        <f t="shared" si="7"/>
        <v>0.01023672425</v>
      </c>
      <c r="AC486" s="154"/>
      <c r="AD486" s="255">
        <v>45428.0</v>
      </c>
      <c r="AE486" s="174">
        <v>13.5</v>
      </c>
      <c r="AF486" s="256">
        <f t="shared" si="8"/>
        <v>0.01123595506</v>
      </c>
      <c r="AG486" s="257"/>
      <c r="AH486" s="255">
        <v>45428.0</v>
      </c>
      <c r="AI486" s="174">
        <v>305.75</v>
      </c>
      <c r="AJ486" s="256">
        <f t="shared" si="9"/>
        <v>-0.01971785829</v>
      </c>
      <c r="AK486" s="257"/>
      <c r="AL486" s="255">
        <v>45428.0</v>
      </c>
      <c r="AM486" s="174">
        <v>5297.1</v>
      </c>
      <c r="AN486" s="256">
        <f t="shared" si="10"/>
        <v>-0.002081704549</v>
      </c>
      <c r="AO486" s="154"/>
      <c r="AP486" s="154"/>
    </row>
    <row r="487">
      <c r="A487" s="154"/>
      <c r="B487" s="255">
        <v>45427.0</v>
      </c>
      <c r="C487" s="174">
        <v>21.65</v>
      </c>
      <c r="D487" s="256">
        <f t="shared" si="1"/>
        <v>0.01405152225</v>
      </c>
      <c r="E487" s="154"/>
      <c r="F487" s="255">
        <v>45427.0</v>
      </c>
      <c r="G487" s="174">
        <v>11.07</v>
      </c>
      <c r="H487" s="256">
        <f t="shared" si="2"/>
        <v>-0.006283662478</v>
      </c>
      <c r="I487" s="154"/>
      <c r="J487" s="255">
        <v>45427.0</v>
      </c>
      <c r="K487" s="174">
        <v>16.78</v>
      </c>
      <c r="L487" s="256">
        <f t="shared" si="3"/>
        <v>-0.01813926273</v>
      </c>
      <c r="M487" s="154"/>
      <c r="N487" s="255">
        <v>45427.0</v>
      </c>
      <c r="O487" s="174">
        <v>2028.0</v>
      </c>
      <c r="P487" s="256">
        <f t="shared" si="4"/>
        <v>0.01298701299</v>
      </c>
      <c r="Q487" s="154"/>
      <c r="R487" s="255">
        <v>45427.0</v>
      </c>
      <c r="S487" s="174">
        <v>30.22</v>
      </c>
      <c r="T487" s="256">
        <f t="shared" si="5"/>
        <v>-0.002310993727</v>
      </c>
      <c r="U487" s="154"/>
      <c r="V487" s="255">
        <v>45427.0</v>
      </c>
      <c r="W487" s="174">
        <v>1175.0</v>
      </c>
      <c r="X487" s="256">
        <f t="shared" si="6"/>
        <v>0.001056434024</v>
      </c>
      <c r="Y487" s="154"/>
      <c r="Z487" s="255">
        <v>45427.0</v>
      </c>
      <c r="AA487" s="174">
        <v>1406.7</v>
      </c>
      <c r="AB487" s="256">
        <f t="shared" si="7"/>
        <v>0.03635760858</v>
      </c>
      <c r="AC487" s="154"/>
      <c r="AD487" s="255">
        <v>45427.0</v>
      </c>
      <c r="AE487" s="174">
        <v>13.35</v>
      </c>
      <c r="AF487" s="256">
        <f t="shared" si="8"/>
        <v>0</v>
      </c>
      <c r="AG487" s="257"/>
      <c r="AH487" s="255">
        <v>45427.0</v>
      </c>
      <c r="AI487" s="174">
        <v>311.9</v>
      </c>
      <c r="AJ487" s="256">
        <f t="shared" si="9"/>
        <v>0.003216468318</v>
      </c>
      <c r="AK487" s="257"/>
      <c r="AL487" s="255">
        <v>45427.0</v>
      </c>
      <c r="AM487" s="174">
        <v>5308.15</v>
      </c>
      <c r="AN487" s="256">
        <f t="shared" si="10"/>
        <v>0.01171598039</v>
      </c>
      <c r="AO487" s="154"/>
      <c r="AP487" s="154"/>
    </row>
    <row r="488">
      <c r="A488" s="154"/>
      <c r="B488" s="255">
        <v>45426.0</v>
      </c>
      <c r="C488" s="174">
        <v>21.35</v>
      </c>
      <c r="D488" s="256">
        <f t="shared" si="1"/>
        <v>0.01957975167</v>
      </c>
      <c r="E488" s="154"/>
      <c r="F488" s="255">
        <v>45426.0</v>
      </c>
      <c r="G488" s="174">
        <v>11.14</v>
      </c>
      <c r="H488" s="256">
        <f t="shared" si="2"/>
        <v>-0.01936619718</v>
      </c>
      <c r="I488" s="154"/>
      <c r="J488" s="255">
        <v>45426.0</v>
      </c>
      <c r="K488" s="174">
        <v>17.09</v>
      </c>
      <c r="L488" s="256">
        <f t="shared" si="3"/>
        <v>0.01244075829</v>
      </c>
      <c r="M488" s="154"/>
      <c r="N488" s="255">
        <v>45426.0</v>
      </c>
      <c r="O488" s="174">
        <v>2002.0</v>
      </c>
      <c r="P488" s="256">
        <f t="shared" si="4"/>
        <v>-0.004970178926</v>
      </c>
      <c r="Q488" s="154"/>
      <c r="R488" s="255">
        <v>45426.0</v>
      </c>
      <c r="S488" s="174">
        <v>30.29</v>
      </c>
      <c r="T488" s="256">
        <f t="shared" si="5"/>
        <v>-0.01655844156</v>
      </c>
      <c r="U488" s="154"/>
      <c r="V488" s="255">
        <v>45426.0</v>
      </c>
      <c r="W488" s="174">
        <v>1173.76</v>
      </c>
      <c r="X488" s="256">
        <f t="shared" si="6"/>
        <v>-0.006727538905</v>
      </c>
      <c r="Y488" s="154"/>
      <c r="Z488" s="255">
        <v>45426.0</v>
      </c>
      <c r="AA488" s="174">
        <v>1357.35</v>
      </c>
      <c r="AB488" s="256">
        <f t="shared" si="7"/>
        <v>-0.04050471848</v>
      </c>
      <c r="AC488" s="154"/>
      <c r="AD488" s="255">
        <v>45426.0</v>
      </c>
      <c r="AE488" s="174">
        <v>13.35</v>
      </c>
      <c r="AF488" s="256">
        <f t="shared" si="8"/>
        <v>0.004514672686</v>
      </c>
      <c r="AG488" s="257"/>
      <c r="AH488" s="255">
        <v>45426.0</v>
      </c>
      <c r="AI488" s="174">
        <v>310.9</v>
      </c>
      <c r="AJ488" s="256">
        <f t="shared" si="9"/>
        <v>0.03066467761</v>
      </c>
      <c r="AK488" s="257"/>
      <c r="AL488" s="255">
        <v>45426.0</v>
      </c>
      <c r="AM488" s="174">
        <v>5246.68</v>
      </c>
      <c r="AN488" s="256">
        <f t="shared" si="10"/>
        <v>0.00483776444</v>
      </c>
      <c r="AO488" s="154"/>
      <c r="AP488" s="154"/>
    </row>
    <row r="489">
      <c r="A489" s="154"/>
      <c r="B489" s="255">
        <v>45425.0</v>
      </c>
      <c r="C489" s="174">
        <v>20.94</v>
      </c>
      <c r="D489" s="256">
        <f t="shared" si="1"/>
        <v>0.02546523017</v>
      </c>
      <c r="E489" s="154"/>
      <c r="F489" s="255">
        <v>45425.0</v>
      </c>
      <c r="G489" s="174">
        <v>11.36</v>
      </c>
      <c r="H489" s="256">
        <f t="shared" si="2"/>
        <v>0.01792114695</v>
      </c>
      <c r="I489" s="154"/>
      <c r="J489" s="255">
        <v>45425.0</v>
      </c>
      <c r="K489" s="174">
        <v>16.88</v>
      </c>
      <c r="L489" s="256">
        <f t="shared" si="3"/>
        <v>0.03876923077</v>
      </c>
      <c r="M489" s="154"/>
      <c r="N489" s="255">
        <v>45425.0</v>
      </c>
      <c r="O489" s="174">
        <v>2012.0</v>
      </c>
      <c r="P489" s="256">
        <f t="shared" si="4"/>
        <v>0.009027081244</v>
      </c>
      <c r="Q489" s="154"/>
      <c r="R489" s="255">
        <v>45425.0</v>
      </c>
      <c r="S489" s="174">
        <v>30.8</v>
      </c>
      <c r="T489" s="256">
        <f t="shared" si="5"/>
        <v>0.002930641485</v>
      </c>
      <c r="U489" s="154"/>
      <c r="V489" s="255">
        <v>45425.0</v>
      </c>
      <c r="W489" s="174">
        <v>1181.71</v>
      </c>
      <c r="X489" s="256">
        <f t="shared" si="6"/>
        <v>-0.002102685357</v>
      </c>
      <c r="Y489" s="154"/>
      <c r="Z489" s="255">
        <v>45425.0</v>
      </c>
      <c r="AA489" s="174">
        <v>1414.65</v>
      </c>
      <c r="AB489" s="256">
        <f t="shared" si="7"/>
        <v>0.05606360345</v>
      </c>
      <c r="AC489" s="154"/>
      <c r="AD489" s="255">
        <v>45425.0</v>
      </c>
      <c r="AE489" s="174">
        <v>13.29</v>
      </c>
      <c r="AF489" s="256">
        <f t="shared" si="8"/>
        <v>-0.005983545251</v>
      </c>
      <c r="AG489" s="257"/>
      <c r="AH489" s="255">
        <v>45425.0</v>
      </c>
      <c r="AI489" s="174">
        <v>301.65</v>
      </c>
      <c r="AJ489" s="256">
        <f t="shared" si="9"/>
        <v>-0.007730263158</v>
      </c>
      <c r="AK489" s="257"/>
      <c r="AL489" s="255">
        <v>45425.0</v>
      </c>
      <c r="AM489" s="174">
        <v>5221.42</v>
      </c>
      <c r="AN489" s="256">
        <f t="shared" si="10"/>
        <v>-0.0002412554474</v>
      </c>
      <c r="AO489" s="154"/>
      <c r="AP489" s="154"/>
    </row>
    <row r="490">
      <c r="A490" s="154"/>
      <c r="B490" s="255">
        <v>45422.0</v>
      </c>
      <c r="C490" s="174">
        <v>20.42</v>
      </c>
      <c r="D490" s="256">
        <f t="shared" si="1"/>
        <v>-0.004388103364</v>
      </c>
      <c r="E490" s="154"/>
      <c r="F490" s="255">
        <v>45422.0</v>
      </c>
      <c r="G490" s="174">
        <v>11.16</v>
      </c>
      <c r="H490" s="256">
        <f t="shared" si="2"/>
        <v>-0.005347593583</v>
      </c>
      <c r="I490" s="154"/>
      <c r="J490" s="255">
        <v>45422.0</v>
      </c>
      <c r="K490" s="174">
        <v>16.25</v>
      </c>
      <c r="L490" s="256">
        <f t="shared" si="3"/>
        <v>0.015625</v>
      </c>
      <c r="M490" s="154"/>
      <c r="N490" s="255">
        <v>45422.0</v>
      </c>
      <c r="O490" s="174">
        <v>1994.0</v>
      </c>
      <c r="P490" s="256">
        <f t="shared" si="4"/>
        <v>0.006562342251</v>
      </c>
      <c r="Q490" s="154"/>
      <c r="R490" s="255">
        <v>45422.0</v>
      </c>
      <c r="S490" s="174">
        <v>30.71</v>
      </c>
      <c r="T490" s="256">
        <f t="shared" si="5"/>
        <v>-0.009993552547</v>
      </c>
      <c r="U490" s="154"/>
      <c r="V490" s="255">
        <v>45422.0</v>
      </c>
      <c r="W490" s="174">
        <v>1184.2</v>
      </c>
      <c r="X490" s="256">
        <f t="shared" si="6"/>
        <v>0.007426816507</v>
      </c>
      <c r="Y490" s="154"/>
      <c r="Z490" s="255">
        <v>45422.0</v>
      </c>
      <c r="AA490" s="174">
        <v>1339.55</v>
      </c>
      <c r="AB490" s="256">
        <f t="shared" si="7"/>
        <v>-0.01416691198</v>
      </c>
      <c r="AC490" s="154"/>
      <c r="AD490" s="255">
        <v>45422.0</v>
      </c>
      <c r="AE490" s="174">
        <v>13.37</v>
      </c>
      <c r="AF490" s="256">
        <f t="shared" si="8"/>
        <v>-0.01691176471</v>
      </c>
      <c r="AG490" s="257"/>
      <c r="AH490" s="255">
        <v>45422.0</v>
      </c>
      <c r="AI490" s="174">
        <v>304.0</v>
      </c>
      <c r="AJ490" s="256">
        <f t="shared" si="9"/>
        <v>0.01791394609</v>
      </c>
      <c r="AK490" s="257"/>
      <c r="AL490" s="255">
        <v>45422.0</v>
      </c>
      <c r="AM490" s="174">
        <v>5222.68</v>
      </c>
      <c r="AN490" s="256">
        <f t="shared" si="10"/>
        <v>0.00164938014</v>
      </c>
      <c r="AO490" s="154"/>
      <c r="AP490" s="154"/>
    </row>
    <row r="491">
      <c r="A491" s="154"/>
      <c r="B491" s="255">
        <v>45421.0</v>
      </c>
      <c r="C491" s="174">
        <v>20.51</v>
      </c>
      <c r="D491" s="256">
        <f t="shared" si="1"/>
        <v>0.006872852234</v>
      </c>
      <c r="E491" s="154"/>
      <c r="F491" s="255">
        <v>45421.0</v>
      </c>
      <c r="G491" s="174">
        <v>11.22</v>
      </c>
      <c r="H491" s="256">
        <f t="shared" si="2"/>
        <v>-0.049957663</v>
      </c>
      <c r="I491" s="154"/>
      <c r="J491" s="255">
        <v>45421.0</v>
      </c>
      <c r="K491" s="174">
        <v>16.0</v>
      </c>
      <c r="L491" s="256">
        <f t="shared" si="3"/>
        <v>0.0165184244</v>
      </c>
      <c r="M491" s="154"/>
      <c r="N491" s="255">
        <v>45421.0</v>
      </c>
      <c r="O491" s="174">
        <v>1981.0</v>
      </c>
      <c r="P491" s="256">
        <f t="shared" si="4"/>
        <v>0.004054738976</v>
      </c>
      <c r="Q491" s="154"/>
      <c r="R491" s="255">
        <v>45421.0</v>
      </c>
      <c r="S491" s="174">
        <v>31.02</v>
      </c>
      <c r="T491" s="256">
        <f t="shared" si="5"/>
        <v>-0.002892960463</v>
      </c>
      <c r="U491" s="154"/>
      <c r="V491" s="255">
        <v>45421.0</v>
      </c>
      <c r="W491" s="174">
        <v>1175.47</v>
      </c>
      <c r="X491" s="256">
        <f t="shared" si="6"/>
        <v>-0.02955575553</v>
      </c>
      <c r="Y491" s="154"/>
      <c r="Z491" s="255">
        <v>45421.0</v>
      </c>
      <c r="AA491" s="174">
        <v>1358.8</v>
      </c>
      <c r="AB491" s="256">
        <f t="shared" si="7"/>
        <v>-0.01873984474</v>
      </c>
      <c r="AC491" s="154"/>
      <c r="AD491" s="255">
        <v>45421.0</v>
      </c>
      <c r="AE491" s="174">
        <v>13.6</v>
      </c>
      <c r="AF491" s="256">
        <f t="shared" si="8"/>
        <v>0.004431314623</v>
      </c>
      <c r="AG491" s="257"/>
      <c r="AH491" s="255">
        <v>45421.0</v>
      </c>
      <c r="AI491" s="174">
        <v>298.65</v>
      </c>
      <c r="AJ491" s="256">
        <f t="shared" si="9"/>
        <v>-0.02719869707</v>
      </c>
      <c r="AK491" s="257"/>
      <c r="AL491" s="255">
        <v>45421.0</v>
      </c>
      <c r="AM491" s="174">
        <v>5214.08</v>
      </c>
      <c r="AN491" s="256">
        <f t="shared" si="10"/>
        <v>0.005090917502</v>
      </c>
      <c r="AO491" s="154"/>
      <c r="AP491" s="154"/>
    </row>
    <row r="492">
      <c r="A492" s="154"/>
      <c r="B492" s="255">
        <v>45420.0</v>
      </c>
      <c r="C492" s="174">
        <v>20.37</v>
      </c>
      <c r="D492" s="256">
        <f t="shared" si="1"/>
        <v>-0.001470588235</v>
      </c>
      <c r="E492" s="154"/>
      <c r="F492" s="255">
        <v>45420.0</v>
      </c>
      <c r="G492" s="174">
        <v>11.81</v>
      </c>
      <c r="H492" s="256">
        <f t="shared" si="2"/>
        <v>0.007679180887</v>
      </c>
      <c r="I492" s="154"/>
      <c r="J492" s="255">
        <v>45420.0</v>
      </c>
      <c r="K492" s="174">
        <v>15.74</v>
      </c>
      <c r="L492" s="256">
        <f t="shared" si="3"/>
        <v>0.1283154122</v>
      </c>
      <c r="M492" s="154"/>
      <c r="N492" s="255">
        <v>45420.0</v>
      </c>
      <c r="O492" s="174">
        <v>1973.0</v>
      </c>
      <c r="P492" s="256">
        <f t="shared" si="4"/>
        <v>0.008691206544</v>
      </c>
      <c r="Q492" s="154"/>
      <c r="R492" s="255">
        <v>45420.0</v>
      </c>
      <c r="S492" s="174">
        <v>31.11</v>
      </c>
      <c r="T492" s="256">
        <f t="shared" si="5"/>
        <v>0.03184079602</v>
      </c>
      <c r="U492" s="154"/>
      <c r="V492" s="255">
        <v>45420.0</v>
      </c>
      <c r="W492" s="174">
        <v>1211.27</v>
      </c>
      <c r="X492" s="256">
        <f t="shared" si="6"/>
        <v>-0.03216089235</v>
      </c>
      <c r="Y492" s="154"/>
      <c r="Z492" s="255">
        <v>45420.0</v>
      </c>
      <c r="AA492" s="174">
        <v>1384.75</v>
      </c>
      <c r="AB492" s="256">
        <f t="shared" si="7"/>
        <v>-0.001766147636</v>
      </c>
      <c r="AC492" s="154"/>
      <c r="AD492" s="255">
        <v>45420.0</v>
      </c>
      <c r="AE492" s="174">
        <v>13.54</v>
      </c>
      <c r="AF492" s="256">
        <f t="shared" si="8"/>
        <v>-0.02308802309</v>
      </c>
      <c r="AG492" s="257"/>
      <c r="AH492" s="255">
        <v>45420.0</v>
      </c>
      <c r="AI492" s="174">
        <v>307.0</v>
      </c>
      <c r="AJ492" s="256">
        <f t="shared" si="9"/>
        <v>0.0405016099</v>
      </c>
      <c r="AK492" s="257"/>
      <c r="AL492" s="255">
        <v>45420.0</v>
      </c>
      <c r="AM492" s="174">
        <v>5187.67</v>
      </c>
      <c r="AN492" s="256">
        <f t="shared" si="10"/>
        <v>-0.000005782909575</v>
      </c>
      <c r="AO492" s="154"/>
      <c r="AP492" s="154"/>
    </row>
    <row r="493">
      <c r="A493" s="154"/>
      <c r="B493" s="255">
        <v>45419.0</v>
      </c>
      <c r="C493" s="174">
        <v>20.4</v>
      </c>
      <c r="D493" s="256">
        <f t="shared" si="1"/>
        <v>-0.01353965184</v>
      </c>
      <c r="E493" s="154"/>
      <c r="F493" s="255">
        <v>45419.0</v>
      </c>
      <c r="G493" s="174">
        <v>11.72</v>
      </c>
      <c r="H493" s="256">
        <f t="shared" si="2"/>
        <v>-0.008460236887</v>
      </c>
      <c r="I493" s="154"/>
      <c r="J493" s="255">
        <v>45419.0</v>
      </c>
      <c r="K493" s="174">
        <v>13.95</v>
      </c>
      <c r="L493" s="256">
        <f t="shared" si="3"/>
        <v>-0.007823613087</v>
      </c>
      <c r="M493" s="154"/>
      <c r="N493" s="255">
        <v>45419.0</v>
      </c>
      <c r="O493" s="174">
        <v>1956.0</v>
      </c>
      <c r="P493" s="256">
        <f t="shared" si="4"/>
        <v>-0.00102145046</v>
      </c>
      <c r="Q493" s="154"/>
      <c r="R493" s="255">
        <v>45419.0</v>
      </c>
      <c r="S493" s="174">
        <v>30.15</v>
      </c>
      <c r="T493" s="256">
        <f t="shared" si="5"/>
        <v>-0.09811546515</v>
      </c>
      <c r="U493" s="154"/>
      <c r="V493" s="255">
        <v>45419.0</v>
      </c>
      <c r="W493" s="174">
        <v>1251.52</v>
      </c>
      <c r="X493" s="256">
        <f t="shared" si="6"/>
        <v>-0.005696398637</v>
      </c>
      <c r="Y493" s="154"/>
      <c r="Z493" s="255">
        <v>45419.0</v>
      </c>
      <c r="AA493" s="174">
        <v>1387.2</v>
      </c>
      <c r="AB493" s="256">
        <f t="shared" si="7"/>
        <v>-0.02543206407</v>
      </c>
      <c r="AC493" s="154"/>
      <c r="AD493" s="255">
        <v>45419.0</v>
      </c>
      <c r="AE493" s="174">
        <v>13.86</v>
      </c>
      <c r="AF493" s="256">
        <f t="shared" si="8"/>
        <v>-0.03616133519</v>
      </c>
      <c r="AG493" s="257"/>
      <c r="AH493" s="255">
        <v>45419.0</v>
      </c>
      <c r="AI493" s="174">
        <v>295.05</v>
      </c>
      <c r="AJ493" s="256">
        <f t="shared" si="9"/>
        <v>-0.01846307385</v>
      </c>
      <c r="AK493" s="257"/>
      <c r="AL493" s="255">
        <v>45419.0</v>
      </c>
      <c r="AM493" s="174">
        <v>5187.7</v>
      </c>
      <c r="AN493" s="256">
        <f t="shared" si="10"/>
        <v>0.001343437424</v>
      </c>
      <c r="AO493" s="154"/>
      <c r="AP493" s="154"/>
    </row>
    <row r="494">
      <c r="A494" s="154"/>
      <c r="B494" s="255">
        <v>45418.0</v>
      </c>
      <c r="C494" s="174">
        <v>20.68</v>
      </c>
      <c r="D494" s="256">
        <f t="shared" si="1"/>
        <v>0.05456399796</v>
      </c>
      <c r="E494" s="154"/>
      <c r="F494" s="255">
        <v>45418.0</v>
      </c>
      <c r="G494" s="174">
        <v>11.82</v>
      </c>
      <c r="H494" s="256">
        <f t="shared" si="2"/>
        <v>0.003395585739</v>
      </c>
      <c r="I494" s="154"/>
      <c r="J494" s="255">
        <v>45418.0</v>
      </c>
      <c r="K494" s="174">
        <v>14.06</v>
      </c>
      <c r="L494" s="256">
        <f t="shared" si="3"/>
        <v>0.005722460658</v>
      </c>
      <c r="M494" s="154"/>
      <c r="N494" s="255">
        <v>45418.0</v>
      </c>
      <c r="O494" s="258">
        <v>1958.0</v>
      </c>
      <c r="P494" s="256">
        <f t="shared" si="4"/>
        <v>-0.001020408163</v>
      </c>
      <c r="Q494" s="154"/>
      <c r="R494" s="255">
        <v>45418.0</v>
      </c>
      <c r="S494" s="174">
        <v>33.43</v>
      </c>
      <c r="T494" s="256">
        <f t="shared" si="5"/>
        <v>0.01951814578</v>
      </c>
      <c r="U494" s="154"/>
      <c r="V494" s="255">
        <v>45418.0</v>
      </c>
      <c r="W494" s="174">
        <v>1258.69</v>
      </c>
      <c r="X494" s="256">
        <f t="shared" si="6"/>
        <v>-0.008835271791</v>
      </c>
      <c r="Y494" s="154"/>
      <c r="Z494" s="255">
        <v>45418.0</v>
      </c>
      <c r="AA494" s="174">
        <v>1423.4</v>
      </c>
      <c r="AB494" s="256">
        <f t="shared" si="7"/>
        <v>-0.0009475346552</v>
      </c>
      <c r="AC494" s="154"/>
      <c r="AD494" s="255">
        <v>45418.0</v>
      </c>
      <c r="AE494" s="174">
        <v>14.38</v>
      </c>
      <c r="AF494" s="256">
        <f t="shared" si="8"/>
        <v>-0.001388888889</v>
      </c>
      <c r="AG494" s="257"/>
      <c r="AH494" s="255">
        <v>45418.0</v>
      </c>
      <c r="AI494" s="174">
        <v>300.6</v>
      </c>
      <c r="AJ494" s="256">
        <f t="shared" si="9"/>
        <v>-0.01507208388</v>
      </c>
      <c r="AK494" s="257"/>
      <c r="AL494" s="255">
        <v>45418.0</v>
      </c>
      <c r="AM494" s="174">
        <v>5180.74</v>
      </c>
      <c r="AN494" s="256">
        <f t="shared" si="10"/>
        <v>0.0103260859</v>
      </c>
      <c r="AO494" s="154"/>
      <c r="AP494" s="154"/>
    </row>
    <row r="495">
      <c r="A495" s="154"/>
      <c r="B495" s="255">
        <v>45415.0</v>
      </c>
      <c r="C495" s="174">
        <v>19.61</v>
      </c>
      <c r="D495" s="256">
        <f t="shared" si="1"/>
        <v>0.005641025641</v>
      </c>
      <c r="E495" s="154"/>
      <c r="F495" s="255">
        <v>45415.0</v>
      </c>
      <c r="G495" s="174">
        <v>11.78</v>
      </c>
      <c r="H495" s="256">
        <f t="shared" si="2"/>
        <v>0.01551724138</v>
      </c>
      <c r="I495" s="154"/>
      <c r="J495" s="255">
        <v>45415.0</v>
      </c>
      <c r="K495" s="174">
        <v>13.98</v>
      </c>
      <c r="L495" s="256">
        <f t="shared" si="3"/>
        <v>-0.007102272727</v>
      </c>
      <c r="M495" s="154"/>
      <c r="N495" s="255">
        <v>45415.0</v>
      </c>
      <c r="O495" s="174">
        <v>1960.0</v>
      </c>
      <c r="P495" s="256">
        <f t="shared" si="4"/>
        <v>0.01818181818</v>
      </c>
      <c r="Q495" s="154"/>
      <c r="R495" s="255">
        <v>45415.0</v>
      </c>
      <c r="S495" s="174">
        <v>32.79</v>
      </c>
      <c r="T495" s="256">
        <f t="shared" si="5"/>
        <v>-0.008166969147</v>
      </c>
      <c r="U495" s="154"/>
      <c r="V495" s="255">
        <v>45415.0</v>
      </c>
      <c r="W495" s="174">
        <v>1269.91</v>
      </c>
      <c r="X495" s="256">
        <f t="shared" si="6"/>
        <v>0.009868787276</v>
      </c>
      <c r="Y495" s="154"/>
      <c r="Z495" s="255">
        <v>45415.0</v>
      </c>
      <c r="AA495" s="174">
        <v>1424.75</v>
      </c>
      <c r="AB495" s="256">
        <f t="shared" si="7"/>
        <v>0.003309742615</v>
      </c>
      <c r="AC495" s="154"/>
      <c r="AD495" s="255">
        <v>45415.0</v>
      </c>
      <c r="AE495" s="174">
        <v>14.4</v>
      </c>
      <c r="AF495" s="256">
        <f t="shared" si="8"/>
        <v>-0.007580978635</v>
      </c>
      <c r="AG495" s="257"/>
      <c r="AH495" s="255">
        <v>45415.0</v>
      </c>
      <c r="AI495" s="174">
        <v>305.2</v>
      </c>
      <c r="AJ495" s="256">
        <f t="shared" si="9"/>
        <v>-0.01833386941</v>
      </c>
      <c r="AK495" s="257"/>
      <c r="AL495" s="255">
        <v>45415.0</v>
      </c>
      <c r="AM495" s="174">
        <v>5127.79</v>
      </c>
      <c r="AN495" s="256">
        <f t="shared" si="10"/>
        <v>0.01255677106</v>
      </c>
      <c r="AO495" s="154"/>
      <c r="AP495" s="154"/>
    </row>
    <row r="496">
      <c r="A496" s="154"/>
      <c r="B496" s="255">
        <v>45414.0</v>
      </c>
      <c r="C496" s="174">
        <v>19.5</v>
      </c>
      <c r="D496" s="256">
        <f t="shared" si="1"/>
        <v>0.04782375067</v>
      </c>
      <c r="E496" s="154"/>
      <c r="F496" s="255">
        <v>45414.0</v>
      </c>
      <c r="G496" s="246">
        <v>11.6</v>
      </c>
      <c r="H496" s="256">
        <f t="shared" si="2"/>
        <v>0.002592912705</v>
      </c>
      <c r="I496" s="154"/>
      <c r="J496" s="255">
        <v>45414.0</v>
      </c>
      <c r="K496" s="174">
        <v>14.08</v>
      </c>
      <c r="L496" s="256">
        <f t="shared" si="3"/>
        <v>0.002135231317</v>
      </c>
      <c r="M496" s="154"/>
      <c r="N496" s="255">
        <v>45414.0</v>
      </c>
      <c r="O496" s="174">
        <v>1925.0</v>
      </c>
      <c r="P496" s="256">
        <f t="shared" si="4"/>
        <v>0.0005197505198</v>
      </c>
      <c r="Q496" s="154"/>
      <c r="R496" s="255">
        <v>45414.0</v>
      </c>
      <c r="S496" s="174">
        <v>33.06</v>
      </c>
      <c r="T496" s="256">
        <f t="shared" si="5"/>
        <v>0.01224739743</v>
      </c>
      <c r="U496" s="154"/>
      <c r="V496" s="255">
        <v>45414.0</v>
      </c>
      <c r="W496" s="174">
        <v>1257.5</v>
      </c>
      <c r="X496" s="256">
        <f t="shared" si="6"/>
        <v>0.01341005432</v>
      </c>
      <c r="Y496" s="154"/>
      <c r="Z496" s="255">
        <v>45414.0</v>
      </c>
      <c r="AA496" s="174">
        <v>1420.05</v>
      </c>
      <c r="AB496" s="256">
        <f t="shared" si="7"/>
        <v>0.01432142857</v>
      </c>
      <c r="AC496" s="154"/>
      <c r="AD496" s="255">
        <v>45414.0</v>
      </c>
      <c r="AE496" s="174">
        <v>14.51</v>
      </c>
      <c r="AF496" s="256">
        <f t="shared" si="8"/>
        <v>0.0006896551724</v>
      </c>
      <c r="AG496" s="257"/>
      <c r="AH496" s="255">
        <v>45414.0</v>
      </c>
      <c r="AI496" s="174">
        <v>310.9</v>
      </c>
      <c r="AJ496" s="256">
        <f t="shared" si="9"/>
        <v>0.04136660526</v>
      </c>
      <c r="AK496" s="257"/>
      <c r="AL496" s="255">
        <v>45414.0</v>
      </c>
      <c r="AM496" s="174">
        <v>5064.2</v>
      </c>
      <c r="AN496" s="256">
        <f t="shared" si="10"/>
        <v>0.005661587588</v>
      </c>
      <c r="AO496" s="154"/>
      <c r="AP496" s="154"/>
    </row>
    <row r="497">
      <c r="A497" s="154"/>
      <c r="B497" s="255">
        <v>45412.0</v>
      </c>
      <c r="C497" s="246">
        <v>18.61</v>
      </c>
      <c r="D497" s="256">
        <f t="shared" si="1"/>
        <v>-0.01534391534</v>
      </c>
      <c r="E497" s="154"/>
      <c r="F497" s="255">
        <v>45412.0</v>
      </c>
      <c r="G497" s="246">
        <v>11.57</v>
      </c>
      <c r="H497" s="256">
        <f t="shared" si="2"/>
        <v>-0.01782682513</v>
      </c>
      <c r="I497" s="154"/>
      <c r="J497" s="255">
        <v>45412.0</v>
      </c>
      <c r="K497" s="246">
        <v>14.05</v>
      </c>
      <c r="L497" s="256">
        <f t="shared" si="3"/>
        <v>-0.003546099291</v>
      </c>
      <c r="M497" s="154"/>
      <c r="N497" s="255">
        <v>45412.0</v>
      </c>
      <c r="O497" s="174">
        <v>1924.0</v>
      </c>
      <c r="P497" s="256">
        <f t="shared" si="4"/>
        <v>-0.00310880829</v>
      </c>
      <c r="Q497" s="154"/>
      <c r="R497" s="255">
        <v>45412.0</v>
      </c>
      <c r="S497" s="174">
        <v>32.66</v>
      </c>
      <c r="T497" s="256">
        <f t="shared" si="5"/>
        <v>-0.004571776897</v>
      </c>
      <c r="U497" s="154"/>
      <c r="V497" s="255">
        <v>45412.0</v>
      </c>
      <c r="W497" s="174">
        <v>1240.86</v>
      </c>
      <c r="X497" s="256">
        <f t="shared" si="6"/>
        <v>-0.0147369424</v>
      </c>
      <c r="Y497" s="154"/>
      <c r="Z497" s="255">
        <v>45412.0</v>
      </c>
      <c r="AA497" s="174">
        <v>1400.0</v>
      </c>
      <c r="AB497" s="256">
        <f t="shared" si="7"/>
        <v>-0.005681818182</v>
      </c>
      <c r="AC497" s="154"/>
      <c r="AD497" s="255">
        <v>45412.0</v>
      </c>
      <c r="AE497" s="174">
        <v>14.5</v>
      </c>
      <c r="AF497" s="256">
        <f t="shared" si="8"/>
        <v>0.01969057665</v>
      </c>
      <c r="AG497" s="257"/>
      <c r="AH497" s="255">
        <v>45412.0</v>
      </c>
      <c r="AI497" s="174">
        <v>298.55</v>
      </c>
      <c r="AJ497" s="256">
        <f t="shared" si="9"/>
        <v>-0.02482443247</v>
      </c>
      <c r="AK497" s="257"/>
      <c r="AL497" s="255">
        <v>45412.0</v>
      </c>
      <c r="AM497" s="174">
        <v>5035.69</v>
      </c>
      <c r="AN497" s="256">
        <f t="shared" si="10"/>
        <v>-0.01573051716</v>
      </c>
      <c r="AO497" s="154"/>
      <c r="AP497" s="154"/>
    </row>
    <row r="498">
      <c r="A498" s="154"/>
      <c r="B498" s="255">
        <v>45411.0</v>
      </c>
      <c r="C498" s="246">
        <v>18.9</v>
      </c>
      <c r="D498" s="256">
        <f t="shared" si="1"/>
        <v>0.01886792453</v>
      </c>
      <c r="E498" s="154"/>
      <c r="F498" s="255">
        <v>45411.0</v>
      </c>
      <c r="G498" s="246">
        <v>11.78</v>
      </c>
      <c r="H498" s="256">
        <f t="shared" si="2"/>
        <v>0.01815038894</v>
      </c>
      <c r="I498" s="154"/>
      <c r="J498" s="255">
        <v>45411.0</v>
      </c>
      <c r="K498" s="246">
        <v>14.1</v>
      </c>
      <c r="L498" s="256">
        <f t="shared" si="3"/>
        <v>0.02099927589</v>
      </c>
      <c r="M498" s="154"/>
      <c r="N498" s="255">
        <v>45411.0</v>
      </c>
      <c r="O498" s="174">
        <v>1930.0</v>
      </c>
      <c r="P498" s="256">
        <f t="shared" si="4"/>
        <v>0.008886565604</v>
      </c>
      <c r="Q498" s="154"/>
      <c r="R498" s="255">
        <v>45411.0</v>
      </c>
      <c r="S498" s="174">
        <v>32.81</v>
      </c>
      <c r="T498" s="256">
        <f t="shared" si="5"/>
        <v>0.02723857232</v>
      </c>
      <c r="U498" s="154"/>
      <c r="V498" s="255">
        <v>45411.0</v>
      </c>
      <c r="W498" s="174">
        <v>1259.42</v>
      </c>
      <c r="X498" s="256">
        <f t="shared" si="6"/>
        <v>0.007197581613</v>
      </c>
      <c r="Y498" s="154"/>
      <c r="Z498" s="255">
        <v>45411.0</v>
      </c>
      <c r="AA498" s="174">
        <v>1408.0</v>
      </c>
      <c r="AB498" s="256">
        <f t="shared" si="7"/>
        <v>-0.0008160948089</v>
      </c>
      <c r="AC498" s="154"/>
      <c r="AD498" s="255">
        <v>45411.0</v>
      </c>
      <c r="AE498" s="174">
        <v>14.22</v>
      </c>
      <c r="AF498" s="256">
        <f t="shared" si="8"/>
        <v>0.004946996466</v>
      </c>
      <c r="AG498" s="257"/>
      <c r="AH498" s="255">
        <v>45411.0</v>
      </c>
      <c r="AI498" s="174">
        <v>306.15</v>
      </c>
      <c r="AJ498" s="256">
        <f t="shared" si="9"/>
        <v>-0.000815926893</v>
      </c>
      <c r="AK498" s="257"/>
      <c r="AL498" s="255">
        <v>45411.0</v>
      </c>
      <c r="AM498" s="174">
        <v>5116.17</v>
      </c>
      <c r="AN498" s="256">
        <f t="shared" si="10"/>
        <v>0.003178456302</v>
      </c>
      <c r="AO498" s="154"/>
      <c r="AP498" s="154"/>
    </row>
    <row r="499">
      <c r="A499" s="154"/>
      <c r="B499" s="255">
        <v>45408.0</v>
      </c>
      <c r="C499" s="246">
        <v>18.55</v>
      </c>
      <c r="D499" s="256">
        <f t="shared" si="1"/>
        <v>0.007057546145</v>
      </c>
      <c r="E499" s="154"/>
      <c r="F499" s="255">
        <v>45408.0</v>
      </c>
      <c r="G499" s="246">
        <v>11.57</v>
      </c>
      <c r="H499" s="256">
        <f t="shared" si="2"/>
        <v>0.008718395815</v>
      </c>
      <c r="I499" s="154"/>
      <c r="J499" s="255">
        <v>45408.0</v>
      </c>
      <c r="K499" s="246">
        <v>13.81</v>
      </c>
      <c r="L499" s="256">
        <f t="shared" si="3"/>
        <v>0.04226415094</v>
      </c>
      <c r="M499" s="154"/>
      <c r="N499" s="255">
        <v>45408.0</v>
      </c>
      <c r="O499" s="174">
        <v>1913.0</v>
      </c>
      <c r="P499" s="256">
        <f t="shared" si="4"/>
        <v>0.03182308522</v>
      </c>
      <c r="Q499" s="154"/>
      <c r="R499" s="255">
        <v>45408.0</v>
      </c>
      <c r="S499" s="174">
        <v>31.94</v>
      </c>
      <c r="T499" s="256">
        <f t="shared" si="5"/>
        <v>0.02142628718</v>
      </c>
      <c r="U499" s="154"/>
      <c r="V499" s="255">
        <v>45408.0</v>
      </c>
      <c r="W499" s="174">
        <v>1250.42</v>
      </c>
      <c r="X499" s="256">
        <f t="shared" si="6"/>
        <v>0.00536281407</v>
      </c>
      <c r="Y499" s="154"/>
      <c r="Z499" s="255">
        <v>45408.0</v>
      </c>
      <c r="AA499" s="174">
        <v>1409.15</v>
      </c>
      <c r="AB499" s="256">
        <f t="shared" si="7"/>
        <v>0.002097852368</v>
      </c>
      <c r="AC499" s="154"/>
      <c r="AD499" s="255">
        <v>45408.0</v>
      </c>
      <c r="AE499" s="174">
        <v>14.15</v>
      </c>
      <c r="AF499" s="256">
        <f t="shared" si="8"/>
        <v>0.03663003663</v>
      </c>
      <c r="AG499" s="257"/>
      <c r="AH499" s="255">
        <v>45408.0</v>
      </c>
      <c r="AI499" s="174">
        <v>306.4</v>
      </c>
      <c r="AJ499" s="256">
        <f t="shared" si="9"/>
        <v>0.05057431853</v>
      </c>
      <c r="AK499" s="257"/>
      <c r="AL499" s="255">
        <v>45408.0</v>
      </c>
      <c r="AM499" s="174">
        <v>5099.96</v>
      </c>
      <c r="AN499" s="256">
        <f t="shared" si="10"/>
        <v>0.01020913474</v>
      </c>
      <c r="AO499" s="154"/>
      <c r="AP499" s="154"/>
    </row>
    <row r="500">
      <c r="A500" s="154"/>
      <c r="B500" s="255">
        <v>45407.0</v>
      </c>
      <c r="C500" s="246">
        <v>18.42</v>
      </c>
      <c r="D500" s="256">
        <f t="shared" si="1"/>
        <v>-0.01549973276</v>
      </c>
      <c r="E500" s="154"/>
      <c r="F500" s="255">
        <v>45407.0</v>
      </c>
      <c r="G500" s="246">
        <v>11.47</v>
      </c>
      <c r="H500" s="256">
        <f t="shared" si="2"/>
        <v>-0.006926406926</v>
      </c>
      <c r="I500" s="154"/>
      <c r="J500" s="255">
        <v>45407.0</v>
      </c>
      <c r="K500" s="246">
        <v>13.25</v>
      </c>
      <c r="L500" s="256">
        <f t="shared" si="3"/>
        <v>0.01844734819</v>
      </c>
      <c r="M500" s="154"/>
      <c r="N500" s="255">
        <v>45407.0</v>
      </c>
      <c r="O500" s="174">
        <v>1854.0</v>
      </c>
      <c r="P500" s="256">
        <f t="shared" si="4"/>
        <v>0.02261445119</v>
      </c>
      <c r="Q500" s="154"/>
      <c r="R500" s="255">
        <v>45407.0</v>
      </c>
      <c r="S500" s="174">
        <v>31.27</v>
      </c>
      <c r="T500" s="256">
        <f t="shared" si="5"/>
        <v>0.001280819725</v>
      </c>
      <c r="U500" s="154"/>
      <c r="V500" s="255">
        <v>45407.0</v>
      </c>
      <c r="W500" s="174">
        <v>1243.75</v>
      </c>
      <c r="X500" s="256">
        <f t="shared" si="6"/>
        <v>0.04502755932</v>
      </c>
      <c r="Y500" s="154"/>
      <c r="Z500" s="255">
        <v>45407.0</v>
      </c>
      <c r="AA500" s="174">
        <v>1406.2</v>
      </c>
      <c r="AB500" s="256">
        <f t="shared" si="7"/>
        <v>0.005721642111</v>
      </c>
      <c r="AC500" s="154"/>
      <c r="AD500" s="255">
        <v>45407.0</v>
      </c>
      <c r="AE500" s="174">
        <v>13.65</v>
      </c>
      <c r="AF500" s="256">
        <f t="shared" si="8"/>
        <v>0.008124076809</v>
      </c>
      <c r="AG500" s="257"/>
      <c r="AH500" s="255">
        <v>45407.0</v>
      </c>
      <c r="AI500" s="174">
        <v>291.65</v>
      </c>
      <c r="AJ500" s="256">
        <f t="shared" si="9"/>
        <v>0.007078729282</v>
      </c>
      <c r="AK500" s="257"/>
      <c r="AL500" s="255">
        <v>45407.0</v>
      </c>
      <c r="AM500" s="174">
        <v>5048.42</v>
      </c>
      <c r="AN500" s="256">
        <f t="shared" si="10"/>
        <v>-0.00457643795</v>
      </c>
      <c r="AO500" s="154"/>
      <c r="AP500" s="154"/>
    </row>
    <row r="501">
      <c r="A501" s="154"/>
      <c r="B501" s="255">
        <v>45406.0</v>
      </c>
      <c r="C501" s="246">
        <v>18.71</v>
      </c>
      <c r="D501" s="256"/>
      <c r="E501" s="154"/>
      <c r="F501" s="255">
        <v>45406.0</v>
      </c>
      <c r="G501" s="246">
        <v>11.55</v>
      </c>
      <c r="H501" s="256"/>
      <c r="I501" s="154"/>
      <c r="J501" s="255">
        <v>45406.0</v>
      </c>
      <c r="K501" s="246">
        <v>13.01</v>
      </c>
      <c r="L501" s="265"/>
      <c r="M501" s="154"/>
      <c r="N501" s="255">
        <v>45406.0</v>
      </c>
      <c r="O501" s="174">
        <v>1813.0</v>
      </c>
      <c r="P501" s="256"/>
      <c r="Q501" s="154"/>
      <c r="R501" s="255">
        <v>45406.0</v>
      </c>
      <c r="S501" s="174">
        <v>31.23</v>
      </c>
      <c r="T501" s="256"/>
      <c r="U501" s="154"/>
      <c r="V501" s="255">
        <v>45406.0</v>
      </c>
      <c r="W501" s="174">
        <v>1190.16</v>
      </c>
      <c r="X501" s="256"/>
      <c r="Y501" s="154"/>
      <c r="Z501" s="255">
        <v>45406.0</v>
      </c>
      <c r="AA501" s="174">
        <v>1398.2</v>
      </c>
      <c r="AB501" s="256"/>
      <c r="AC501" s="154"/>
      <c r="AD501" s="255">
        <v>45406.0</v>
      </c>
      <c r="AE501" s="174">
        <v>13.54</v>
      </c>
      <c r="AF501" s="266"/>
      <c r="AG501" s="257"/>
      <c r="AH501" s="255">
        <v>45406.0</v>
      </c>
      <c r="AI501" s="174">
        <v>289.6</v>
      </c>
      <c r="AJ501" s="256"/>
      <c r="AK501" s="257"/>
      <c r="AL501" s="255">
        <v>45406.0</v>
      </c>
      <c r="AM501" s="174">
        <v>5071.63</v>
      </c>
      <c r="AN501" s="267"/>
      <c r="AO501" s="154"/>
      <c r="AP501" s="154"/>
    </row>
    <row r="502">
      <c r="A502" s="154"/>
      <c r="B502" s="154"/>
      <c r="C502" s="242"/>
      <c r="D502" s="154"/>
      <c r="E502" s="154"/>
      <c r="F502" s="154"/>
      <c r="G502" s="242"/>
      <c r="H502" s="154"/>
      <c r="I502" s="154"/>
      <c r="J502" s="154"/>
      <c r="K502" s="242"/>
      <c r="L502" s="154"/>
      <c r="M502" s="154"/>
      <c r="N502" s="154"/>
      <c r="O502" s="242"/>
      <c r="P502" s="154"/>
      <c r="Q502" s="154"/>
      <c r="R502" s="154"/>
      <c r="S502" s="243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  <c r="AF502" s="154"/>
      <c r="AG502" s="244"/>
      <c r="AH502" s="154"/>
      <c r="AI502" s="154"/>
      <c r="AJ502" s="154"/>
      <c r="AK502" s="244"/>
      <c r="AL502" s="154"/>
      <c r="AM502" s="242"/>
      <c r="AN502" s="154"/>
      <c r="AO502" s="154"/>
      <c r="AP502" s="154"/>
    </row>
    <row r="503">
      <c r="A503" s="154"/>
      <c r="B503" s="154"/>
      <c r="C503" s="242"/>
      <c r="D503" s="154"/>
      <c r="E503" s="154"/>
      <c r="F503" s="154"/>
      <c r="G503" s="242"/>
      <c r="H503" s="154"/>
      <c r="I503" s="154"/>
      <c r="J503" s="154"/>
      <c r="K503" s="242"/>
      <c r="L503" s="154"/>
      <c r="M503" s="154"/>
      <c r="N503" s="154"/>
      <c r="O503" s="242"/>
      <c r="P503" s="154"/>
      <c r="Q503" s="154"/>
      <c r="R503" s="154"/>
      <c r="S503" s="243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  <c r="AF503" s="154"/>
      <c r="AG503" s="244"/>
      <c r="AH503" s="154"/>
      <c r="AI503" s="154"/>
      <c r="AJ503" s="154"/>
      <c r="AK503" s="244"/>
      <c r="AL503" s="154"/>
      <c r="AM503" s="242"/>
      <c r="AN503" s="154"/>
      <c r="AO503" s="154"/>
      <c r="AP503" s="154"/>
    </row>
    <row r="504">
      <c r="A504" s="154"/>
      <c r="B504" s="154"/>
      <c r="C504" s="242"/>
      <c r="D504" s="154"/>
      <c r="E504" s="154"/>
      <c r="F504" s="154"/>
      <c r="G504" s="242"/>
      <c r="H504" s="154"/>
      <c r="I504" s="154"/>
      <c r="J504" s="154"/>
      <c r="K504" s="242"/>
      <c r="L504" s="154"/>
      <c r="M504" s="154"/>
      <c r="N504" s="154"/>
      <c r="O504" s="242"/>
      <c r="P504" s="154"/>
      <c r="Q504" s="154"/>
      <c r="R504" s="154"/>
      <c r="S504" s="243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  <c r="AF504" s="154"/>
      <c r="AG504" s="244"/>
      <c r="AH504" s="154"/>
      <c r="AI504" s="154"/>
      <c r="AJ504" s="154"/>
      <c r="AK504" s="244"/>
      <c r="AL504" s="154"/>
      <c r="AM504" s="242"/>
      <c r="AN504" s="154"/>
      <c r="AO504" s="154"/>
      <c r="AP504" s="154"/>
    </row>
    <row r="505">
      <c r="A505" s="154"/>
      <c r="B505" s="154"/>
      <c r="C505" s="242"/>
      <c r="D505" s="154"/>
      <c r="E505" s="154"/>
      <c r="F505" s="154"/>
      <c r="G505" s="242"/>
      <c r="H505" s="154"/>
      <c r="I505" s="154"/>
      <c r="J505" s="154"/>
      <c r="K505" s="242"/>
      <c r="L505" s="154"/>
      <c r="M505" s="154"/>
      <c r="N505" s="154"/>
      <c r="O505" s="242"/>
      <c r="P505" s="154"/>
      <c r="Q505" s="154"/>
      <c r="R505" s="154"/>
      <c r="S505" s="243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  <c r="AF505" s="154"/>
      <c r="AG505" s="244"/>
      <c r="AH505" s="154"/>
      <c r="AI505" s="154"/>
      <c r="AJ505" s="154"/>
      <c r="AK505" s="244"/>
      <c r="AL505" s="154"/>
      <c r="AM505" s="242"/>
      <c r="AN505" s="154"/>
      <c r="AO505" s="154"/>
      <c r="AP505" s="154"/>
    </row>
    <row r="506">
      <c r="A506" s="154"/>
      <c r="B506" s="154"/>
      <c r="C506" s="242"/>
      <c r="D506" s="154"/>
      <c r="E506" s="154"/>
      <c r="F506" s="154"/>
      <c r="G506" s="242"/>
      <c r="H506" s="154"/>
      <c r="I506" s="154"/>
      <c r="J506" s="154"/>
      <c r="K506" s="242"/>
      <c r="L506" s="154"/>
      <c r="M506" s="154"/>
      <c r="N506" s="154"/>
      <c r="O506" s="242"/>
      <c r="P506" s="154"/>
      <c r="Q506" s="154"/>
      <c r="R506" s="154"/>
      <c r="S506" s="243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  <c r="AF506" s="154"/>
      <c r="AG506" s="244"/>
      <c r="AH506" s="154"/>
      <c r="AI506" s="154"/>
      <c r="AJ506" s="154"/>
      <c r="AK506" s="244"/>
      <c r="AL506" s="154"/>
      <c r="AM506" s="242"/>
      <c r="AN506" s="154"/>
      <c r="AO506" s="154"/>
      <c r="AP506" s="154"/>
    </row>
    <row r="507">
      <c r="A507" s="154"/>
      <c r="B507" s="154"/>
      <c r="C507" s="242"/>
      <c r="D507" s="154"/>
      <c r="E507" s="154"/>
      <c r="F507" s="154"/>
      <c r="G507" s="242"/>
      <c r="H507" s="154"/>
      <c r="I507" s="154"/>
      <c r="J507" s="154"/>
      <c r="K507" s="242"/>
      <c r="L507" s="154"/>
      <c r="M507" s="154"/>
      <c r="N507" s="154"/>
      <c r="O507" s="242"/>
      <c r="P507" s="154"/>
      <c r="Q507" s="154"/>
      <c r="R507" s="154"/>
      <c r="S507" s="243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  <c r="AF507" s="154"/>
      <c r="AG507" s="244"/>
      <c r="AH507" s="154"/>
      <c r="AI507" s="154"/>
      <c r="AJ507" s="154"/>
      <c r="AK507" s="244"/>
      <c r="AL507" s="154"/>
      <c r="AM507" s="242"/>
      <c r="AN507" s="154"/>
      <c r="AO507" s="154"/>
      <c r="AP507" s="154"/>
    </row>
    <row r="508">
      <c r="A508" s="154"/>
      <c r="B508" s="154"/>
      <c r="C508" s="242"/>
      <c r="D508" s="154"/>
      <c r="E508" s="154"/>
      <c r="F508" s="154"/>
      <c r="G508" s="242"/>
      <c r="H508" s="154"/>
      <c r="I508" s="154"/>
      <c r="J508" s="154"/>
      <c r="K508" s="242"/>
      <c r="L508" s="154"/>
      <c r="M508" s="154"/>
      <c r="N508" s="154"/>
      <c r="O508" s="242"/>
      <c r="P508" s="154"/>
      <c r="Q508" s="154"/>
      <c r="R508" s="154"/>
      <c r="S508" s="243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  <c r="AF508" s="154"/>
      <c r="AG508" s="244"/>
      <c r="AH508" s="154"/>
      <c r="AI508" s="154"/>
      <c r="AJ508" s="154"/>
      <c r="AK508" s="244"/>
      <c r="AL508" s="154"/>
      <c r="AM508" s="242"/>
      <c r="AN508" s="154"/>
      <c r="AO508" s="154"/>
      <c r="AP508" s="154"/>
    </row>
    <row r="509">
      <c r="A509" s="154"/>
      <c r="B509" s="154"/>
      <c r="C509" s="242"/>
      <c r="D509" s="154"/>
      <c r="E509" s="154"/>
      <c r="F509" s="154"/>
      <c r="G509" s="242"/>
      <c r="H509" s="154"/>
      <c r="I509" s="154"/>
      <c r="J509" s="154"/>
      <c r="K509" s="242"/>
      <c r="L509" s="154"/>
      <c r="M509" s="154"/>
      <c r="N509" s="154"/>
      <c r="O509" s="242"/>
      <c r="P509" s="154"/>
      <c r="Q509" s="154"/>
      <c r="R509" s="154"/>
      <c r="S509" s="243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  <c r="AF509" s="154"/>
      <c r="AG509" s="244"/>
      <c r="AH509" s="154"/>
      <c r="AI509" s="154"/>
      <c r="AJ509" s="154"/>
      <c r="AK509" s="244"/>
      <c r="AL509" s="154"/>
      <c r="AM509" s="242"/>
      <c r="AN509" s="154"/>
      <c r="AO509" s="154"/>
      <c r="AP509" s="154"/>
    </row>
    <row r="510">
      <c r="A510" s="154"/>
      <c r="B510" s="154"/>
      <c r="C510" s="242"/>
      <c r="D510" s="154"/>
      <c r="E510" s="154"/>
      <c r="F510" s="154"/>
      <c r="G510" s="242"/>
      <c r="H510" s="154"/>
      <c r="I510" s="154"/>
      <c r="J510" s="154"/>
      <c r="K510" s="242"/>
      <c r="L510" s="154"/>
      <c r="M510" s="154"/>
      <c r="N510" s="154"/>
      <c r="O510" s="242"/>
      <c r="P510" s="154"/>
      <c r="Q510" s="154"/>
      <c r="R510" s="154"/>
      <c r="S510" s="243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  <c r="AF510" s="154"/>
      <c r="AG510" s="244"/>
      <c r="AH510" s="154"/>
      <c r="AI510" s="154"/>
      <c r="AJ510" s="154"/>
      <c r="AK510" s="244"/>
      <c r="AL510" s="154"/>
      <c r="AM510" s="242"/>
      <c r="AN510" s="154"/>
      <c r="AO510" s="154"/>
      <c r="AP510" s="154"/>
    </row>
    <row r="511">
      <c r="A511" s="154"/>
      <c r="B511" s="154"/>
      <c r="C511" s="242"/>
      <c r="D511" s="154"/>
      <c r="E511" s="154"/>
      <c r="F511" s="154"/>
      <c r="G511" s="242"/>
      <c r="H511" s="154"/>
      <c r="I511" s="154"/>
      <c r="J511" s="154"/>
      <c r="K511" s="242"/>
      <c r="L511" s="154"/>
      <c r="M511" s="154"/>
      <c r="N511" s="154"/>
      <c r="O511" s="242"/>
      <c r="P511" s="154"/>
      <c r="Q511" s="154"/>
      <c r="R511" s="154"/>
      <c r="S511" s="243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  <c r="AF511" s="154"/>
      <c r="AG511" s="244"/>
      <c r="AH511" s="154"/>
      <c r="AI511" s="154"/>
      <c r="AJ511" s="154"/>
      <c r="AK511" s="244"/>
      <c r="AL511" s="154"/>
      <c r="AM511" s="242"/>
      <c r="AN511" s="154"/>
      <c r="AO511" s="154"/>
      <c r="AP511" s="154"/>
    </row>
    <row r="512">
      <c r="A512" s="154"/>
      <c r="B512" s="154"/>
      <c r="C512" s="242"/>
      <c r="D512" s="154"/>
      <c r="E512" s="154"/>
      <c r="F512" s="154"/>
      <c r="G512" s="242"/>
      <c r="H512" s="154"/>
      <c r="I512" s="154"/>
      <c r="J512" s="154"/>
      <c r="K512" s="242"/>
      <c r="L512" s="154"/>
      <c r="M512" s="154"/>
      <c r="N512" s="154"/>
      <c r="O512" s="242"/>
      <c r="P512" s="154"/>
      <c r="Q512" s="154"/>
      <c r="R512" s="154"/>
      <c r="S512" s="243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  <c r="AF512" s="154"/>
      <c r="AG512" s="244"/>
      <c r="AH512" s="154"/>
      <c r="AI512" s="154"/>
      <c r="AJ512" s="154"/>
      <c r="AK512" s="244"/>
      <c r="AL512" s="154"/>
      <c r="AM512" s="242"/>
      <c r="AN512" s="154"/>
      <c r="AO512" s="154"/>
      <c r="AP512" s="154"/>
    </row>
    <row r="513">
      <c r="A513" s="154"/>
      <c r="B513" s="154"/>
      <c r="C513" s="242"/>
      <c r="D513" s="154"/>
      <c r="E513" s="154"/>
      <c r="F513" s="154"/>
      <c r="G513" s="242"/>
      <c r="H513" s="154"/>
      <c r="I513" s="154"/>
      <c r="J513" s="154"/>
      <c r="K513" s="242"/>
      <c r="L513" s="154"/>
      <c r="M513" s="154"/>
      <c r="N513" s="154"/>
      <c r="O513" s="242"/>
      <c r="P513" s="154"/>
      <c r="Q513" s="154"/>
      <c r="R513" s="154"/>
      <c r="S513" s="243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  <c r="AF513" s="154"/>
      <c r="AG513" s="244"/>
      <c r="AH513" s="154"/>
      <c r="AI513" s="154"/>
      <c r="AJ513" s="154"/>
      <c r="AK513" s="244"/>
      <c r="AL513" s="154"/>
      <c r="AM513" s="242"/>
      <c r="AN513" s="154"/>
      <c r="AO513" s="154"/>
      <c r="AP513" s="154"/>
    </row>
    <row r="514">
      <c r="A514" s="154"/>
      <c r="B514" s="154"/>
      <c r="C514" s="242"/>
      <c r="D514" s="154"/>
      <c r="E514" s="154"/>
      <c r="F514" s="154"/>
      <c r="G514" s="242"/>
      <c r="H514" s="154"/>
      <c r="I514" s="154"/>
      <c r="J514" s="154"/>
      <c r="K514" s="242"/>
      <c r="L514" s="154"/>
      <c r="M514" s="154"/>
      <c r="N514" s="154"/>
      <c r="O514" s="242"/>
      <c r="P514" s="154"/>
      <c r="Q514" s="154"/>
      <c r="R514" s="154"/>
      <c r="S514" s="243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  <c r="AF514" s="154"/>
      <c r="AG514" s="244"/>
      <c r="AH514" s="154"/>
      <c r="AI514" s="154"/>
      <c r="AJ514" s="154"/>
      <c r="AK514" s="244"/>
      <c r="AL514" s="154"/>
      <c r="AM514" s="242"/>
      <c r="AN514" s="154"/>
      <c r="AO514" s="154"/>
      <c r="AP514" s="154"/>
    </row>
    <row r="515">
      <c r="A515" s="154"/>
      <c r="B515" s="154"/>
      <c r="C515" s="242"/>
      <c r="D515" s="154"/>
      <c r="E515" s="154"/>
      <c r="F515" s="154"/>
      <c r="G515" s="242"/>
      <c r="H515" s="154"/>
      <c r="I515" s="154"/>
      <c r="J515" s="154"/>
      <c r="K515" s="242"/>
      <c r="L515" s="154"/>
      <c r="M515" s="154"/>
      <c r="N515" s="154"/>
      <c r="O515" s="242"/>
      <c r="P515" s="154"/>
      <c r="Q515" s="154"/>
      <c r="R515" s="154"/>
      <c r="S515" s="243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  <c r="AF515" s="154"/>
      <c r="AG515" s="244"/>
      <c r="AH515" s="154"/>
      <c r="AI515" s="154"/>
      <c r="AJ515" s="154"/>
      <c r="AK515" s="244"/>
      <c r="AL515" s="154"/>
      <c r="AM515" s="242"/>
      <c r="AN515" s="154"/>
      <c r="AO515" s="154"/>
      <c r="AP515" s="154"/>
    </row>
    <row r="516">
      <c r="A516" s="154"/>
      <c r="B516" s="154"/>
      <c r="C516" s="242"/>
      <c r="D516" s="154"/>
      <c r="E516" s="154"/>
      <c r="F516" s="154"/>
      <c r="G516" s="242"/>
      <c r="H516" s="154"/>
      <c r="I516" s="154"/>
      <c r="J516" s="154"/>
      <c r="K516" s="242"/>
      <c r="L516" s="154"/>
      <c r="M516" s="154"/>
      <c r="N516" s="154"/>
      <c r="O516" s="242"/>
      <c r="P516" s="154"/>
      <c r="Q516" s="154"/>
      <c r="R516" s="154"/>
      <c r="S516" s="243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  <c r="AF516" s="154"/>
      <c r="AG516" s="244"/>
      <c r="AH516" s="154"/>
      <c r="AI516" s="154"/>
      <c r="AJ516" s="154"/>
      <c r="AK516" s="244"/>
      <c r="AL516" s="154"/>
      <c r="AM516" s="242"/>
      <c r="AN516" s="154"/>
      <c r="AO516" s="154"/>
      <c r="AP516" s="154"/>
    </row>
    <row r="517">
      <c r="A517" s="154"/>
      <c r="B517" s="154"/>
      <c r="C517" s="242"/>
      <c r="D517" s="154"/>
      <c r="E517" s="154"/>
      <c r="F517" s="154"/>
      <c r="G517" s="242"/>
      <c r="H517" s="154"/>
      <c r="I517" s="154"/>
      <c r="J517" s="154"/>
      <c r="K517" s="242"/>
      <c r="L517" s="154"/>
      <c r="M517" s="154"/>
      <c r="N517" s="154"/>
      <c r="O517" s="242"/>
      <c r="P517" s="154"/>
      <c r="Q517" s="154"/>
      <c r="R517" s="154"/>
      <c r="S517" s="243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  <c r="AF517" s="154"/>
      <c r="AG517" s="244"/>
      <c r="AH517" s="154"/>
      <c r="AI517" s="154"/>
      <c r="AJ517" s="154"/>
      <c r="AK517" s="244"/>
      <c r="AL517" s="154"/>
      <c r="AM517" s="242"/>
      <c r="AN517" s="154"/>
      <c r="AO517" s="154"/>
      <c r="AP517" s="154"/>
    </row>
    <row r="518">
      <c r="A518" s="154"/>
      <c r="B518" s="154"/>
      <c r="C518" s="242"/>
      <c r="D518" s="154"/>
      <c r="E518" s="154"/>
      <c r="F518" s="154"/>
      <c r="G518" s="242"/>
      <c r="H518" s="154"/>
      <c r="I518" s="154"/>
      <c r="J518" s="154"/>
      <c r="K518" s="242"/>
      <c r="L518" s="154"/>
      <c r="M518" s="154"/>
      <c r="N518" s="154"/>
      <c r="O518" s="242"/>
      <c r="P518" s="154"/>
      <c r="Q518" s="154"/>
      <c r="R518" s="154"/>
      <c r="S518" s="243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  <c r="AF518" s="154"/>
      <c r="AG518" s="244"/>
      <c r="AH518" s="154"/>
      <c r="AI518" s="154"/>
      <c r="AJ518" s="154"/>
      <c r="AK518" s="244"/>
      <c r="AL518" s="154"/>
      <c r="AM518" s="242"/>
      <c r="AN518" s="154"/>
      <c r="AO518" s="154"/>
      <c r="AP518" s="154"/>
    </row>
    <row r="519">
      <c r="A519" s="154"/>
      <c r="B519" s="154"/>
      <c r="C519" s="242"/>
      <c r="D519" s="154"/>
      <c r="E519" s="154"/>
      <c r="F519" s="154"/>
      <c r="G519" s="242"/>
      <c r="H519" s="154"/>
      <c r="I519" s="154"/>
      <c r="J519" s="154"/>
      <c r="K519" s="242"/>
      <c r="L519" s="154"/>
      <c r="M519" s="154"/>
      <c r="N519" s="154"/>
      <c r="O519" s="242"/>
      <c r="P519" s="154"/>
      <c r="Q519" s="154"/>
      <c r="R519" s="154"/>
      <c r="S519" s="243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  <c r="AF519" s="154"/>
      <c r="AG519" s="244"/>
      <c r="AH519" s="154"/>
      <c r="AI519" s="154"/>
      <c r="AJ519" s="154"/>
      <c r="AK519" s="244"/>
      <c r="AL519" s="154"/>
      <c r="AM519" s="242"/>
      <c r="AN519" s="154"/>
      <c r="AO519" s="154"/>
      <c r="AP519" s="154"/>
    </row>
    <row r="520">
      <c r="A520" s="154"/>
      <c r="B520" s="154"/>
      <c r="C520" s="242"/>
      <c r="D520" s="154"/>
      <c r="E520" s="154"/>
      <c r="F520" s="154"/>
      <c r="G520" s="242"/>
      <c r="H520" s="154"/>
      <c r="I520" s="154"/>
      <c r="J520" s="154"/>
      <c r="K520" s="242"/>
      <c r="L520" s="154"/>
      <c r="M520" s="154"/>
      <c r="N520" s="154"/>
      <c r="O520" s="242"/>
      <c r="P520" s="154"/>
      <c r="Q520" s="154"/>
      <c r="R520" s="154"/>
      <c r="S520" s="243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  <c r="AF520" s="154"/>
      <c r="AG520" s="244"/>
      <c r="AH520" s="154"/>
      <c r="AI520" s="154"/>
      <c r="AJ520" s="154"/>
      <c r="AK520" s="244"/>
      <c r="AL520" s="154"/>
      <c r="AM520" s="242"/>
      <c r="AN520" s="154"/>
      <c r="AO520" s="154"/>
      <c r="AP520" s="154"/>
    </row>
    <row r="521">
      <c r="A521" s="154"/>
      <c r="B521" s="154"/>
      <c r="C521" s="242"/>
      <c r="D521" s="154"/>
      <c r="E521" s="154"/>
      <c r="F521" s="154"/>
      <c r="G521" s="242"/>
      <c r="H521" s="154"/>
      <c r="I521" s="154"/>
      <c r="J521" s="154"/>
      <c r="K521" s="242"/>
      <c r="L521" s="154"/>
      <c r="M521" s="154"/>
      <c r="N521" s="154"/>
      <c r="O521" s="242"/>
      <c r="P521" s="154"/>
      <c r="Q521" s="154"/>
      <c r="R521" s="154"/>
      <c r="S521" s="243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  <c r="AF521" s="154"/>
      <c r="AG521" s="244"/>
      <c r="AH521" s="154"/>
      <c r="AI521" s="154"/>
      <c r="AJ521" s="154"/>
      <c r="AK521" s="244"/>
      <c r="AL521" s="154"/>
      <c r="AM521" s="242"/>
      <c r="AN521" s="154"/>
      <c r="AO521" s="154"/>
      <c r="AP521" s="154"/>
    </row>
    <row r="522">
      <c r="A522" s="154"/>
      <c r="B522" s="154"/>
      <c r="C522" s="242"/>
      <c r="D522" s="154"/>
      <c r="E522" s="154"/>
      <c r="F522" s="154"/>
      <c r="G522" s="242"/>
      <c r="H522" s="154"/>
      <c r="I522" s="154"/>
      <c r="J522" s="154"/>
      <c r="K522" s="242"/>
      <c r="L522" s="154"/>
      <c r="M522" s="154"/>
      <c r="N522" s="154"/>
      <c r="O522" s="242"/>
      <c r="P522" s="154"/>
      <c r="Q522" s="154"/>
      <c r="R522" s="154"/>
      <c r="S522" s="243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  <c r="AF522" s="154"/>
      <c r="AG522" s="244"/>
      <c r="AH522" s="154"/>
      <c r="AI522" s="154"/>
      <c r="AJ522" s="154"/>
      <c r="AK522" s="244"/>
      <c r="AL522" s="154"/>
      <c r="AM522" s="242"/>
      <c r="AN522" s="154"/>
      <c r="AO522" s="154"/>
      <c r="AP522" s="154"/>
    </row>
    <row r="523">
      <c r="A523" s="154"/>
      <c r="B523" s="154"/>
      <c r="C523" s="242"/>
      <c r="D523" s="154"/>
      <c r="E523" s="154"/>
      <c r="F523" s="154"/>
      <c r="G523" s="242"/>
      <c r="H523" s="154"/>
      <c r="I523" s="154"/>
      <c r="J523" s="154"/>
      <c r="K523" s="242"/>
      <c r="L523" s="154"/>
      <c r="M523" s="154"/>
      <c r="N523" s="154"/>
      <c r="O523" s="242"/>
      <c r="P523" s="154"/>
      <c r="Q523" s="154"/>
      <c r="R523" s="154"/>
      <c r="S523" s="243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  <c r="AF523" s="154"/>
      <c r="AG523" s="244"/>
      <c r="AH523" s="154"/>
      <c r="AI523" s="154"/>
      <c r="AJ523" s="154"/>
      <c r="AK523" s="244"/>
      <c r="AL523" s="154"/>
      <c r="AM523" s="242"/>
      <c r="AN523" s="154"/>
      <c r="AO523" s="154"/>
      <c r="AP523" s="154"/>
    </row>
    <row r="524">
      <c r="A524" s="154"/>
      <c r="B524" s="154"/>
      <c r="C524" s="242"/>
      <c r="D524" s="154"/>
      <c r="E524" s="154"/>
      <c r="F524" s="154"/>
      <c r="G524" s="242"/>
      <c r="H524" s="154"/>
      <c r="I524" s="154"/>
      <c r="J524" s="154"/>
      <c r="K524" s="242"/>
      <c r="L524" s="154"/>
      <c r="M524" s="154"/>
      <c r="N524" s="154"/>
      <c r="O524" s="242"/>
      <c r="P524" s="154"/>
      <c r="Q524" s="154"/>
      <c r="R524" s="154"/>
      <c r="S524" s="243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  <c r="AF524" s="154"/>
      <c r="AG524" s="244"/>
      <c r="AH524" s="154"/>
      <c r="AI524" s="154"/>
      <c r="AJ524" s="154"/>
      <c r="AK524" s="244"/>
      <c r="AL524" s="154"/>
      <c r="AM524" s="242"/>
      <c r="AN524" s="154"/>
      <c r="AO524" s="154"/>
      <c r="AP524" s="154"/>
    </row>
    <row r="525">
      <c r="A525" s="154"/>
      <c r="B525" s="154"/>
      <c r="C525" s="242"/>
      <c r="D525" s="154"/>
      <c r="E525" s="154"/>
      <c r="F525" s="154"/>
      <c r="G525" s="242"/>
      <c r="H525" s="154"/>
      <c r="I525" s="154"/>
      <c r="J525" s="154"/>
      <c r="K525" s="242"/>
      <c r="L525" s="154"/>
      <c r="M525" s="154"/>
      <c r="N525" s="154"/>
      <c r="O525" s="242"/>
      <c r="P525" s="154"/>
      <c r="Q525" s="154"/>
      <c r="R525" s="154"/>
      <c r="S525" s="243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  <c r="AF525" s="154"/>
      <c r="AG525" s="244"/>
      <c r="AH525" s="154"/>
      <c r="AI525" s="154"/>
      <c r="AJ525" s="154"/>
      <c r="AK525" s="244"/>
      <c r="AL525" s="154"/>
      <c r="AM525" s="242"/>
      <c r="AN525" s="154"/>
      <c r="AO525" s="154"/>
      <c r="AP525" s="154"/>
    </row>
    <row r="526">
      <c r="A526" s="154"/>
      <c r="B526" s="154"/>
      <c r="C526" s="242"/>
      <c r="D526" s="154"/>
      <c r="E526" s="154"/>
      <c r="F526" s="154"/>
      <c r="G526" s="242"/>
      <c r="H526" s="154"/>
      <c r="I526" s="154"/>
      <c r="J526" s="154"/>
      <c r="K526" s="242"/>
      <c r="L526" s="154"/>
      <c r="M526" s="154"/>
      <c r="N526" s="154"/>
      <c r="O526" s="242"/>
      <c r="P526" s="154"/>
      <c r="Q526" s="154"/>
      <c r="R526" s="154"/>
      <c r="S526" s="243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  <c r="AF526" s="154"/>
      <c r="AG526" s="244"/>
      <c r="AH526" s="154"/>
      <c r="AI526" s="154"/>
      <c r="AJ526" s="154"/>
      <c r="AK526" s="244"/>
      <c r="AL526" s="154"/>
      <c r="AM526" s="242"/>
      <c r="AN526" s="154"/>
      <c r="AO526" s="154"/>
      <c r="AP526" s="154"/>
    </row>
    <row r="527">
      <c r="A527" s="154"/>
      <c r="B527" s="154"/>
      <c r="C527" s="242"/>
      <c r="D527" s="154"/>
      <c r="E527" s="154"/>
      <c r="F527" s="154"/>
      <c r="G527" s="242"/>
      <c r="H527" s="154"/>
      <c r="I527" s="154"/>
      <c r="J527" s="154"/>
      <c r="K527" s="242"/>
      <c r="L527" s="154"/>
      <c r="M527" s="154"/>
      <c r="N527" s="154"/>
      <c r="O527" s="242"/>
      <c r="P527" s="154"/>
      <c r="Q527" s="154"/>
      <c r="R527" s="154"/>
      <c r="S527" s="243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  <c r="AF527" s="154"/>
      <c r="AG527" s="244"/>
      <c r="AH527" s="154"/>
      <c r="AI527" s="154"/>
      <c r="AJ527" s="154"/>
      <c r="AK527" s="244"/>
      <c r="AL527" s="154"/>
      <c r="AM527" s="242"/>
      <c r="AN527" s="154"/>
      <c r="AO527" s="154"/>
      <c r="AP527" s="154"/>
    </row>
    <row r="528">
      <c r="A528" s="154"/>
      <c r="B528" s="154"/>
      <c r="C528" s="242"/>
      <c r="D528" s="154"/>
      <c r="E528" s="154"/>
      <c r="F528" s="154"/>
      <c r="G528" s="242"/>
      <c r="H528" s="154"/>
      <c r="I528" s="154"/>
      <c r="J528" s="154"/>
      <c r="K528" s="242"/>
      <c r="L528" s="154"/>
      <c r="M528" s="154"/>
      <c r="N528" s="154"/>
      <c r="O528" s="242"/>
      <c r="P528" s="154"/>
      <c r="Q528" s="154"/>
      <c r="R528" s="154"/>
      <c r="S528" s="243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  <c r="AF528" s="154"/>
      <c r="AG528" s="244"/>
      <c r="AH528" s="154"/>
      <c r="AI528" s="154"/>
      <c r="AJ528" s="154"/>
      <c r="AK528" s="244"/>
      <c r="AL528" s="154"/>
      <c r="AM528" s="242"/>
      <c r="AN528" s="154"/>
      <c r="AO528" s="154"/>
      <c r="AP528" s="154"/>
    </row>
    <row r="529">
      <c r="A529" s="154"/>
      <c r="B529" s="154"/>
      <c r="C529" s="242"/>
      <c r="D529" s="154"/>
      <c r="E529" s="154"/>
      <c r="F529" s="154"/>
      <c r="G529" s="242"/>
      <c r="H529" s="154"/>
      <c r="I529" s="154"/>
      <c r="J529" s="154"/>
      <c r="K529" s="242"/>
      <c r="L529" s="154"/>
      <c r="M529" s="154"/>
      <c r="N529" s="154"/>
      <c r="O529" s="242"/>
      <c r="P529" s="154"/>
      <c r="Q529" s="154"/>
      <c r="R529" s="154"/>
      <c r="S529" s="243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  <c r="AF529" s="154"/>
      <c r="AG529" s="244"/>
      <c r="AH529" s="154"/>
      <c r="AI529" s="154"/>
      <c r="AJ529" s="154"/>
      <c r="AK529" s="244"/>
      <c r="AL529" s="154"/>
      <c r="AM529" s="242"/>
      <c r="AN529" s="154"/>
      <c r="AO529" s="154"/>
      <c r="AP529" s="154"/>
    </row>
    <row r="530">
      <c r="A530" s="154"/>
      <c r="B530" s="154"/>
      <c r="C530" s="242"/>
      <c r="D530" s="154"/>
      <c r="E530" s="154"/>
      <c r="F530" s="154"/>
      <c r="G530" s="242"/>
      <c r="H530" s="154"/>
      <c r="I530" s="154"/>
      <c r="J530" s="154"/>
      <c r="K530" s="242"/>
      <c r="L530" s="154"/>
      <c r="M530" s="154"/>
      <c r="N530" s="154"/>
      <c r="O530" s="242"/>
      <c r="P530" s="154"/>
      <c r="Q530" s="154"/>
      <c r="R530" s="154"/>
      <c r="S530" s="243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  <c r="AF530" s="154"/>
      <c r="AG530" s="244"/>
      <c r="AH530" s="154"/>
      <c r="AI530" s="154"/>
      <c r="AJ530" s="154"/>
      <c r="AK530" s="244"/>
      <c r="AL530" s="154"/>
      <c r="AM530" s="242"/>
      <c r="AN530" s="154"/>
      <c r="AO530" s="154"/>
      <c r="AP530" s="154"/>
    </row>
    <row r="531">
      <c r="A531" s="154"/>
      <c r="B531" s="154"/>
      <c r="C531" s="242"/>
      <c r="D531" s="154"/>
      <c r="E531" s="154"/>
      <c r="F531" s="154"/>
      <c r="G531" s="242"/>
      <c r="H531" s="154"/>
      <c r="I531" s="154"/>
      <c r="J531" s="154"/>
      <c r="K531" s="242"/>
      <c r="L531" s="154"/>
      <c r="M531" s="154"/>
      <c r="N531" s="154"/>
      <c r="O531" s="242"/>
      <c r="P531" s="154"/>
      <c r="Q531" s="154"/>
      <c r="R531" s="154"/>
      <c r="S531" s="243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  <c r="AF531" s="154"/>
      <c r="AG531" s="244"/>
      <c r="AH531" s="154"/>
      <c r="AI531" s="154"/>
      <c r="AJ531" s="154"/>
      <c r="AK531" s="244"/>
      <c r="AL531" s="154"/>
      <c r="AM531" s="242"/>
      <c r="AN531" s="154"/>
      <c r="AO531" s="154"/>
      <c r="AP531" s="154"/>
    </row>
    <row r="532">
      <c r="A532" s="154"/>
      <c r="B532" s="154"/>
      <c r="C532" s="242"/>
      <c r="D532" s="154"/>
      <c r="E532" s="154"/>
      <c r="F532" s="154"/>
      <c r="G532" s="242"/>
      <c r="H532" s="154"/>
      <c r="I532" s="154"/>
      <c r="J532" s="154"/>
      <c r="K532" s="242"/>
      <c r="L532" s="154"/>
      <c r="M532" s="154"/>
      <c r="N532" s="154"/>
      <c r="O532" s="242"/>
      <c r="P532" s="154"/>
      <c r="Q532" s="154"/>
      <c r="R532" s="154"/>
      <c r="S532" s="243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  <c r="AF532" s="154"/>
      <c r="AG532" s="244"/>
      <c r="AH532" s="154"/>
      <c r="AI532" s="154"/>
      <c r="AJ532" s="154"/>
      <c r="AK532" s="244"/>
      <c r="AL532" s="154"/>
      <c r="AM532" s="242"/>
      <c r="AN532" s="154"/>
      <c r="AO532" s="154"/>
      <c r="AP532" s="154"/>
    </row>
    <row r="533">
      <c r="A533" s="154"/>
      <c r="B533" s="154"/>
      <c r="C533" s="242"/>
      <c r="D533" s="154"/>
      <c r="E533" s="154"/>
      <c r="F533" s="154"/>
      <c r="G533" s="242"/>
      <c r="H533" s="154"/>
      <c r="I533" s="154"/>
      <c r="J533" s="154"/>
      <c r="K533" s="242"/>
      <c r="L533" s="154"/>
      <c r="M533" s="154"/>
      <c r="N533" s="154"/>
      <c r="O533" s="242"/>
      <c r="P533" s="154"/>
      <c r="Q533" s="154"/>
      <c r="R533" s="154"/>
      <c r="S533" s="243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  <c r="AF533" s="154"/>
      <c r="AG533" s="244"/>
      <c r="AH533" s="154"/>
      <c r="AI533" s="154"/>
      <c r="AJ533" s="154"/>
      <c r="AK533" s="244"/>
      <c r="AL533" s="154"/>
      <c r="AM533" s="242"/>
      <c r="AN533" s="154"/>
      <c r="AO533" s="154"/>
      <c r="AP533" s="154"/>
    </row>
    <row r="534">
      <c r="A534" s="154"/>
      <c r="B534" s="154"/>
      <c r="C534" s="242"/>
      <c r="D534" s="154"/>
      <c r="E534" s="154"/>
      <c r="F534" s="154"/>
      <c r="G534" s="242"/>
      <c r="H534" s="154"/>
      <c r="I534" s="154"/>
      <c r="J534" s="154"/>
      <c r="K534" s="242"/>
      <c r="L534" s="154"/>
      <c r="M534" s="154"/>
      <c r="N534" s="154"/>
      <c r="O534" s="242"/>
      <c r="P534" s="154"/>
      <c r="Q534" s="154"/>
      <c r="R534" s="154"/>
      <c r="S534" s="243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  <c r="AF534" s="154"/>
      <c r="AG534" s="244"/>
      <c r="AH534" s="154"/>
      <c r="AI534" s="154"/>
      <c r="AJ534" s="154"/>
      <c r="AK534" s="244"/>
      <c r="AL534" s="154"/>
      <c r="AM534" s="242"/>
      <c r="AN534" s="154"/>
      <c r="AO534" s="154"/>
      <c r="AP534" s="154"/>
    </row>
    <row r="535">
      <c r="A535" s="154"/>
      <c r="B535" s="154"/>
      <c r="C535" s="242"/>
      <c r="D535" s="154"/>
      <c r="E535" s="154"/>
      <c r="F535" s="154"/>
      <c r="G535" s="242"/>
      <c r="H535" s="154"/>
      <c r="I535" s="154"/>
      <c r="J535" s="154"/>
      <c r="K535" s="242"/>
      <c r="L535" s="154"/>
      <c r="M535" s="154"/>
      <c r="N535" s="154"/>
      <c r="O535" s="242"/>
      <c r="P535" s="154"/>
      <c r="Q535" s="154"/>
      <c r="R535" s="154"/>
      <c r="S535" s="243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  <c r="AF535" s="154"/>
      <c r="AG535" s="244"/>
      <c r="AH535" s="154"/>
      <c r="AI535" s="154"/>
      <c r="AJ535" s="154"/>
      <c r="AK535" s="244"/>
      <c r="AL535" s="154"/>
      <c r="AM535" s="242"/>
      <c r="AN535" s="154"/>
      <c r="AO535" s="154"/>
      <c r="AP535" s="154"/>
    </row>
    <row r="536">
      <c r="A536" s="154"/>
      <c r="B536" s="154"/>
      <c r="C536" s="242"/>
      <c r="D536" s="154"/>
      <c r="E536" s="154"/>
      <c r="F536" s="154"/>
      <c r="G536" s="242"/>
      <c r="H536" s="154"/>
      <c r="I536" s="154"/>
      <c r="J536" s="154"/>
      <c r="K536" s="242"/>
      <c r="L536" s="154"/>
      <c r="M536" s="154"/>
      <c r="N536" s="154"/>
      <c r="O536" s="242"/>
      <c r="P536" s="154"/>
      <c r="Q536" s="154"/>
      <c r="R536" s="154"/>
      <c r="S536" s="243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  <c r="AF536" s="154"/>
      <c r="AG536" s="244"/>
      <c r="AH536" s="154"/>
      <c r="AI536" s="154"/>
      <c r="AJ536" s="154"/>
      <c r="AK536" s="244"/>
      <c r="AL536" s="154"/>
      <c r="AM536" s="242"/>
      <c r="AN536" s="154"/>
      <c r="AO536" s="154"/>
      <c r="AP536" s="154"/>
    </row>
    <row r="537">
      <c r="A537" s="154"/>
      <c r="B537" s="154"/>
      <c r="C537" s="242"/>
      <c r="D537" s="154"/>
      <c r="E537" s="154"/>
      <c r="F537" s="154"/>
      <c r="G537" s="242"/>
      <c r="H537" s="154"/>
      <c r="I537" s="154"/>
      <c r="J537" s="154"/>
      <c r="K537" s="242"/>
      <c r="L537" s="154"/>
      <c r="M537" s="154"/>
      <c r="N537" s="154"/>
      <c r="O537" s="242"/>
      <c r="P537" s="154"/>
      <c r="Q537" s="154"/>
      <c r="R537" s="154"/>
      <c r="S537" s="243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  <c r="AF537" s="154"/>
      <c r="AG537" s="244"/>
      <c r="AH537" s="154"/>
      <c r="AI537" s="154"/>
      <c r="AJ537" s="154"/>
      <c r="AK537" s="244"/>
      <c r="AL537" s="154"/>
      <c r="AM537" s="242"/>
      <c r="AN537" s="154"/>
      <c r="AO537" s="154"/>
      <c r="AP537" s="154"/>
    </row>
    <row r="538">
      <c r="A538" s="154"/>
      <c r="B538" s="154"/>
      <c r="C538" s="242"/>
      <c r="D538" s="154"/>
      <c r="E538" s="154"/>
      <c r="F538" s="154"/>
      <c r="G538" s="242"/>
      <c r="H538" s="154"/>
      <c r="I538" s="154"/>
      <c r="J538" s="154"/>
      <c r="K538" s="242"/>
      <c r="L538" s="154"/>
      <c r="M538" s="154"/>
      <c r="N538" s="154"/>
      <c r="O538" s="242"/>
      <c r="P538" s="154"/>
      <c r="Q538" s="154"/>
      <c r="R538" s="154"/>
      <c r="S538" s="243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  <c r="AF538" s="154"/>
      <c r="AG538" s="244"/>
      <c r="AH538" s="154"/>
      <c r="AI538" s="154"/>
      <c r="AJ538" s="154"/>
      <c r="AK538" s="244"/>
      <c r="AL538" s="154"/>
      <c r="AM538" s="242"/>
      <c r="AN538" s="154"/>
      <c r="AO538" s="154"/>
      <c r="AP538" s="154"/>
    </row>
    <row r="539">
      <c r="A539" s="154"/>
      <c r="B539" s="154"/>
      <c r="C539" s="242"/>
      <c r="D539" s="154"/>
      <c r="E539" s="154"/>
      <c r="F539" s="154"/>
      <c r="G539" s="242"/>
      <c r="H539" s="154"/>
      <c r="I539" s="154"/>
      <c r="J539" s="154"/>
      <c r="K539" s="242"/>
      <c r="L539" s="154"/>
      <c r="M539" s="154"/>
      <c r="N539" s="154"/>
      <c r="O539" s="242"/>
      <c r="P539" s="154"/>
      <c r="Q539" s="154"/>
      <c r="R539" s="154"/>
      <c r="S539" s="243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  <c r="AF539" s="154"/>
      <c r="AG539" s="244"/>
      <c r="AH539" s="154"/>
      <c r="AI539" s="154"/>
      <c r="AJ539" s="154"/>
      <c r="AK539" s="244"/>
      <c r="AL539" s="154"/>
      <c r="AM539" s="242"/>
      <c r="AN539" s="154"/>
      <c r="AO539" s="154"/>
      <c r="AP539" s="154"/>
    </row>
    <row r="540">
      <c r="A540" s="154"/>
      <c r="B540" s="154"/>
      <c r="C540" s="242"/>
      <c r="D540" s="154"/>
      <c r="E540" s="154"/>
      <c r="F540" s="154"/>
      <c r="G540" s="242"/>
      <c r="H540" s="154"/>
      <c r="I540" s="154"/>
      <c r="J540" s="154"/>
      <c r="K540" s="242"/>
      <c r="L540" s="154"/>
      <c r="M540" s="154"/>
      <c r="N540" s="154"/>
      <c r="O540" s="242"/>
      <c r="P540" s="154"/>
      <c r="Q540" s="154"/>
      <c r="R540" s="154"/>
      <c r="S540" s="243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  <c r="AF540" s="154"/>
      <c r="AG540" s="244"/>
      <c r="AH540" s="154"/>
      <c r="AI540" s="154"/>
      <c r="AJ540" s="154"/>
      <c r="AK540" s="244"/>
      <c r="AL540" s="154"/>
      <c r="AM540" s="242"/>
      <c r="AN540" s="154"/>
      <c r="AO540" s="154"/>
      <c r="AP540" s="154"/>
    </row>
    <row r="541">
      <c r="A541" s="154"/>
      <c r="B541" s="154"/>
      <c r="C541" s="242"/>
      <c r="D541" s="154"/>
      <c r="E541" s="154"/>
      <c r="F541" s="154"/>
      <c r="G541" s="242"/>
      <c r="H541" s="154"/>
      <c r="I541" s="154"/>
      <c r="J541" s="154"/>
      <c r="K541" s="242"/>
      <c r="L541" s="154"/>
      <c r="M541" s="154"/>
      <c r="N541" s="154"/>
      <c r="O541" s="242"/>
      <c r="P541" s="154"/>
      <c r="Q541" s="154"/>
      <c r="R541" s="154"/>
      <c r="S541" s="243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  <c r="AF541" s="154"/>
      <c r="AG541" s="244"/>
      <c r="AH541" s="154"/>
      <c r="AI541" s="154"/>
      <c r="AJ541" s="154"/>
      <c r="AK541" s="244"/>
      <c r="AL541" s="154"/>
      <c r="AM541" s="242"/>
      <c r="AN541" s="154"/>
      <c r="AO541" s="154"/>
      <c r="AP541" s="154"/>
    </row>
    <row r="542">
      <c r="A542" s="154"/>
      <c r="B542" s="154"/>
      <c r="C542" s="242"/>
      <c r="D542" s="154"/>
      <c r="E542" s="154"/>
      <c r="F542" s="154"/>
      <c r="G542" s="242"/>
      <c r="H542" s="154"/>
      <c r="I542" s="154"/>
      <c r="J542" s="154"/>
      <c r="K542" s="242"/>
      <c r="L542" s="154"/>
      <c r="M542" s="154"/>
      <c r="N542" s="154"/>
      <c r="O542" s="242"/>
      <c r="P542" s="154"/>
      <c r="Q542" s="154"/>
      <c r="R542" s="154"/>
      <c r="S542" s="243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  <c r="AF542" s="154"/>
      <c r="AG542" s="244"/>
      <c r="AH542" s="154"/>
      <c r="AI542" s="154"/>
      <c r="AJ542" s="154"/>
      <c r="AK542" s="244"/>
      <c r="AL542" s="154"/>
      <c r="AM542" s="242"/>
      <c r="AN542" s="154"/>
      <c r="AO542" s="154"/>
      <c r="AP542" s="154"/>
    </row>
    <row r="543">
      <c r="A543" s="154"/>
      <c r="B543" s="154"/>
      <c r="C543" s="242"/>
      <c r="D543" s="154"/>
      <c r="E543" s="154"/>
      <c r="F543" s="154"/>
      <c r="G543" s="242"/>
      <c r="H543" s="154"/>
      <c r="I543" s="154"/>
      <c r="J543" s="154"/>
      <c r="K543" s="242"/>
      <c r="L543" s="154"/>
      <c r="M543" s="154"/>
      <c r="N543" s="154"/>
      <c r="O543" s="242"/>
      <c r="P543" s="154"/>
      <c r="Q543" s="154"/>
      <c r="R543" s="154"/>
      <c r="S543" s="243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  <c r="AF543" s="154"/>
      <c r="AG543" s="244"/>
      <c r="AH543" s="154"/>
      <c r="AI543" s="154"/>
      <c r="AJ543" s="154"/>
      <c r="AK543" s="244"/>
      <c r="AL543" s="154"/>
      <c r="AM543" s="242"/>
      <c r="AN543" s="154"/>
      <c r="AO543" s="154"/>
      <c r="AP543" s="154"/>
    </row>
    <row r="544">
      <c r="A544" s="154"/>
      <c r="B544" s="154"/>
      <c r="C544" s="242"/>
      <c r="D544" s="154"/>
      <c r="E544" s="154"/>
      <c r="F544" s="154"/>
      <c r="G544" s="242"/>
      <c r="H544" s="154"/>
      <c r="I544" s="154"/>
      <c r="J544" s="154"/>
      <c r="K544" s="242"/>
      <c r="L544" s="154"/>
      <c r="M544" s="154"/>
      <c r="N544" s="154"/>
      <c r="O544" s="242"/>
      <c r="P544" s="154"/>
      <c r="Q544" s="154"/>
      <c r="R544" s="154"/>
      <c r="S544" s="243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  <c r="AF544" s="154"/>
      <c r="AG544" s="244"/>
      <c r="AH544" s="154"/>
      <c r="AI544" s="154"/>
      <c r="AJ544" s="154"/>
      <c r="AK544" s="244"/>
      <c r="AL544" s="154"/>
      <c r="AM544" s="242"/>
      <c r="AN544" s="154"/>
      <c r="AO544" s="154"/>
      <c r="AP544" s="154"/>
    </row>
    <row r="545">
      <c r="A545" s="154"/>
      <c r="B545" s="154"/>
      <c r="C545" s="242"/>
      <c r="D545" s="154"/>
      <c r="E545" s="154"/>
      <c r="F545" s="154"/>
      <c r="G545" s="242"/>
      <c r="H545" s="154"/>
      <c r="I545" s="154"/>
      <c r="J545" s="154"/>
      <c r="K545" s="242"/>
      <c r="L545" s="154"/>
      <c r="M545" s="154"/>
      <c r="N545" s="154"/>
      <c r="O545" s="242"/>
      <c r="P545" s="154"/>
      <c r="Q545" s="154"/>
      <c r="R545" s="154"/>
      <c r="S545" s="243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  <c r="AF545" s="154"/>
      <c r="AG545" s="244"/>
      <c r="AH545" s="154"/>
      <c r="AI545" s="154"/>
      <c r="AJ545" s="154"/>
      <c r="AK545" s="244"/>
      <c r="AL545" s="154"/>
      <c r="AM545" s="242"/>
      <c r="AN545" s="154"/>
      <c r="AO545" s="154"/>
      <c r="AP545" s="154"/>
    </row>
    <row r="546">
      <c r="A546" s="154"/>
      <c r="B546" s="154"/>
      <c r="C546" s="242"/>
      <c r="D546" s="154"/>
      <c r="E546" s="154"/>
      <c r="F546" s="154"/>
      <c r="G546" s="242"/>
      <c r="H546" s="154"/>
      <c r="I546" s="154"/>
      <c r="J546" s="154"/>
      <c r="K546" s="242"/>
      <c r="L546" s="154"/>
      <c r="M546" s="154"/>
      <c r="N546" s="154"/>
      <c r="O546" s="242"/>
      <c r="P546" s="154"/>
      <c r="Q546" s="154"/>
      <c r="R546" s="154"/>
      <c r="S546" s="243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  <c r="AF546" s="154"/>
      <c r="AG546" s="244"/>
      <c r="AH546" s="154"/>
      <c r="AI546" s="154"/>
      <c r="AJ546" s="154"/>
      <c r="AK546" s="244"/>
      <c r="AL546" s="154"/>
      <c r="AM546" s="242"/>
      <c r="AN546" s="154"/>
      <c r="AO546" s="154"/>
      <c r="AP546" s="154"/>
    </row>
    <row r="547">
      <c r="A547" s="154"/>
      <c r="B547" s="154"/>
      <c r="C547" s="242"/>
      <c r="D547" s="154"/>
      <c r="E547" s="154"/>
      <c r="F547" s="154"/>
      <c r="G547" s="242"/>
      <c r="H547" s="154"/>
      <c r="I547" s="154"/>
      <c r="J547" s="154"/>
      <c r="K547" s="242"/>
      <c r="L547" s="154"/>
      <c r="M547" s="154"/>
      <c r="N547" s="154"/>
      <c r="O547" s="242"/>
      <c r="P547" s="154"/>
      <c r="Q547" s="154"/>
      <c r="R547" s="154"/>
      <c r="S547" s="243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  <c r="AF547" s="154"/>
      <c r="AG547" s="244"/>
      <c r="AH547" s="154"/>
      <c r="AI547" s="154"/>
      <c r="AJ547" s="154"/>
      <c r="AK547" s="244"/>
      <c r="AL547" s="154"/>
      <c r="AM547" s="242"/>
      <c r="AN547" s="154"/>
      <c r="AO547" s="154"/>
      <c r="AP547" s="154"/>
    </row>
    <row r="548">
      <c r="A548" s="154"/>
      <c r="B548" s="154"/>
      <c r="C548" s="242"/>
      <c r="D548" s="154"/>
      <c r="E548" s="154"/>
      <c r="F548" s="154"/>
      <c r="G548" s="242"/>
      <c r="H548" s="154"/>
      <c r="I548" s="154"/>
      <c r="J548" s="154"/>
      <c r="K548" s="242"/>
      <c r="L548" s="154"/>
      <c r="M548" s="154"/>
      <c r="N548" s="154"/>
      <c r="O548" s="242"/>
      <c r="P548" s="154"/>
      <c r="Q548" s="154"/>
      <c r="R548" s="154"/>
      <c r="S548" s="243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  <c r="AF548" s="154"/>
      <c r="AG548" s="244"/>
      <c r="AH548" s="154"/>
      <c r="AI548" s="154"/>
      <c r="AJ548" s="154"/>
      <c r="AK548" s="244"/>
      <c r="AL548" s="154"/>
      <c r="AM548" s="242"/>
      <c r="AN548" s="154"/>
      <c r="AO548" s="154"/>
      <c r="AP548" s="154"/>
    </row>
    <row r="549">
      <c r="A549" s="154"/>
      <c r="B549" s="154"/>
      <c r="C549" s="242"/>
      <c r="D549" s="154"/>
      <c r="E549" s="154"/>
      <c r="F549" s="154"/>
      <c r="G549" s="242"/>
      <c r="H549" s="154"/>
      <c r="I549" s="154"/>
      <c r="J549" s="154"/>
      <c r="K549" s="242"/>
      <c r="L549" s="154"/>
      <c r="M549" s="154"/>
      <c r="N549" s="154"/>
      <c r="O549" s="242"/>
      <c r="P549" s="154"/>
      <c r="Q549" s="154"/>
      <c r="R549" s="154"/>
      <c r="S549" s="243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  <c r="AF549" s="154"/>
      <c r="AG549" s="244"/>
      <c r="AH549" s="154"/>
      <c r="AI549" s="154"/>
      <c r="AJ549" s="154"/>
      <c r="AK549" s="244"/>
      <c r="AL549" s="154"/>
      <c r="AM549" s="242"/>
      <c r="AN549" s="154"/>
      <c r="AO549" s="154"/>
      <c r="AP549" s="154"/>
    </row>
    <row r="550">
      <c r="A550" s="154"/>
      <c r="B550" s="154"/>
      <c r="C550" s="242"/>
      <c r="D550" s="154"/>
      <c r="E550" s="154"/>
      <c r="F550" s="154"/>
      <c r="G550" s="242"/>
      <c r="H550" s="154"/>
      <c r="I550" s="154"/>
      <c r="J550" s="154"/>
      <c r="K550" s="242"/>
      <c r="L550" s="154"/>
      <c r="M550" s="154"/>
      <c r="N550" s="154"/>
      <c r="O550" s="242"/>
      <c r="P550" s="154"/>
      <c r="Q550" s="154"/>
      <c r="R550" s="154"/>
      <c r="S550" s="243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  <c r="AF550" s="154"/>
      <c r="AG550" s="244"/>
      <c r="AH550" s="154"/>
      <c r="AI550" s="154"/>
      <c r="AJ550" s="154"/>
      <c r="AK550" s="244"/>
      <c r="AL550" s="154"/>
      <c r="AM550" s="242"/>
      <c r="AN550" s="154"/>
      <c r="AO550" s="154"/>
      <c r="AP550" s="154"/>
    </row>
    <row r="551">
      <c r="A551" s="154"/>
      <c r="B551" s="154"/>
      <c r="C551" s="242"/>
      <c r="D551" s="154"/>
      <c r="E551" s="154"/>
      <c r="F551" s="154"/>
      <c r="G551" s="242"/>
      <c r="H551" s="154"/>
      <c r="I551" s="154"/>
      <c r="J551" s="154"/>
      <c r="K551" s="242"/>
      <c r="L551" s="154"/>
      <c r="M551" s="154"/>
      <c r="N551" s="154"/>
      <c r="O551" s="242"/>
      <c r="P551" s="154"/>
      <c r="Q551" s="154"/>
      <c r="R551" s="154"/>
      <c r="S551" s="243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  <c r="AF551" s="154"/>
      <c r="AG551" s="244"/>
      <c r="AH551" s="154"/>
      <c r="AI551" s="154"/>
      <c r="AJ551" s="154"/>
      <c r="AK551" s="244"/>
      <c r="AL551" s="154"/>
      <c r="AM551" s="242"/>
      <c r="AN551" s="154"/>
      <c r="AO551" s="154"/>
      <c r="AP551" s="154"/>
    </row>
    <row r="552">
      <c r="A552" s="154"/>
      <c r="B552" s="154"/>
      <c r="C552" s="242"/>
      <c r="D552" s="154"/>
      <c r="E552" s="154"/>
      <c r="F552" s="154"/>
      <c r="G552" s="242"/>
      <c r="H552" s="154"/>
      <c r="I552" s="154"/>
      <c r="J552" s="154"/>
      <c r="K552" s="242"/>
      <c r="L552" s="154"/>
      <c r="M552" s="154"/>
      <c r="N552" s="154"/>
      <c r="O552" s="242"/>
      <c r="P552" s="154"/>
      <c r="Q552" s="154"/>
      <c r="R552" s="154"/>
      <c r="S552" s="243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  <c r="AF552" s="154"/>
      <c r="AG552" s="244"/>
      <c r="AH552" s="154"/>
      <c r="AI552" s="154"/>
      <c r="AJ552" s="154"/>
      <c r="AK552" s="244"/>
      <c r="AL552" s="154"/>
      <c r="AM552" s="242"/>
      <c r="AN552" s="154"/>
      <c r="AO552" s="154"/>
      <c r="AP552" s="154"/>
    </row>
    <row r="553">
      <c r="A553" s="154"/>
      <c r="B553" s="154"/>
      <c r="C553" s="242"/>
      <c r="D553" s="154"/>
      <c r="E553" s="154"/>
      <c r="F553" s="154"/>
      <c r="G553" s="242"/>
      <c r="H553" s="154"/>
      <c r="I553" s="154"/>
      <c r="J553" s="154"/>
      <c r="K553" s="242"/>
      <c r="L553" s="154"/>
      <c r="M553" s="154"/>
      <c r="N553" s="154"/>
      <c r="O553" s="242"/>
      <c r="P553" s="154"/>
      <c r="Q553" s="154"/>
      <c r="R553" s="154"/>
      <c r="S553" s="243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  <c r="AF553" s="154"/>
      <c r="AG553" s="244"/>
      <c r="AH553" s="154"/>
      <c r="AI553" s="154"/>
      <c r="AJ553" s="154"/>
      <c r="AK553" s="244"/>
      <c r="AL553" s="154"/>
      <c r="AM553" s="242"/>
      <c r="AN553" s="154"/>
      <c r="AO553" s="154"/>
      <c r="AP553" s="154"/>
    </row>
    <row r="554">
      <c r="A554" s="154"/>
      <c r="B554" s="154"/>
      <c r="C554" s="242"/>
      <c r="D554" s="154"/>
      <c r="E554" s="154"/>
      <c r="F554" s="154"/>
      <c r="G554" s="242"/>
      <c r="H554" s="154"/>
      <c r="I554" s="154"/>
      <c r="J554" s="154"/>
      <c r="K554" s="242"/>
      <c r="L554" s="154"/>
      <c r="M554" s="154"/>
      <c r="N554" s="154"/>
      <c r="O554" s="242"/>
      <c r="P554" s="154"/>
      <c r="Q554" s="154"/>
      <c r="R554" s="154"/>
      <c r="S554" s="243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  <c r="AF554" s="154"/>
      <c r="AG554" s="244"/>
      <c r="AH554" s="154"/>
      <c r="AI554" s="154"/>
      <c r="AJ554" s="154"/>
      <c r="AK554" s="244"/>
      <c r="AL554" s="154"/>
      <c r="AM554" s="242"/>
      <c r="AN554" s="154"/>
      <c r="AO554" s="154"/>
      <c r="AP554" s="154"/>
    </row>
    <row r="555">
      <c r="A555" s="154"/>
      <c r="B555" s="154"/>
      <c r="C555" s="242"/>
      <c r="D555" s="154"/>
      <c r="E555" s="154"/>
      <c r="F555" s="154"/>
      <c r="G555" s="242"/>
      <c r="H555" s="154"/>
      <c r="I555" s="154"/>
      <c r="J555" s="154"/>
      <c r="K555" s="242"/>
      <c r="L555" s="154"/>
      <c r="M555" s="154"/>
      <c r="N555" s="154"/>
      <c r="O555" s="242"/>
      <c r="P555" s="154"/>
      <c r="Q555" s="154"/>
      <c r="R555" s="154"/>
      <c r="S555" s="243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  <c r="AF555" s="154"/>
      <c r="AG555" s="244"/>
      <c r="AH555" s="154"/>
      <c r="AI555" s="154"/>
      <c r="AJ555" s="154"/>
      <c r="AK555" s="244"/>
      <c r="AL555" s="154"/>
      <c r="AM555" s="242"/>
      <c r="AN555" s="154"/>
      <c r="AO555" s="154"/>
      <c r="AP555" s="154"/>
    </row>
    <row r="556">
      <c r="A556" s="154"/>
      <c r="B556" s="154"/>
      <c r="C556" s="242"/>
      <c r="D556" s="154"/>
      <c r="E556" s="154"/>
      <c r="F556" s="154"/>
      <c r="G556" s="242"/>
      <c r="H556" s="154"/>
      <c r="I556" s="154"/>
      <c r="J556" s="154"/>
      <c r="K556" s="242"/>
      <c r="L556" s="154"/>
      <c r="M556" s="154"/>
      <c r="N556" s="154"/>
      <c r="O556" s="242"/>
      <c r="P556" s="154"/>
      <c r="Q556" s="154"/>
      <c r="R556" s="154"/>
      <c r="S556" s="243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  <c r="AF556" s="154"/>
      <c r="AG556" s="244"/>
      <c r="AH556" s="154"/>
      <c r="AI556" s="154"/>
      <c r="AJ556" s="154"/>
      <c r="AK556" s="244"/>
      <c r="AL556" s="154"/>
      <c r="AM556" s="242"/>
      <c r="AN556" s="154"/>
      <c r="AO556" s="154"/>
      <c r="AP556" s="154"/>
    </row>
    <row r="557">
      <c r="A557" s="154"/>
      <c r="B557" s="154"/>
      <c r="C557" s="242"/>
      <c r="D557" s="154"/>
      <c r="E557" s="154"/>
      <c r="F557" s="154"/>
      <c r="G557" s="242"/>
      <c r="H557" s="154"/>
      <c r="I557" s="154"/>
      <c r="J557" s="154"/>
      <c r="K557" s="242"/>
      <c r="L557" s="154"/>
      <c r="M557" s="154"/>
      <c r="N557" s="154"/>
      <c r="O557" s="242"/>
      <c r="P557" s="154"/>
      <c r="Q557" s="154"/>
      <c r="R557" s="154"/>
      <c r="S557" s="243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  <c r="AF557" s="154"/>
      <c r="AG557" s="244"/>
      <c r="AH557" s="154"/>
      <c r="AI557" s="154"/>
      <c r="AJ557" s="154"/>
      <c r="AK557" s="244"/>
      <c r="AL557" s="154"/>
      <c r="AM557" s="242"/>
      <c r="AN557" s="154"/>
      <c r="AO557" s="154"/>
      <c r="AP557" s="154"/>
    </row>
    <row r="558">
      <c r="A558" s="154"/>
      <c r="B558" s="154"/>
      <c r="C558" s="242"/>
      <c r="D558" s="154"/>
      <c r="E558" s="154"/>
      <c r="F558" s="154"/>
      <c r="G558" s="242"/>
      <c r="H558" s="154"/>
      <c r="I558" s="154"/>
      <c r="J558" s="154"/>
      <c r="K558" s="242"/>
      <c r="L558" s="154"/>
      <c r="M558" s="154"/>
      <c r="N558" s="154"/>
      <c r="O558" s="242"/>
      <c r="P558" s="154"/>
      <c r="Q558" s="154"/>
      <c r="R558" s="154"/>
      <c r="S558" s="243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  <c r="AF558" s="154"/>
      <c r="AG558" s="244"/>
      <c r="AH558" s="154"/>
      <c r="AI558" s="154"/>
      <c r="AJ558" s="154"/>
      <c r="AK558" s="244"/>
      <c r="AL558" s="154"/>
      <c r="AM558" s="242"/>
      <c r="AN558" s="154"/>
      <c r="AO558" s="154"/>
      <c r="AP558" s="154"/>
    </row>
    <row r="559">
      <c r="A559" s="154"/>
      <c r="B559" s="154"/>
      <c r="C559" s="242"/>
      <c r="D559" s="154"/>
      <c r="E559" s="154"/>
      <c r="F559" s="154"/>
      <c r="G559" s="242"/>
      <c r="H559" s="154"/>
      <c r="I559" s="154"/>
      <c r="J559" s="154"/>
      <c r="K559" s="242"/>
      <c r="L559" s="154"/>
      <c r="M559" s="154"/>
      <c r="N559" s="154"/>
      <c r="O559" s="242"/>
      <c r="P559" s="154"/>
      <c r="Q559" s="154"/>
      <c r="R559" s="154"/>
      <c r="S559" s="243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  <c r="AF559" s="154"/>
      <c r="AG559" s="244"/>
      <c r="AH559" s="154"/>
      <c r="AI559" s="154"/>
      <c r="AJ559" s="154"/>
      <c r="AK559" s="244"/>
      <c r="AL559" s="154"/>
      <c r="AM559" s="242"/>
      <c r="AN559" s="154"/>
      <c r="AO559" s="154"/>
      <c r="AP559" s="154"/>
    </row>
    <row r="560">
      <c r="A560" s="154"/>
      <c r="B560" s="154"/>
      <c r="C560" s="242"/>
      <c r="D560" s="154"/>
      <c r="E560" s="154"/>
      <c r="F560" s="154"/>
      <c r="G560" s="242"/>
      <c r="H560" s="154"/>
      <c r="I560" s="154"/>
      <c r="J560" s="154"/>
      <c r="K560" s="242"/>
      <c r="L560" s="154"/>
      <c r="M560" s="154"/>
      <c r="N560" s="154"/>
      <c r="O560" s="242"/>
      <c r="P560" s="154"/>
      <c r="Q560" s="154"/>
      <c r="R560" s="154"/>
      <c r="S560" s="243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  <c r="AF560" s="154"/>
      <c r="AG560" s="244"/>
      <c r="AH560" s="154"/>
      <c r="AI560" s="154"/>
      <c r="AJ560" s="154"/>
      <c r="AK560" s="244"/>
      <c r="AL560" s="154"/>
      <c r="AM560" s="242"/>
      <c r="AN560" s="154"/>
      <c r="AO560" s="154"/>
      <c r="AP560" s="154"/>
    </row>
    <row r="561">
      <c r="A561" s="154"/>
      <c r="B561" s="154"/>
      <c r="C561" s="242"/>
      <c r="D561" s="154"/>
      <c r="E561" s="154"/>
      <c r="F561" s="154"/>
      <c r="G561" s="242"/>
      <c r="H561" s="154"/>
      <c r="I561" s="154"/>
      <c r="J561" s="154"/>
      <c r="K561" s="242"/>
      <c r="L561" s="154"/>
      <c r="M561" s="154"/>
      <c r="N561" s="154"/>
      <c r="O561" s="242"/>
      <c r="P561" s="154"/>
      <c r="Q561" s="154"/>
      <c r="R561" s="154"/>
      <c r="S561" s="243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  <c r="AF561" s="154"/>
      <c r="AG561" s="244"/>
      <c r="AH561" s="154"/>
      <c r="AI561" s="154"/>
      <c r="AJ561" s="154"/>
      <c r="AK561" s="244"/>
      <c r="AL561" s="154"/>
      <c r="AM561" s="242"/>
      <c r="AN561" s="154"/>
      <c r="AO561" s="154"/>
      <c r="AP561" s="154"/>
    </row>
    <row r="562">
      <c r="A562" s="154"/>
      <c r="B562" s="154"/>
      <c r="C562" s="242"/>
      <c r="D562" s="154"/>
      <c r="E562" s="154"/>
      <c r="F562" s="154"/>
      <c r="G562" s="242"/>
      <c r="H562" s="154"/>
      <c r="I562" s="154"/>
      <c r="J562" s="154"/>
      <c r="K562" s="242"/>
      <c r="L562" s="154"/>
      <c r="M562" s="154"/>
      <c r="N562" s="154"/>
      <c r="O562" s="242"/>
      <c r="P562" s="154"/>
      <c r="Q562" s="154"/>
      <c r="R562" s="154"/>
      <c r="S562" s="243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  <c r="AF562" s="154"/>
      <c r="AG562" s="244"/>
      <c r="AH562" s="154"/>
      <c r="AI562" s="154"/>
      <c r="AJ562" s="154"/>
      <c r="AK562" s="244"/>
      <c r="AL562" s="154"/>
      <c r="AM562" s="242"/>
      <c r="AN562" s="154"/>
      <c r="AO562" s="154"/>
      <c r="AP562" s="154"/>
    </row>
    <row r="563">
      <c r="A563" s="154"/>
      <c r="B563" s="154"/>
      <c r="C563" s="242"/>
      <c r="D563" s="154"/>
      <c r="E563" s="154"/>
      <c r="F563" s="154"/>
      <c r="G563" s="242"/>
      <c r="H563" s="154"/>
      <c r="I563" s="154"/>
      <c r="J563" s="154"/>
      <c r="K563" s="242"/>
      <c r="L563" s="154"/>
      <c r="M563" s="154"/>
      <c r="N563" s="154"/>
      <c r="O563" s="242"/>
      <c r="P563" s="154"/>
      <c r="Q563" s="154"/>
      <c r="R563" s="154"/>
      <c r="S563" s="243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  <c r="AF563" s="154"/>
      <c r="AG563" s="244"/>
      <c r="AH563" s="154"/>
      <c r="AI563" s="154"/>
      <c r="AJ563" s="154"/>
      <c r="AK563" s="244"/>
      <c r="AL563" s="154"/>
      <c r="AM563" s="242"/>
      <c r="AN563" s="154"/>
      <c r="AO563" s="154"/>
      <c r="AP563" s="154"/>
    </row>
    <row r="564">
      <c r="A564" s="154"/>
      <c r="B564" s="154"/>
      <c r="C564" s="242"/>
      <c r="D564" s="154"/>
      <c r="E564" s="154"/>
      <c r="F564" s="154"/>
      <c r="G564" s="242"/>
      <c r="H564" s="154"/>
      <c r="I564" s="154"/>
      <c r="J564" s="154"/>
      <c r="K564" s="242"/>
      <c r="L564" s="154"/>
      <c r="M564" s="154"/>
      <c r="N564" s="154"/>
      <c r="O564" s="242"/>
      <c r="P564" s="154"/>
      <c r="Q564" s="154"/>
      <c r="R564" s="154"/>
      <c r="S564" s="243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  <c r="AF564" s="154"/>
      <c r="AG564" s="244"/>
      <c r="AH564" s="154"/>
      <c r="AI564" s="154"/>
      <c r="AJ564" s="154"/>
      <c r="AK564" s="244"/>
      <c r="AL564" s="154"/>
      <c r="AM564" s="242"/>
      <c r="AN564" s="154"/>
      <c r="AO564" s="154"/>
      <c r="AP564" s="154"/>
    </row>
    <row r="565">
      <c r="A565" s="154"/>
      <c r="B565" s="154"/>
      <c r="C565" s="242"/>
      <c r="D565" s="154"/>
      <c r="E565" s="154"/>
      <c r="F565" s="154"/>
      <c r="G565" s="242"/>
      <c r="H565" s="154"/>
      <c r="I565" s="154"/>
      <c r="J565" s="154"/>
      <c r="K565" s="242"/>
      <c r="L565" s="154"/>
      <c r="M565" s="154"/>
      <c r="N565" s="154"/>
      <c r="O565" s="242"/>
      <c r="P565" s="154"/>
      <c r="Q565" s="154"/>
      <c r="R565" s="154"/>
      <c r="S565" s="243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  <c r="AF565" s="154"/>
      <c r="AG565" s="244"/>
      <c r="AH565" s="154"/>
      <c r="AI565" s="154"/>
      <c r="AJ565" s="154"/>
      <c r="AK565" s="244"/>
      <c r="AL565" s="154"/>
      <c r="AM565" s="242"/>
      <c r="AN565" s="154"/>
      <c r="AO565" s="154"/>
      <c r="AP565" s="154"/>
    </row>
    <row r="566">
      <c r="A566" s="154"/>
      <c r="B566" s="154"/>
      <c r="C566" s="242"/>
      <c r="D566" s="154"/>
      <c r="E566" s="154"/>
      <c r="F566" s="154"/>
      <c r="G566" s="242"/>
      <c r="H566" s="154"/>
      <c r="I566" s="154"/>
      <c r="J566" s="154"/>
      <c r="K566" s="242"/>
      <c r="L566" s="154"/>
      <c r="M566" s="154"/>
      <c r="N566" s="154"/>
      <c r="O566" s="242"/>
      <c r="P566" s="154"/>
      <c r="Q566" s="154"/>
      <c r="R566" s="154"/>
      <c r="S566" s="243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  <c r="AF566" s="154"/>
      <c r="AG566" s="244"/>
      <c r="AH566" s="154"/>
      <c r="AI566" s="154"/>
      <c r="AJ566" s="154"/>
      <c r="AK566" s="244"/>
      <c r="AL566" s="154"/>
      <c r="AM566" s="242"/>
      <c r="AN566" s="154"/>
      <c r="AO566" s="154"/>
      <c r="AP566" s="154"/>
    </row>
    <row r="567">
      <c r="A567" s="154"/>
      <c r="B567" s="154"/>
      <c r="C567" s="242"/>
      <c r="D567" s="154"/>
      <c r="E567" s="154"/>
      <c r="F567" s="154"/>
      <c r="G567" s="242"/>
      <c r="H567" s="154"/>
      <c r="I567" s="154"/>
      <c r="J567" s="154"/>
      <c r="K567" s="242"/>
      <c r="L567" s="154"/>
      <c r="M567" s="154"/>
      <c r="N567" s="154"/>
      <c r="O567" s="242"/>
      <c r="P567" s="154"/>
      <c r="Q567" s="154"/>
      <c r="R567" s="154"/>
      <c r="S567" s="243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  <c r="AF567" s="154"/>
      <c r="AG567" s="244"/>
      <c r="AH567" s="154"/>
      <c r="AI567" s="154"/>
      <c r="AJ567" s="154"/>
      <c r="AK567" s="244"/>
      <c r="AL567" s="154"/>
      <c r="AM567" s="242"/>
      <c r="AN567" s="154"/>
      <c r="AO567" s="154"/>
      <c r="AP567" s="154"/>
    </row>
    <row r="568">
      <c r="A568" s="154"/>
      <c r="B568" s="154"/>
      <c r="C568" s="242"/>
      <c r="D568" s="154"/>
      <c r="E568" s="154"/>
      <c r="F568" s="154"/>
      <c r="G568" s="242"/>
      <c r="H568" s="154"/>
      <c r="I568" s="154"/>
      <c r="J568" s="154"/>
      <c r="K568" s="242"/>
      <c r="L568" s="154"/>
      <c r="M568" s="154"/>
      <c r="N568" s="154"/>
      <c r="O568" s="242"/>
      <c r="P568" s="154"/>
      <c r="Q568" s="154"/>
      <c r="R568" s="154"/>
      <c r="S568" s="243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  <c r="AF568" s="154"/>
      <c r="AG568" s="244"/>
      <c r="AH568" s="154"/>
      <c r="AI568" s="154"/>
      <c r="AJ568" s="154"/>
      <c r="AK568" s="244"/>
      <c r="AL568" s="154"/>
      <c r="AM568" s="242"/>
      <c r="AN568" s="154"/>
      <c r="AO568" s="154"/>
      <c r="AP568" s="154"/>
    </row>
    <row r="569">
      <c r="A569" s="154"/>
      <c r="B569" s="154"/>
      <c r="C569" s="242"/>
      <c r="D569" s="154"/>
      <c r="E569" s="154"/>
      <c r="F569" s="154"/>
      <c r="G569" s="242"/>
      <c r="H569" s="154"/>
      <c r="I569" s="154"/>
      <c r="J569" s="154"/>
      <c r="K569" s="242"/>
      <c r="L569" s="154"/>
      <c r="M569" s="154"/>
      <c r="N569" s="154"/>
      <c r="O569" s="242"/>
      <c r="P569" s="154"/>
      <c r="Q569" s="154"/>
      <c r="R569" s="154"/>
      <c r="S569" s="243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  <c r="AF569" s="154"/>
      <c r="AG569" s="244"/>
      <c r="AH569" s="154"/>
      <c r="AI569" s="154"/>
      <c r="AJ569" s="154"/>
      <c r="AK569" s="244"/>
      <c r="AL569" s="154"/>
      <c r="AM569" s="242"/>
      <c r="AN569" s="154"/>
      <c r="AO569" s="154"/>
      <c r="AP569" s="154"/>
    </row>
    <row r="570">
      <c r="A570" s="154"/>
      <c r="B570" s="154"/>
      <c r="C570" s="242"/>
      <c r="D570" s="154"/>
      <c r="E570" s="154"/>
      <c r="F570" s="154"/>
      <c r="G570" s="242"/>
      <c r="H570" s="154"/>
      <c r="I570" s="154"/>
      <c r="J570" s="154"/>
      <c r="K570" s="242"/>
      <c r="L570" s="154"/>
      <c r="M570" s="154"/>
      <c r="N570" s="154"/>
      <c r="O570" s="242"/>
      <c r="P570" s="154"/>
      <c r="Q570" s="154"/>
      <c r="R570" s="154"/>
      <c r="S570" s="243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  <c r="AF570" s="154"/>
      <c r="AG570" s="244"/>
      <c r="AH570" s="154"/>
      <c r="AI570" s="154"/>
      <c r="AJ570" s="154"/>
      <c r="AK570" s="244"/>
      <c r="AL570" s="154"/>
      <c r="AM570" s="242"/>
      <c r="AN570" s="154"/>
      <c r="AO570" s="154"/>
      <c r="AP570" s="154"/>
    </row>
    <row r="571">
      <c r="A571" s="154"/>
      <c r="B571" s="154"/>
      <c r="C571" s="242"/>
      <c r="D571" s="154"/>
      <c r="E571" s="154"/>
      <c r="F571" s="154"/>
      <c r="G571" s="242"/>
      <c r="H571" s="154"/>
      <c r="I571" s="154"/>
      <c r="J571" s="154"/>
      <c r="K571" s="242"/>
      <c r="L571" s="154"/>
      <c r="M571" s="154"/>
      <c r="N571" s="154"/>
      <c r="O571" s="242"/>
      <c r="P571" s="154"/>
      <c r="Q571" s="154"/>
      <c r="R571" s="154"/>
      <c r="S571" s="243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  <c r="AF571" s="154"/>
      <c r="AG571" s="244"/>
      <c r="AH571" s="154"/>
      <c r="AI571" s="154"/>
      <c r="AJ571" s="154"/>
      <c r="AK571" s="244"/>
      <c r="AL571" s="154"/>
      <c r="AM571" s="242"/>
      <c r="AN571" s="154"/>
      <c r="AO571" s="154"/>
      <c r="AP571" s="154"/>
    </row>
    <row r="572">
      <c r="A572" s="154"/>
      <c r="B572" s="154"/>
      <c r="C572" s="242"/>
      <c r="D572" s="154"/>
      <c r="E572" s="154"/>
      <c r="F572" s="154"/>
      <c r="G572" s="242"/>
      <c r="H572" s="154"/>
      <c r="I572" s="154"/>
      <c r="J572" s="154"/>
      <c r="K572" s="242"/>
      <c r="L572" s="154"/>
      <c r="M572" s="154"/>
      <c r="N572" s="154"/>
      <c r="O572" s="242"/>
      <c r="P572" s="154"/>
      <c r="Q572" s="154"/>
      <c r="R572" s="154"/>
      <c r="S572" s="243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  <c r="AF572" s="154"/>
      <c r="AG572" s="244"/>
      <c r="AH572" s="154"/>
      <c r="AI572" s="154"/>
      <c r="AJ572" s="154"/>
      <c r="AK572" s="244"/>
      <c r="AL572" s="154"/>
      <c r="AM572" s="242"/>
      <c r="AN572" s="154"/>
      <c r="AO572" s="154"/>
      <c r="AP572" s="154"/>
    </row>
    <row r="573">
      <c r="A573" s="154"/>
      <c r="B573" s="154"/>
      <c r="C573" s="242"/>
      <c r="D573" s="154"/>
      <c r="E573" s="154"/>
      <c r="F573" s="154"/>
      <c r="G573" s="242"/>
      <c r="H573" s="154"/>
      <c r="I573" s="154"/>
      <c r="J573" s="154"/>
      <c r="K573" s="242"/>
      <c r="L573" s="154"/>
      <c r="M573" s="154"/>
      <c r="N573" s="154"/>
      <c r="O573" s="242"/>
      <c r="P573" s="154"/>
      <c r="Q573" s="154"/>
      <c r="R573" s="154"/>
      <c r="S573" s="243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  <c r="AF573" s="154"/>
      <c r="AG573" s="244"/>
      <c r="AH573" s="154"/>
      <c r="AI573" s="154"/>
      <c r="AJ573" s="154"/>
      <c r="AK573" s="244"/>
      <c r="AL573" s="154"/>
      <c r="AM573" s="242"/>
      <c r="AN573" s="154"/>
      <c r="AO573" s="154"/>
      <c r="AP573" s="154"/>
    </row>
    <row r="574">
      <c r="A574" s="154"/>
      <c r="B574" s="154"/>
      <c r="C574" s="242"/>
      <c r="D574" s="154"/>
      <c r="E574" s="154"/>
      <c r="F574" s="154"/>
      <c r="G574" s="242"/>
      <c r="H574" s="154"/>
      <c r="I574" s="154"/>
      <c r="J574" s="154"/>
      <c r="K574" s="242"/>
      <c r="L574" s="154"/>
      <c r="M574" s="154"/>
      <c r="N574" s="154"/>
      <c r="O574" s="242"/>
      <c r="P574" s="154"/>
      <c r="Q574" s="154"/>
      <c r="R574" s="154"/>
      <c r="S574" s="243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  <c r="AF574" s="154"/>
      <c r="AG574" s="244"/>
      <c r="AH574" s="154"/>
      <c r="AI574" s="154"/>
      <c r="AJ574" s="154"/>
      <c r="AK574" s="244"/>
      <c r="AL574" s="154"/>
      <c r="AM574" s="242"/>
      <c r="AN574" s="154"/>
      <c r="AO574" s="154"/>
      <c r="AP574" s="154"/>
    </row>
    <row r="575">
      <c r="A575" s="154"/>
      <c r="B575" s="154"/>
      <c r="C575" s="242"/>
      <c r="D575" s="154"/>
      <c r="E575" s="154"/>
      <c r="F575" s="154"/>
      <c r="G575" s="242"/>
      <c r="H575" s="154"/>
      <c r="I575" s="154"/>
      <c r="J575" s="154"/>
      <c r="K575" s="242"/>
      <c r="L575" s="154"/>
      <c r="M575" s="154"/>
      <c r="N575" s="154"/>
      <c r="O575" s="242"/>
      <c r="P575" s="154"/>
      <c r="Q575" s="154"/>
      <c r="R575" s="154"/>
      <c r="S575" s="243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  <c r="AF575" s="154"/>
      <c r="AG575" s="244"/>
      <c r="AH575" s="154"/>
      <c r="AI575" s="154"/>
      <c r="AJ575" s="154"/>
      <c r="AK575" s="244"/>
      <c r="AL575" s="154"/>
      <c r="AM575" s="242"/>
      <c r="AN575" s="154"/>
      <c r="AO575" s="154"/>
      <c r="AP575" s="154"/>
    </row>
    <row r="576">
      <c r="A576" s="154"/>
      <c r="B576" s="154"/>
      <c r="C576" s="242"/>
      <c r="D576" s="154"/>
      <c r="E576" s="154"/>
      <c r="F576" s="154"/>
      <c r="G576" s="242"/>
      <c r="H576" s="154"/>
      <c r="I576" s="154"/>
      <c r="J576" s="154"/>
      <c r="K576" s="242"/>
      <c r="L576" s="154"/>
      <c r="M576" s="154"/>
      <c r="N576" s="154"/>
      <c r="O576" s="242"/>
      <c r="P576" s="154"/>
      <c r="Q576" s="154"/>
      <c r="R576" s="154"/>
      <c r="S576" s="243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  <c r="AF576" s="154"/>
      <c r="AG576" s="244"/>
      <c r="AH576" s="154"/>
      <c r="AI576" s="154"/>
      <c r="AJ576" s="154"/>
      <c r="AK576" s="244"/>
      <c r="AL576" s="154"/>
      <c r="AM576" s="242"/>
      <c r="AN576" s="154"/>
      <c r="AO576" s="154"/>
      <c r="AP576" s="154"/>
    </row>
    <row r="577">
      <c r="A577" s="154"/>
      <c r="B577" s="154"/>
      <c r="C577" s="242"/>
      <c r="D577" s="154"/>
      <c r="E577" s="154"/>
      <c r="F577" s="154"/>
      <c r="G577" s="242"/>
      <c r="H577" s="154"/>
      <c r="I577" s="154"/>
      <c r="J577" s="154"/>
      <c r="K577" s="242"/>
      <c r="L577" s="154"/>
      <c r="M577" s="154"/>
      <c r="N577" s="154"/>
      <c r="O577" s="242"/>
      <c r="P577" s="154"/>
      <c r="Q577" s="154"/>
      <c r="R577" s="154"/>
      <c r="S577" s="243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  <c r="AF577" s="154"/>
      <c r="AG577" s="244"/>
      <c r="AH577" s="154"/>
      <c r="AI577" s="154"/>
      <c r="AJ577" s="154"/>
      <c r="AK577" s="244"/>
      <c r="AL577" s="154"/>
      <c r="AM577" s="242"/>
      <c r="AN577" s="154"/>
      <c r="AO577" s="154"/>
      <c r="AP577" s="154"/>
    </row>
    <row r="578">
      <c r="A578" s="154"/>
      <c r="B578" s="154"/>
      <c r="C578" s="242"/>
      <c r="D578" s="154"/>
      <c r="E578" s="154"/>
      <c r="F578" s="154"/>
      <c r="G578" s="242"/>
      <c r="H578" s="154"/>
      <c r="I578" s="154"/>
      <c r="J578" s="154"/>
      <c r="K578" s="242"/>
      <c r="L578" s="154"/>
      <c r="M578" s="154"/>
      <c r="N578" s="154"/>
      <c r="O578" s="242"/>
      <c r="P578" s="154"/>
      <c r="Q578" s="154"/>
      <c r="R578" s="154"/>
      <c r="S578" s="243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  <c r="AF578" s="154"/>
      <c r="AG578" s="244"/>
      <c r="AH578" s="154"/>
      <c r="AI578" s="154"/>
      <c r="AJ578" s="154"/>
      <c r="AK578" s="244"/>
      <c r="AL578" s="154"/>
      <c r="AM578" s="242"/>
      <c r="AN578" s="154"/>
      <c r="AO578" s="154"/>
      <c r="AP578" s="154"/>
    </row>
    <row r="579">
      <c r="A579" s="154"/>
      <c r="B579" s="154"/>
      <c r="C579" s="242"/>
      <c r="D579" s="154"/>
      <c r="E579" s="154"/>
      <c r="F579" s="154"/>
      <c r="G579" s="242"/>
      <c r="H579" s="154"/>
      <c r="I579" s="154"/>
      <c r="J579" s="154"/>
      <c r="K579" s="242"/>
      <c r="L579" s="154"/>
      <c r="M579" s="154"/>
      <c r="N579" s="154"/>
      <c r="O579" s="242"/>
      <c r="P579" s="154"/>
      <c r="Q579" s="154"/>
      <c r="R579" s="154"/>
      <c r="S579" s="243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  <c r="AF579" s="154"/>
      <c r="AG579" s="244"/>
      <c r="AH579" s="154"/>
      <c r="AI579" s="154"/>
      <c r="AJ579" s="154"/>
      <c r="AK579" s="244"/>
      <c r="AL579" s="154"/>
      <c r="AM579" s="242"/>
      <c r="AN579" s="154"/>
      <c r="AO579" s="154"/>
      <c r="AP579" s="154"/>
    </row>
    <row r="580">
      <c r="A580" s="154"/>
      <c r="B580" s="154"/>
      <c r="C580" s="242"/>
      <c r="D580" s="154"/>
      <c r="E580" s="154"/>
      <c r="F580" s="154"/>
      <c r="G580" s="242"/>
      <c r="H580" s="154"/>
      <c r="I580" s="154"/>
      <c r="J580" s="154"/>
      <c r="K580" s="242"/>
      <c r="L580" s="154"/>
      <c r="M580" s="154"/>
      <c r="N580" s="154"/>
      <c r="O580" s="242"/>
      <c r="P580" s="154"/>
      <c r="Q580" s="154"/>
      <c r="R580" s="154"/>
      <c r="S580" s="243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  <c r="AF580" s="154"/>
      <c r="AG580" s="244"/>
      <c r="AH580" s="154"/>
      <c r="AI580" s="154"/>
      <c r="AJ580" s="154"/>
      <c r="AK580" s="244"/>
      <c r="AL580" s="154"/>
      <c r="AM580" s="242"/>
      <c r="AN580" s="154"/>
      <c r="AO580" s="154"/>
      <c r="AP580" s="154"/>
    </row>
    <row r="581">
      <c r="A581" s="154"/>
      <c r="B581" s="154"/>
      <c r="C581" s="242"/>
      <c r="D581" s="154"/>
      <c r="E581" s="154"/>
      <c r="F581" s="154"/>
      <c r="G581" s="242"/>
      <c r="H581" s="154"/>
      <c r="I581" s="154"/>
      <c r="J581" s="154"/>
      <c r="K581" s="242"/>
      <c r="L581" s="154"/>
      <c r="M581" s="154"/>
      <c r="N581" s="154"/>
      <c r="O581" s="242"/>
      <c r="P581" s="154"/>
      <c r="Q581" s="154"/>
      <c r="R581" s="154"/>
      <c r="S581" s="243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  <c r="AF581" s="154"/>
      <c r="AG581" s="244"/>
      <c r="AH581" s="154"/>
      <c r="AI581" s="154"/>
      <c r="AJ581" s="154"/>
      <c r="AK581" s="244"/>
      <c r="AL581" s="154"/>
      <c r="AM581" s="242"/>
      <c r="AN581" s="154"/>
      <c r="AO581" s="154"/>
      <c r="AP581" s="154"/>
    </row>
    <row r="582">
      <c r="A582" s="154"/>
      <c r="B582" s="154"/>
      <c r="C582" s="242"/>
      <c r="D582" s="154"/>
      <c r="E582" s="154"/>
      <c r="F582" s="154"/>
      <c r="G582" s="242"/>
      <c r="H582" s="154"/>
      <c r="I582" s="154"/>
      <c r="J582" s="154"/>
      <c r="K582" s="242"/>
      <c r="L582" s="154"/>
      <c r="M582" s="154"/>
      <c r="N582" s="154"/>
      <c r="O582" s="242"/>
      <c r="P582" s="154"/>
      <c r="Q582" s="154"/>
      <c r="R582" s="154"/>
      <c r="S582" s="243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  <c r="AF582" s="154"/>
      <c r="AG582" s="244"/>
      <c r="AH582" s="154"/>
      <c r="AI582" s="154"/>
      <c r="AJ582" s="154"/>
      <c r="AK582" s="244"/>
      <c r="AL582" s="154"/>
      <c r="AM582" s="242"/>
      <c r="AN582" s="154"/>
      <c r="AO582" s="154"/>
      <c r="AP582" s="154"/>
    </row>
    <row r="583">
      <c r="A583" s="154"/>
      <c r="B583" s="154"/>
      <c r="C583" s="242"/>
      <c r="D583" s="154"/>
      <c r="E583" s="154"/>
      <c r="F583" s="154"/>
      <c r="G583" s="242"/>
      <c r="H583" s="154"/>
      <c r="I583" s="154"/>
      <c r="J583" s="154"/>
      <c r="K583" s="242"/>
      <c r="L583" s="154"/>
      <c r="M583" s="154"/>
      <c r="N583" s="154"/>
      <c r="O583" s="242"/>
      <c r="P583" s="154"/>
      <c r="Q583" s="154"/>
      <c r="R583" s="154"/>
      <c r="S583" s="243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  <c r="AF583" s="154"/>
      <c r="AG583" s="244"/>
      <c r="AH583" s="154"/>
      <c r="AI583" s="154"/>
      <c r="AJ583" s="154"/>
      <c r="AK583" s="244"/>
      <c r="AL583" s="154"/>
      <c r="AM583" s="242"/>
      <c r="AN583" s="154"/>
      <c r="AO583" s="154"/>
      <c r="AP583" s="154"/>
    </row>
    <row r="584">
      <c r="A584" s="154"/>
      <c r="B584" s="154"/>
      <c r="C584" s="242"/>
      <c r="D584" s="154"/>
      <c r="E584" s="154"/>
      <c r="F584" s="154"/>
      <c r="G584" s="242"/>
      <c r="H584" s="154"/>
      <c r="I584" s="154"/>
      <c r="J584" s="154"/>
      <c r="K584" s="242"/>
      <c r="L584" s="154"/>
      <c r="M584" s="154"/>
      <c r="N584" s="154"/>
      <c r="O584" s="242"/>
      <c r="P584" s="154"/>
      <c r="Q584" s="154"/>
      <c r="R584" s="154"/>
      <c r="S584" s="243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  <c r="AF584" s="154"/>
      <c r="AG584" s="244"/>
      <c r="AH584" s="154"/>
      <c r="AI584" s="154"/>
      <c r="AJ584" s="154"/>
      <c r="AK584" s="244"/>
      <c r="AL584" s="154"/>
      <c r="AM584" s="242"/>
      <c r="AN584" s="154"/>
      <c r="AO584" s="154"/>
      <c r="AP584" s="154"/>
    </row>
    <row r="585">
      <c r="A585" s="154"/>
      <c r="B585" s="154"/>
      <c r="C585" s="242"/>
      <c r="D585" s="154"/>
      <c r="E585" s="154"/>
      <c r="F585" s="154"/>
      <c r="G585" s="242"/>
      <c r="H585" s="154"/>
      <c r="I585" s="154"/>
      <c r="J585" s="154"/>
      <c r="K585" s="242"/>
      <c r="L585" s="154"/>
      <c r="M585" s="154"/>
      <c r="N585" s="154"/>
      <c r="O585" s="242"/>
      <c r="P585" s="154"/>
      <c r="Q585" s="154"/>
      <c r="R585" s="154"/>
      <c r="S585" s="243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  <c r="AF585" s="154"/>
      <c r="AG585" s="244"/>
      <c r="AH585" s="154"/>
      <c r="AI585" s="154"/>
      <c r="AJ585" s="154"/>
      <c r="AK585" s="244"/>
      <c r="AL585" s="154"/>
      <c r="AM585" s="242"/>
      <c r="AN585" s="154"/>
      <c r="AO585" s="154"/>
      <c r="AP585" s="154"/>
    </row>
    <row r="586">
      <c r="A586" s="154"/>
      <c r="B586" s="154"/>
      <c r="C586" s="242"/>
      <c r="D586" s="154"/>
      <c r="E586" s="154"/>
      <c r="F586" s="154"/>
      <c r="G586" s="242"/>
      <c r="H586" s="154"/>
      <c r="I586" s="154"/>
      <c r="J586" s="154"/>
      <c r="K586" s="242"/>
      <c r="L586" s="154"/>
      <c r="M586" s="154"/>
      <c r="N586" s="154"/>
      <c r="O586" s="242"/>
      <c r="P586" s="154"/>
      <c r="Q586" s="154"/>
      <c r="R586" s="154"/>
      <c r="S586" s="243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  <c r="AF586" s="154"/>
      <c r="AG586" s="244"/>
      <c r="AH586" s="154"/>
      <c r="AI586" s="154"/>
      <c r="AJ586" s="154"/>
      <c r="AK586" s="244"/>
      <c r="AL586" s="154"/>
      <c r="AM586" s="242"/>
      <c r="AN586" s="154"/>
      <c r="AO586" s="154"/>
      <c r="AP586" s="154"/>
    </row>
    <row r="587">
      <c r="A587" s="154"/>
      <c r="B587" s="154"/>
      <c r="C587" s="242"/>
      <c r="D587" s="154"/>
      <c r="E587" s="154"/>
      <c r="F587" s="154"/>
      <c r="G587" s="242"/>
      <c r="H587" s="154"/>
      <c r="I587" s="154"/>
      <c r="J587" s="154"/>
      <c r="K587" s="242"/>
      <c r="L587" s="154"/>
      <c r="M587" s="154"/>
      <c r="N587" s="154"/>
      <c r="O587" s="242"/>
      <c r="P587" s="154"/>
      <c r="Q587" s="154"/>
      <c r="R587" s="154"/>
      <c r="S587" s="243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  <c r="AF587" s="154"/>
      <c r="AG587" s="244"/>
      <c r="AH587" s="154"/>
      <c r="AI587" s="154"/>
      <c r="AJ587" s="154"/>
      <c r="AK587" s="244"/>
      <c r="AL587" s="154"/>
      <c r="AM587" s="242"/>
      <c r="AN587" s="154"/>
      <c r="AO587" s="154"/>
      <c r="AP587" s="154"/>
    </row>
    <row r="588">
      <c r="A588" s="154"/>
      <c r="B588" s="154"/>
      <c r="C588" s="242"/>
      <c r="D588" s="154"/>
      <c r="E588" s="154"/>
      <c r="F588" s="154"/>
      <c r="G588" s="242"/>
      <c r="H588" s="154"/>
      <c r="I588" s="154"/>
      <c r="J588" s="154"/>
      <c r="K588" s="242"/>
      <c r="L588" s="154"/>
      <c r="M588" s="154"/>
      <c r="N588" s="154"/>
      <c r="O588" s="242"/>
      <c r="P588" s="154"/>
      <c r="Q588" s="154"/>
      <c r="R588" s="154"/>
      <c r="S588" s="243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  <c r="AF588" s="154"/>
      <c r="AG588" s="244"/>
      <c r="AH588" s="154"/>
      <c r="AI588" s="154"/>
      <c r="AJ588" s="154"/>
      <c r="AK588" s="244"/>
      <c r="AL588" s="154"/>
      <c r="AM588" s="242"/>
      <c r="AN588" s="154"/>
      <c r="AO588" s="154"/>
      <c r="AP588" s="154"/>
    </row>
    <row r="589">
      <c r="A589" s="154"/>
      <c r="B589" s="154"/>
      <c r="C589" s="242"/>
      <c r="D589" s="154"/>
      <c r="E589" s="154"/>
      <c r="F589" s="154"/>
      <c r="G589" s="242"/>
      <c r="H589" s="154"/>
      <c r="I589" s="154"/>
      <c r="J589" s="154"/>
      <c r="K589" s="242"/>
      <c r="L589" s="154"/>
      <c r="M589" s="154"/>
      <c r="N589" s="154"/>
      <c r="O589" s="242"/>
      <c r="P589" s="154"/>
      <c r="Q589" s="154"/>
      <c r="R589" s="154"/>
      <c r="S589" s="243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  <c r="AF589" s="154"/>
      <c r="AG589" s="244"/>
      <c r="AH589" s="154"/>
      <c r="AI589" s="154"/>
      <c r="AJ589" s="154"/>
      <c r="AK589" s="244"/>
      <c r="AL589" s="154"/>
      <c r="AM589" s="242"/>
      <c r="AN589" s="154"/>
      <c r="AO589" s="154"/>
      <c r="AP589" s="154"/>
    </row>
    <row r="590">
      <c r="A590" s="154"/>
      <c r="B590" s="154"/>
      <c r="C590" s="242"/>
      <c r="D590" s="154"/>
      <c r="E590" s="154"/>
      <c r="F590" s="154"/>
      <c r="G590" s="242"/>
      <c r="H590" s="154"/>
      <c r="I590" s="154"/>
      <c r="J590" s="154"/>
      <c r="K590" s="242"/>
      <c r="L590" s="154"/>
      <c r="M590" s="154"/>
      <c r="N590" s="154"/>
      <c r="O590" s="242"/>
      <c r="P590" s="154"/>
      <c r="Q590" s="154"/>
      <c r="R590" s="154"/>
      <c r="S590" s="243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  <c r="AF590" s="154"/>
      <c r="AG590" s="244"/>
      <c r="AH590" s="154"/>
      <c r="AI590" s="154"/>
      <c r="AJ590" s="154"/>
      <c r="AK590" s="244"/>
      <c r="AL590" s="154"/>
      <c r="AM590" s="242"/>
      <c r="AN590" s="154"/>
      <c r="AO590" s="154"/>
      <c r="AP590" s="154"/>
    </row>
    <row r="591">
      <c r="A591" s="154"/>
      <c r="B591" s="154"/>
      <c r="C591" s="242"/>
      <c r="D591" s="154"/>
      <c r="E591" s="154"/>
      <c r="F591" s="154"/>
      <c r="G591" s="242"/>
      <c r="H591" s="154"/>
      <c r="I591" s="154"/>
      <c r="J591" s="154"/>
      <c r="K591" s="242"/>
      <c r="L591" s="154"/>
      <c r="M591" s="154"/>
      <c r="N591" s="154"/>
      <c r="O591" s="242"/>
      <c r="P591" s="154"/>
      <c r="Q591" s="154"/>
      <c r="R591" s="154"/>
      <c r="S591" s="243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  <c r="AF591" s="154"/>
      <c r="AG591" s="244"/>
      <c r="AH591" s="154"/>
      <c r="AI591" s="154"/>
      <c r="AJ591" s="154"/>
      <c r="AK591" s="244"/>
      <c r="AL591" s="154"/>
      <c r="AM591" s="242"/>
      <c r="AN591" s="154"/>
      <c r="AO591" s="154"/>
      <c r="AP591" s="154"/>
    </row>
    <row r="592">
      <c r="A592" s="154"/>
      <c r="B592" s="154"/>
      <c r="C592" s="242"/>
      <c r="D592" s="154"/>
      <c r="E592" s="154"/>
      <c r="F592" s="154"/>
      <c r="G592" s="242"/>
      <c r="H592" s="154"/>
      <c r="I592" s="154"/>
      <c r="J592" s="154"/>
      <c r="K592" s="242"/>
      <c r="L592" s="154"/>
      <c r="M592" s="154"/>
      <c r="N592" s="154"/>
      <c r="O592" s="242"/>
      <c r="P592" s="154"/>
      <c r="Q592" s="154"/>
      <c r="R592" s="154"/>
      <c r="S592" s="243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  <c r="AF592" s="154"/>
      <c r="AG592" s="244"/>
      <c r="AH592" s="154"/>
      <c r="AI592" s="154"/>
      <c r="AJ592" s="154"/>
      <c r="AK592" s="244"/>
      <c r="AL592" s="154"/>
      <c r="AM592" s="242"/>
      <c r="AN592" s="154"/>
      <c r="AO592" s="154"/>
      <c r="AP592" s="154"/>
    </row>
    <row r="593">
      <c r="A593" s="154"/>
      <c r="B593" s="154"/>
      <c r="C593" s="242"/>
      <c r="D593" s="154"/>
      <c r="E593" s="154"/>
      <c r="F593" s="154"/>
      <c r="G593" s="242"/>
      <c r="H593" s="154"/>
      <c r="I593" s="154"/>
      <c r="J593" s="154"/>
      <c r="K593" s="242"/>
      <c r="L593" s="154"/>
      <c r="M593" s="154"/>
      <c r="N593" s="154"/>
      <c r="O593" s="242"/>
      <c r="P593" s="154"/>
      <c r="Q593" s="154"/>
      <c r="R593" s="154"/>
      <c r="S593" s="243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  <c r="AF593" s="154"/>
      <c r="AG593" s="244"/>
      <c r="AH593" s="154"/>
      <c r="AI593" s="154"/>
      <c r="AJ593" s="154"/>
      <c r="AK593" s="244"/>
      <c r="AL593" s="154"/>
      <c r="AM593" s="242"/>
      <c r="AN593" s="154"/>
      <c r="AO593" s="154"/>
      <c r="AP593" s="154"/>
    </row>
    <row r="594">
      <c r="A594" s="154"/>
      <c r="B594" s="154"/>
      <c r="C594" s="242"/>
      <c r="D594" s="154"/>
      <c r="E594" s="154"/>
      <c r="F594" s="154"/>
      <c r="G594" s="242"/>
      <c r="H594" s="154"/>
      <c r="I594" s="154"/>
      <c r="J594" s="154"/>
      <c r="K594" s="242"/>
      <c r="L594" s="154"/>
      <c r="M594" s="154"/>
      <c r="N594" s="154"/>
      <c r="O594" s="242"/>
      <c r="P594" s="154"/>
      <c r="Q594" s="154"/>
      <c r="R594" s="154"/>
      <c r="S594" s="243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  <c r="AF594" s="154"/>
      <c r="AG594" s="244"/>
      <c r="AH594" s="154"/>
      <c r="AI594" s="154"/>
      <c r="AJ594" s="154"/>
      <c r="AK594" s="244"/>
      <c r="AL594" s="154"/>
      <c r="AM594" s="242"/>
      <c r="AN594" s="154"/>
      <c r="AO594" s="154"/>
      <c r="AP594" s="154"/>
    </row>
    <row r="595">
      <c r="A595" s="154"/>
      <c r="B595" s="154"/>
      <c r="C595" s="242"/>
      <c r="D595" s="154"/>
      <c r="E595" s="154"/>
      <c r="F595" s="154"/>
      <c r="G595" s="242"/>
      <c r="H595" s="154"/>
      <c r="I595" s="154"/>
      <c r="J595" s="154"/>
      <c r="K595" s="242"/>
      <c r="L595" s="154"/>
      <c r="M595" s="154"/>
      <c r="N595" s="154"/>
      <c r="O595" s="242"/>
      <c r="P595" s="154"/>
      <c r="Q595" s="154"/>
      <c r="R595" s="154"/>
      <c r="S595" s="243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  <c r="AF595" s="154"/>
      <c r="AG595" s="244"/>
      <c r="AH595" s="154"/>
      <c r="AI595" s="154"/>
      <c r="AJ595" s="154"/>
      <c r="AK595" s="244"/>
      <c r="AL595" s="154"/>
      <c r="AM595" s="242"/>
      <c r="AN595" s="154"/>
      <c r="AO595" s="154"/>
      <c r="AP595" s="154"/>
    </row>
    <row r="596">
      <c r="A596" s="154"/>
      <c r="B596" s="154"/>
      <c r="C596" s="242"/>
      <c r="D596" s="154"/>
      <c r="E596" s="154"/>
      <c r="F596" s="154"/>
      <c r="G596" s="242"/>
      <c r="H596" s="154"/>
      <c r="I596" s="154"/>
      <c r="J596" s="154"/>
      <c r="K596" s="242"/>
      <c r="L596" s="154"/>
      <c r="M596" s="154"/>
      <c r="N596" s="154"/>
      <c r="O596" s="242"/>
      <c r="P596" s="154"/>
      <c r="Q596" s="154"/>
      <c r="R596" s="154"/>
      <c r="S596" s="243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  <c r="AF596" s="154"/>
      <c r="AG596" s="244"/>
      <c r="AH596" s="154"/>
      <c r="AI596" s="154"/>
      <c r="AJ596" s="154"/>
      <c r="AK596" s="244"/>
      <c r="AL596" s="154"/>
      <c r="AM596" s="242"/>
      <c r="AN596" s="154"/>
      <c r="AO596" s="154"/>
      <c r="AP596" s="154"/>
    </row>
    <row r="597">
      <c r="A597" s="154"/>
      <c r="B597" s="154"/>
      <c r="C597" s="242"/>
      <c r="D597" s="154"/>
      <c r="E597" s="154"/>
      <c r="F597" s="154"/>
      <c r="G597" s="242"/>
      <c r="H597" s="154"/>
      <c r="I597" s="154"/>
      <c r="J597" s="154"/>
      <c r="K597" s="242"/>
      <c r="L597" s="154"/>
      <c r="M597" s="154"/>
      <c r="N597" s="154"/>
      <c r="O597" s="242"/>
      <c r="P597" s="154"/>
      <c r="Q597" s="154"/>
      <c r="R597" s="154"/>
      <c r="S597" s="243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  <c r="AF597" s="154"/>
      <c r="AG597" s="244"/>
      <c r="AH597" s="154"/>
      <c r="AI597" s="154"/>
      <c r="AJ597" s="154"/>
      <c r="AK597" s="244"/>
      <c r="AL597" s="154"/>
      <c r="AM597" s="242"/>
      <c r="AN597" s="154"/>
      <c r="AO597" s="154"/>
      <c r="AP597" s="154"/>
    </row>
    <row r="598">
      <c r="A598" s="154"/>
      <c r="B598" s="154"/>
      <c r="C598" s="242"/>
      <c r="D598" s="154"/>
      <c r="E598" s="154"/>
      <c r="F598" s="154"/>
      <c r="G598" s="242"/>
      <c r="H598" s="154"/>
      <c r="I598" s="154"/>
      <c r="J598" s="154"/>
      <c r="K598" s="242"/>
      <c r="L598" s="154"/>
      <c r="M598" s="154"/>
      <c r="N598" s="154"/>
      <c r="O598" s="242"/>
      <c r="P598" s="154"/>
      <c r="Q598" s="154"/>
      <c r="R598" s="154"/>
      <c r="S598" s="243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  <c r="AF598" s="154"/>
      <c r="AG598" s="244"/>
      <c r="AH598" s="154"/>
      <c r="AI598" s="154"/>
      <c r="AJ598" s="154"/>
      <c r="AK598" s="244"/>
      <c r="AL598" s="154"/>
      <c r="AM598" s="242"/>
      <c r="AN598" s="154"/>
      <c r="AO598" s="154"/>
      <c r="AP598" s="154"/>
    </row>
    <row r="599">
      <c r="A599" s="154"/>
      <c r="B599" s="154"/>
      <c r="C599" s="242"/>
      <c r="D599" s="154"/>
      <c r="E599" s="154"/>
      <c r="F599" s="154"/>
      <c r="G599" s="242"/>
      <c r="H599" s="154"/>
      <c r="I599" s="154"/>
      <c r="J599" s="154"/>
      <c r="K599" s="242"/>
      <c r="L599" s="154"/>
      <c r="M599" s="154"/>
      <c r="N599" s="154"/>
      <c r="O599" s="242"/>
      <c r="P599" s="154"/>
      <c r="Q599" s="154"/>
      <c r="R599" s="154"/>
      <c r="S599" s="243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  <c r="AF599" s="154"/>
      <c r="AG599" s="244"/>
      <c r="AH599" s="154"/>
      <c r="AI599" s="154"/>
      <c r="AJ599" s="154"/>
      <c r="AK599" s="244"/>
      <c r="AL599" s="154"/>
      <c r="AM599" s="242"/>
      <c r="AN599" s="154"/>
      <c r="AO599" s="154"/>
      <c r="AP599" s="154"/>
    </row>
    <row r="600">
      <c r="A600" s="154"/>
      <c r="B600" s="154"/>
      <c r="C600" s="242"/>
      <c r="D600" s="154"/>
      <c r="E600" s="154"/>
      <c r="F600" s="154"/>
      <c r="G600" s="242"/>
      <c r="H600" s="154"/>
      <c r="I600" s="154"/>
      <c r="J600" s="154"/>
      <c r="K600" s="242"/>
      <c r="L600" s="154"/>
      <c r="M600" s="154"/>
      <c r="N600" s="154"/>
      <c r="O600" s="242"/>
      <c r="P600" s="154"/>
      <c r="Q600" s="154"/>
      <c r="R600" s="154"/>
      <c r="S600" s="243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  <c r="AF600" s="154"/>
      <c r="AG600" s="244"/>
      <c r="AH600" s="154"/>
      <c r="AI600" s="154"/>
      <c r="AJ600" s="154"/>
      <c r="AK600" s="244"/>
      <c r="AL600" s="154"/>
      <c r="AM600" s="242"/>
      <c r="AN600" s="154"/>
      <c r="AO600" s="154"/>
      <c r="AP600" s="154"/>
    </row>
    <row r="601">
      <c r="A601" s="154"/>
      <c r="B601" s="154"/>
      <c r="C601" s="242"/>
      <c r="D601" s="154"/>
      <c r="E601" s="154"/>
      <c r="F601" s="154"/>
      <c r="G601" s="242"/>
      <c r="H601" s="154"/>
      <c r="I601" s="154"/>
      <c r="J601" s="154"/>
      <c r="K601" s="242"/>
      <c r="L601" s="154"/>
      <c r="M601" s="154"/>
      <c r="N601" s="154"/>
      <c r="O601" s="242"/>
      <c r="P601" s="154"/>
      <c r="Q601" s="154"/>
      <c r="R601" s="154"/>
      <c r="S601" s="243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  <c r="AF601" s="154"/>
      <c r="AG601" s="244"/>
      <c r="AH601" s="154"/>
      <c r="AI601" s="154"/>
      <c r="AJ601" s="154"/>
      <c r="AK601" s="244"/>
      <c r="AL601" s="154"/>
      <c r="AM601" s="242"/>
      <c r="AN601" s="154"/>
      <c r="AO601" s="154"/>
      <c r="AP601" s="154"/>
    </row>
    <row r="602">
      <c r="A602" s="154"/>
      <c r="B602" s="154"/>
      <c r="C602" s="242"/>
      <c r="D602" s="154"/>
      <c r="E602" s="154"/>
      <c r="F602" s="154"/>
      <c r="G602" s="242"/>
      <c r="H602" s="154"/>
      <c r="I602" s="154"/>
      <c r="J602" s="154"/>
      <c r="K602" s="242"/>
      <c r="L602" s="154"/>
      <c r="M602" s="154"/>
      <c r="N602" s="154"/>
      <c r="O602" s="242"/>
      <c r="P602" s="154"/>
      <c r="Q602" s="154"/>
      <c r="R602" s="154"/>
      <c r="S602" s="243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  <c r="AF602" s="154"/>
      <c r="AG602" s="244"/>
      <c r="AH602" s="154"/>
      <c r="AI602" s="154"/>
      <c r="AJ602" s="154"/>
      <c r="AK602" s="244"/>
      <c r="AL602" s="154"/>
      <c r="AM602" s="242"/>
      <c r="AN602" s="154"/>
      <c r="AO602" s="154"/>
      <c r="AP602" s="154"/>
    </row>
    <row r="603">
      <c r="A603" s="154"/>
      <c r="B603" s="154"/>
      <c r="C603" s="242"/>
      <c r="D603" s="154"/>
      <c r="E603" s="154"/>
      <c r="F603" s="154"/>
      <c r="G603" s="242"/>
      <c r="H603" s="154"/>
      <c r="I603" s="154"/>
      <c r="J603" s="154"/>
      <c r="K603" s="242"/>
      <c r="L603" s="154"/>
      <c r="M603" s="154"/>
      <c r="N603" s="154"/>
      <c r="O603" s="242"/>
      <c r="P603" s="154"/>
      <c r="Q603" s="154"/>
      <c r="R603" s="154"/>
      <c r="S603" s="243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  <c r="AF603" s="154"/>
      <c r="AG603" s="244"/>
      <c r="AH603" s="154"/>
      <c r="AI603" s="154"/>
      <c r="AJ603" s="154"/>
      <c r="AK603" s="244"/>
      <c r="AL603" s="154"/>
      <c r="AM603" s="242"/>
      <c r="AN603" s="154"/>
      <c r="AO603" s="154"/>
      <c r="AP603" s="154"/>
    </row>
    <row r="604">
      <c r="A604" s="154"/>
      <c r="B604" s="154"/>
      <c r="C604" s="242"/>
      <c r="D604" s="154"/>
      <c r="E604" s="154"/>
      <c r="F604" s="154"/>
      <c r="G604" s="242"/>
      <c r="H604" s="154"/>
      <c r="I604" s="154"/>
      <c r="J604" s="154"/>
      <c r="K604" s="242"/>
      <c r="L604" s="154"/>
      <c r="M604" s="154"/>
      <c r="N604" s="154"/>
      <c r="O604" s="242"/>
      <c r="P604" s="154"/>
      <c r="Q604" s="154"/>
      <c r="R604" s="154"/>
      <c r="S604" s="243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  <c r="AF604" s="154"/>
      <c r="AG604" s="244"/>
      <c r="AH604" s="154"/>
      <c r="AI604" s="154"/>
      <c r="AJ604" s="154"/>
      <c r="AK604" s="244"/>
      <c r="AL604" s="154"/>
      <c r="AM604" s="242"/>
      <c r="AN604" s="154"/>
      <c r="AO604" s="154"/>
      <c r="AP604" s="154"/>
    </row>
    <row r="605">
      <c r="A605" s="154"/>
      <c r="B605" s="154"/>
      <c r="C605" s="242"/>
      <c r="D605" s="154"/>
      <c r="E605" s="154"/>
      <c r="F605" s="154"/>
      <c r="G605" s="242"/>
      <c r="H605" s="154"/>
      <c r="I605" s="154"/>
      <c r="J605" s="154"/>
      <c r="K605" s="242"/>
      <c r="L605" s="154"/>
      <c r="M605" s="154"/>
      <c r="N605" s="154"/>
      <c r="O605" s="242"/>
      <c r="P605" s="154"/>
      <c r="Q605" s="154"/>
      <c r="R605" s="154"/>
      <c r="S605" s="243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  <c r="AF605" s="154"/>
      <c r="AG605" s="244"/>
      <c r="AH605" s="154"/>
      <c r="AI605" s="154"/>
      <c r="AJ605" s="154"/>
      <c r="AK605" s="244"/>
      <c r="AL605" s="154"/>
      <c r="AM605" s="242"/>
      <c r="AN605" s="154"/>
      <c r="AO605" s="154"/>
      <c r="AP605" s="154"/>
    </row>
    <row r="606">
      <c r="A606" s="154"/>
      <c r="B606" s="154"/>
      <c r="C606" s="242"/>
      <c r="D606" s="154"/>
      <c r="E606" s="154"/>
      <c r="F606" s="154"/>
      <c r="G606" s="242"/>
      <c r="H606" s="154"/>
      <c r="I606" s="154"/>
      <c r="J606" s="154"/>
      <c r="K606" s="242"/>
      <c r="L606" s="154"/>
      <c r="M606" s="154"/>
      <c r="N606" s="154"/>
      <c r="O606" s="242"/>
      <c r="P606" s="154"/>
      <c r="Q606" s="154"/>
      <c r="R606" s="154"/>
      <c r="S606" s="243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  <c r="AF606" s="154"/>
      <c r="AG606" s="244"/>
      <c r="AH606" s="154"/>
      <c r="AI606" s="154"/>
      <c r="AJ606" s="154"/>
      <c r="AK606" s="244"/>
      <c r="AL606" s="154"/>
      <c r="AM606" s="242"/>
      <c r="AN606" s="154"/>
      <c r="AO606" s="154"/>
      <c r="AP606" s="154"/>
    </row>
    <row r="607">
      <c r="A607" s="154"/>
      <c r="B607" s="154"/>
      <c r="C607" s="242"/>
      <c r="D607" s="154"/>
      <c r="E607" s="154"/>
      <c r="F607" s="154"/>
      <c r="G607" s="242"/>
      <c r="H607" s="154"/>
      <c r="I607" s="154"/>
      <c r="J607" s="154"/>
      <c r="K607" s="242"/>
      <c r="L607" s="154"/>
      <c r="M607" s="154"/>
      <c r="N607" s="154"/>
      <c r="O607" s="242"/>
      <c r="P607" s="154"/>
      <c r="Q607" s="154"/>
      <c r="R607" s="154"/>
      <c r="S607" s="243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  <c r="AF607" s="154"/>
      <c r="AG607" s="244"/>
      <c r="AH607" s="154"/>
      <c r="AI607" s="154"/>
      <c r="AJ607" s="154"/>
      <c r="AK607" s="244"/>
      <c r="AL607" s="154"/>
      <c r="AM607" s="242"/>
      <c r="AN607" s="154"/>
      <c r="AO607" s="154"/>
      <c r="AP607" s="154"/>
    </row>
    <row r="608">
      <c r="A608" s="154"/>
      <c r="B608" s="154"/>
      <c r="C608" s="242"/>
      <c r="D608" s="154"/>
      <c r="E608" s="154"/>
      <c r="F608" s="154"/>
      <c r="G608" s="242"/>
      <c r="H608" s="154"/>
      <c r="I608" s="154"/>
      <c r="J608" s="154"/>
      <c r="K608" s="242"/>
      <c r="L608" s="154"/>
      <c r="M608" s="154"/>
      <c r="N608" s="154"/>
      <c r="O608" s="242"/>
      <c r="P608" s="154"/>
      <c r="Q608" s="154"/>
      <c r="R608" s="154"/>
      <c r="S608" s="243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  <c r="AF608" s="154"/>
      <c r="AG608" s="244"/>
      <c r="AH608" s="154"/>
      <c r="AI608" s="154"/>
      <c r="AJ608" s="154"/>
      <c r="AK608" s="244"/>
      <c r="AL608" s="154"/>
      <c r="AM608" s="242"/>
      <c r="AN608" s="154"/>
      <c r="AO608" s="154"/>
      <c r="AP608" s="154"/>
    </row>
    <row r="609">
      <c r="A609" s="154"/>
      <c r="B609" s="154"/>
      <c r="C609" s="242"/>
      <c r="D609" s="154"/>
      <c r="E609" s="154"/>
      <c r="F609" s="154"/>
      <c r="G609" s="242"/>
      <c r="H609" s="154"/>
      <c r="I609" s="154"/>
      <c r="J609" s="154"/>
      <c r="K609" s="242"/>
      <c r="L609" s="154"/>
      <c r="M609" s="154"/>
      <c r="N609" s="154"/>
      <c r="O609" s="242"/>
      <c r="P609" s="154"/>
      <c r="Q609" s="154"/>
      <c r="R609" s="154"/>
      <c r="S609" s="243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  <c r="AF609" s="154"/>
      <c r="AG609" s="244"/>
      <c r="AH609" s="154"/>
      <c r="AI609" s="154"/>
      <c r="AJ609" s="154"/>
      <c r="AK609" s="244"/>
      <c r="AL609" s="154"/>
      <c r="AM609" s="242"/>
      <c r="AN609" s="154"/>
      <c r="AO609" s="154"/>
      <c r="AP609" s="154"/>
    </row>
    <row r="610">
      <c r="A610" s="154"/>
      <c r="B610" s="154"/>
      <c r="C610" s="242"/>
      <c r="D610" s="154"/>
      <c r="E610" s="154"/>
      <c r="F610" s="154"/>
      <c r="G610" s="242"/>
      <c r="H610" s="154"/>
      <c r="I610" s="154"/>
      <c r="J610" s="154"/>
      <c r="K610" s="242"/>
      <c r="L610" s="154"/>
      <c r="M610" s="154"/>
      <c r="N610" s="154"/>
      <c r="O610" s="242"/>
      <c r="P610" s="154"/>
      <c r="Q610" s="154"/>
      <c r="R610" s="154"/>
      <c r="S610" s="243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  <c r="AF610" s="154"/>
      <c r="AG610" s="244"/>
      <c r="AH610" s="154"/>
      <c r="AI610" s="154"/>
      <c r="AJ610" s="154"/>
      <c r="AK610" s="244"/>
      <c r="AL610" s="154"/>
      <c r="AM610" s="242"/>
      <c r="AN610" s="154"/>
      <c r="AO610" s="154"/>
      <c r="AP610" s="154"/>
    </row>
    <row r="611">
      <c r="A611" s="154"/>
      <c r="B611" s="154"/>
      <c r="C611" s="242"/>
      <c r="D611" s="154"/>
      <c r="E611" s="154"/>
      <c r="F611" s="154"/>
      <c r="G611" s="242"/>
      <c r="H611" s="154"/>
      <c r="I611" s="154"/>
      <c r="J611" s="154"/>
      <c r="K611" s="242"/>
      <c r="L611" s="154"/>
      <c r="M611" s="154"/>
      <c r="N611" s="154"/>
      <c r="O611" s="242"/>
      <c r="P611" s="154"/>
      <c r="Q611" s="154"/>
      <c r="R611" s="154"/>
      <c r="S611" s="243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  <c r="AF611" s="154"/>
      <c r="AG611" s="244"/>
      <c r="AH611" s="154"/>
      <c r="AI611" s="154"/>
      <c r="AJ611" s="154"/>
      <c r="AK611" s="244"/>
      <c r="AL611" s="154"/>
      <c r="AM611" s="242"/>
      <c r="AN611" s="154"/>
      <c r="AO611" s="154"/>
      <c r="AP611" s="154"/>
    </row>
    <row r="612">
      <c r="A612" s="154"/>
      <c r="B612" s="154"/>
      <c r="C612" s="242"/>
      <c r="D612" s="154"/>
      <c r="E612" s="154"/>
      <c r="F612" s="154"/>
      <c r="G612" s="242"/>
      <c r="H612" s="154"/>
      <c r="I612" s="154"/>
      <c r="J612" s="154"/>
      <c r="K612" s="242"/>
      <c r="L612" s="154"/>
      <c r="M612" s="154"/>
      <c r="N612" s="154"/>
      <c r="O612" s="242"/>
      <c r="P612" s="154"/>
      <c r="Q612" s="154"/>
      <c r="R612" s="154"/>
      <c r="S612" s="243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  <c r="AF612" s="154"/>
      <c r="AG612" s="244"/>
      <c r="AH612" s="154"/>
      <c r="AI612" s="154"/>
      <c r="AJ612" s="154"/>
      <c r="AK612" s="244"/>
      <c r="AL612" s="154"/>
      <c r="AM612" s="242"/>
      <c r="AN612" s="154"/>
      <c r="AO612" s="154"/>
      <c r="AP612" s="154"/>
    </row>
    <row r="613">
      <c r="A613" s="154"/>
      <c r="B613" s="154"/>
      <c r="C613" s="242"/>
      <c r="D613" s="154"/>
      <c r="E613" s="154"/>
      <c r="F613" s="154"/>
      <c r="G613" s="242"/>
      <c r="H613" s="154"/>
      <c r="I613" s="154"/>
      <c r="J613" s="154"/>
      <c r="K613" s="242"/>
      <c r="L613" s="154"/>
      <c r="M613" s="154"/>
      <c r="N613" s="154"/>
      <c r="O613" s="242"/>
      <c r="P613" s="154"/>
      <c r="Q613" s="154"/>
      <c r="R613" s="154"/>
      <c r="S613" s="243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  <c r="AF613" s="154"/>
      <c r="AG613" s="244"/>
      <c r="AH613" s="154"/>
      <c r="AI613" s="154"/>
      <c r="AJ613" s="154"/>
      <c r="AK613" s="244"/>
      <c r="AL613" s="154"/>
      <c r="AM613" s="242"/>
      <c r="AN613" s="154"/>
      <c r="AO613" s="154"/>
      <c r="AP613" s="154"/>
    </row>
    <row r="614">
      <c r="A614" s="154"/>
      <c r="B614" s="154"/>
      <c r="C614" s="242"/>
      <c r="D614" s="154"/>
      <c r="E614" s="154"/>
      <c r="F614" s="154"/>
      <c r="G614" s="242"/>
      <c r="H614" s="154"/>
      <c r="I614" s="154"/>
      <c r="J614" s="154"/>
      <c r="K614" s="242"/>
      <c r="L614" s="154"/>
      <c r="M614" s="154"/>
      <c r="N614" s="154"/>
      <c r="O614" s="242"/>
      <c r="P614" s="154"/>
      <c r="Q614" s="154"/>
      <c r="R614" s="154"/>
      <c r="S614" s="243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  <c r="AF614" s="154"/>
      <c r="AG614" s="244"/>
      <c r="AH614" s="154"/>
      <c r="AI614" s="154"/>
      <c r="AJ614" s="154"/>
      <c r="AK614" s="244"/>
      <c r="AL614" s="154"/>
      <c r="AM614" s="242"/>
      <c r="AN614" s="154"/>
      <c r="AO614" s="154"/>
      <c r="AP614" s="154"/>
    </row>
    <row r="615">
      <c r="A615" s="154"/>
      <c r="B615" s="154"/>
      <c r="C615" s="242"/>
      <c r="D615" s="154"/>
      <c r="E615" s="154"/>
      <c r="F615" s="154"/>
      <c r="G615" s="242"/>
      <c r="H615" s="154"/>
      <c r="I615" s="154"/>
      <c r="J615" s="154"/>
      <c r="K615" s="242"/>
      <c r="L615" s="154"/>
      <c r="M615" s="154"/>
      <c r="N615" s="154"/>
      <c r="O615" s="242"/>
      <c r="P615" s="154"/>
      <c r="Q615" s="154"/>
      <c r="R615" s="154"/>
      <c r="S615" s="243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  <c r="AF615" s="154"/>
      <c r="AG615" s="244"/>
      <c r="AH615" s="154"/>
      <c r="AI615" s="154"/>
      <c r="AJ615" s="154"/>
      <c r="AK615" s="244"/>
      <c r="AL615" s="154"/>
      <c r="AM615" s="242"/>
      <c r="AN615" s="154"/>
      <c r="AO615" s="154"/>
      <c r="AP615" s="154"/>
    </row>
    <row r="616">
      <c r="A616" s="154"/>
      <c r="B616" s="154"/>
      <c r="C616" s="242"/>
      <c r="D616" s="154"/>
      <c r="E616" s="154"/>
      <c r="F616" s="154"/>
      <c r="G616" s="242"/>
      <c r="H616" s="154"/>
      <c r="I616" s="154"/>
      <c r="J616" s="154"/>
      <c r="K616" s="242"/>
      <c r="L616" s="154"/>
      <c r="M616" s="154"/>
      <c r="N616" s="154"/>
      <c r="O616" s="242"/>
      <c r="P616" s="154"/>
      <c r="Q616" s="154"/>
      <c r="R616" s="154"/>
      <c r="S616" s="243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  <c r="AF616" s="154"/>
      <c r="AG616" s="244"/>
      <c r="AH616" s="154"/>
      <c r="AI616" s="154"/>
      <c r="AJ616" s="154"/>
      <c r="AK616" s="244"/>
      <c r="AL616" s="154"/>
      <c r="AM616" s="242"/>
      <c r="AN616" s="154"/>
      <c r="AO616" s="154"/>
      <c r="AP616" s="154"/>
    </row>
    <row r="617">
      <c r="A617" s="154"/>
      <c r="B617" s="154"/>
      <c r="C617" s="242"/>
      <c r="D617" s="154"/>
      <c r="E617" s="154"/>
      <c r="F617" s="154"/>
      <c r="G617" s="242"/>
      <c r="H617" s="154"/>
      <c r="I617" s="154"/>
      <c r="J617" s="154"/>
      <c r="K617" s="242"/>
      <c r="L617" s="154"/>
      <c r="M617" s="154"/>
      <c r="N617" s="154"/>
      <c r="O617" s="242"/>
      <c r="P617" s="154"/>
      <c r="Q617" s="154"/>
      <c r="R617" s="154"/>
      <c r="S617" s="243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  <c r="AF617" s="154"/>
      <c r="AG617" s="244"/>
      <c r="AH617" s="154"/>
      <c r="AI617" s="154"/>
      <c r="AJ617" s="154"/>
      <c r="AK617" s="244"/>
      <c r="AL617" s="154"/>
      <c r="AM617" s="242"/>
      <c r="AN617" s="154"/>
      <c r="AO617" s="154"/>
      <c r="AP617" s="154"/>
    </row>
    <row r="618">
      <c r="A618" s="154"/>
      <c r="B618" s="154"/>
      <c r="C618" s="242"/>
      <c r="D618" s="154"/>
      <c r="E618" s="154"/>
      <c r="F618" s="154"/>
      <c r="G618" s="242"/>
      <c r="H618" s="154"/>
      <c r="I618" s="154"/>
      <c r="J618" s="154"/>
      <c r="K618" s="242"/>
      <c r="L618" s="154"/>
      <c r="M618" s="154"/>
      <c r="N618" s="154"/>
      <c r="O618" s="242"/>
      <c r="P618" s="154"/>
      <c r="Q618" s="154"/>
      <c r="R618" s="154"/>
      <c r="S618" s="243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  <c r="AF618" s="154"/>
      <c r="AG618" s="244"/>
      <c r="AH618" s="154"/>
      <c r="AI618" s="154"/>
      <c r="AJ618" s="154"/>
      <c r="AK618" s="244"/>
      <c r="AL618" s="154"/>
      <c r="AM618" s="242"/>
      <c r="AN618" s="154"/>
      <c r="AO618" s="154"/>
      <c r="AP618" s="154"/>
    </row>
    <row r="619">
      <c r="A619" s="154"/>
      <c r="B619" s="154"/>
      <c r="C619" s="242"/>
      <c r="D619" s="154"/>
      <c r="E619" s="154"/>
      <c r="F619" s="154"/>
      <c r="G619" s="242"/>
      <c r="H619" s="154"/>
      <c r="I619" s="154"/>
      <c r="J619" s="154"/>
      <c r="K619" s="242"/>
      <c r="L619" s="154"/>
      <c r="M619" s="154"/>
      <c r="N619" s="154"/>
      <c r="O619" s="242"/>
      <c r="P619" s="154"/>
      <c r="Q619" s="154"/>
      <c r="R619" s="154"/>
      <c r="S619" s="243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  <c r="AF619" s="154"/>
      <c r="AG619" s="244"/>
      <c r="AH619" s="154"/>
      <c r="AI619" s="154"/>
      <c r="AJ619" s="154"/>
      <c r="AK619" s="244"/>
      <c r="AL619" s="154"/>
      <c r="AM619" s="242"/>
      <c r="AN619" s="154"/>
      <c r="AO619" s="154"/>
      <c r="AP619" s="154"/>
    </row>
    <row r="620">
      <c r="A620" s="154"/>
      <c r="B620" s="154"/>
      <c r="C620" s="242"/>
      <c r="D620" s="154"/>
      <c r="E620" s="154"/>
      <c r="F620" s="154"/>
      <c r="G620" s="242"/>
      <c r="H620" s="154"/>
      <c r="I620" s="154"/>
      <c r="J620" s="154"/>
      <c r="K620" s="242"/>
      <c r="L620" s="154"/>
      <c r="M620" s="154"/>
      <c r="N620" s="154"/>
      <c r="O620" s="242"/>
      <c r="P620" s="154"/>
      <c r="Q620" s="154"/>
      <c r="R620" s="154"/>
      <c r="S620" s="243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  <c r="AF620" s="154"/>
      <c r="AG620" s="244"/>
      <c r="AH620" s="154"/>
      <c r="AI620" s="154"/>
      <c r="AJ620" s="154"/>
      <c r="AK620" s="244"/>
      <c r="AL620" s="154"/>
      <c r="AM620" s="242"/>
      <c r="AN620" s="154"/>
      <c r="AO620" s="154"/>
      <c r="AP620" s="154"/>
    </row>
    <row r="621">
      <c r="A621" s="154"/>
      <c r="B621" s="154"/>
      <c r="C621" s="242"/>
      <c r="D621" s="154"/>
      <c r="E621" s="154"/>
      <c r="F621" s="154"/>
      <c r="G621" s="242"/>
      <c r="H621" s="154"/>
      <c r="I621" s="154"/>
      <c r="J621" s="154"/>
      <c r="K621" s="242"/>
      <c r="L621" s="154"/>
      <c r="M621" s="154"/>
      <c r="N621" s="154"/>
      <c r="O621" s="242"/>
      <c r="P621" s="154"/>
      <c r="Q621" s="154"/>
      <c r="R621" s="154"/>
      <c r="S621" s="243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  <c r="AF621" s="154"/>
      <c r="AG621" s="244"/>
      <c r="AH621" s="154"/>
      <c r="AI621" s="154"/>
      <c r="AJ621" s="154"/>
      <c r="AK621" s="244"/>
      <c r="AL621" s="154"/>
      <c r="AM621" s="242"/>
      <c r="AN621" s="154"/>
      <c r="AO621" s="154"/>
      <c r="AP621" s="154"/>
    </row>
    <row r="622">
      <c r="A622" s="154"/>
      <c r="B622" s="154"/>
      <c r="C622" s="242"/>
      <c r="D622" s="154"/>
      <c r="E622" s="154"/>
      <c r="F622" s="154"/>
      <c r="G622" s="242"/>
      <c r="H622" s="154"/>
      <c r="I622" s="154"/>
      <c r="J622" s="154"/>
      <c r="K622" s="242"/>
      <c r="L622" s="154"/>
      <c r="M622" s="154"/>
      <c r="N622" s="154"/>
      <c r="O622" s="242"/>
      <c r="P622" s="154"/>
      <c r="Q622" s="154"/>
      <c r="R622" s="154"/>
      <c r="S622" s="243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  <c r="AF622" s="154"/>
      <c r="AG622" s="244"/>
      <c r="AH622" s="154"/>
      <c r="AI622" s="154"/>
      <c r="AJ622" s="154"/>
      <c r="AK622" s="244"/>
      <c r="AL622" s="154"/>
      <c r="AM622" s="242"/>
      <c r="AN622" s="154"/>
      <c r="AO622" s="154"/>
      <c r="AP622" s="154"/>
    </row>
    <row r="623">
      <c r="A623" s="154"/>
      <c r="B623" s="154"/>
      <c r="C623" s="242"/>
      <c r="D623" s="154"/>
      <c r="E623" s="154"/>
      <c r="F623" s="154"/>
      <c r="G623" s="242"/>
      <c r="H623" s="154"/>
      <c r="I623" s="154"/>
      <c r="J623" s="154"/>
      <c r="K623" s="242"/>
      <c r="L623" s="154"/>
      <c r="M623" s="154"/>
      <c r="N623" s="154"/>
      <c r="O623" s="154"/>
      <c r="P623" s="154"/>
      <c r="Q623" s="154"/>
      <c r="R623" s="154"/>
      <c r="S623" s="243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  <c r="AF623" s="154"/>
      <c r="AG623" s="244"/>
      <c r="AH623" s="154"/>
      <c r="AI623" s="154"/>
      <c r="AJ623" s="154"/>
      <c r="AK623" s="244"/>
      <c r="AL623" s="154"/>
      <c r="AM623" s="242"/>
      <c r="AN623" s="154"/>
      <c r="AO623" s="154"/>
      <c r="AP623" s="154"/>
    </row>
    <row r="624">
      <c r="A624" s="154"/>
      <c r="B624" s="154"/>
      <c r="C624" s="242"/>
      <c r="D624" s="154"/>
      <c r="E624" s="154"/>
      <c r="F624" s="154"/>
      <c r="G624" s="242"/>
      <c r="H624" s="154"/>
      <c r="I624" s="154"/>
      <c r="J624" s="154"/>
      <c r="K624" s="242"/>
      <c r="L624" s="154"/>
      <c r="M624" s="154"/>
      <c r="N624" s="154"/>
      <c r="O624" s="154"/>
      <c r="P624" s="154"/>
      <c r="Q624" s="154"/>
      <c r="R624" s="154"/>
      <c r="S624" s="243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  <c r="AF624" s="154"/>
      <c r="AG624" s="244"/>
      <c r="AH624" s="154"/>
      <c r="AI624" s="154"/>
      <c r="AJ624" s="154"/>
      <c r="AK624" s="244"/>
      <c r="AL624" s="154"/>
      <c r="AM624" s="242"/>
      <c r="AN624" s="154"/>
      <c r="AO624" s="154"/>
      <c r="AP624" s="154"/>
    </row>
    <row r="625">
      <c r="A625" s="154"/>
      <c r="B625" s="154"/>
      <c r="C625" s="242"/>
      <c r="D625" s="154"/>
      <c r="E625" s="154"/>
      <c r="F625" s="154"/>
      <c r="G625" s="242"/>
      <c r="H625" s="154"/>
      <c r="I625" s="154"/>
      <c r="J625" s="154"/>
      <c r="K625" s="242"/>
      <c r="L625" s="154"/>
      <c r="M625" s="154"/>
      <c r="N625" s="154"/>
      <c r="O625" s="154"/>
      <c r="P625" s="154"/>
      <c r="Q625" s="154"/>
      <c r="R625" s="154"/>
      <c r="S625" s="243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  <c r="AF625" s="154"/>
      <c r="AG625" s="244"/>
      <c r="AH625" s="154"/>
      <c r="AI625" s="154"/>
      <c r="AJ625" s="154"/>
      <c r="AK625" s="244"/>
      <c r="AL625" s="154"/>
      <c r="AM625" s="242"/>
      <c r="AN625" s="154"/>
      <c r="AO625" s="154"/>
      <c r="AP625" s="154"/>
    </row>
    <row r="626">
      <c r="A626" s="154"/>
      <c r="B626" s="154"/>
      <c r="C626" s="242"/>
      <c r="D626" s="154"/>
      <c r="E626" s="154"/>
      <c r="F626" s="154"/>
      <c r="G626" s="242"/>
      <c r="H626" s="154"/>
      <c r="I626" s="154"/>
      <c r="J626" s="154"/>
      <c r="K626" s="242"/>
      <c r="L626" s="154"/>
      <c r="M626" s="154"/>
      <c r="N626" s="154"/>
      <c r="O626" s="154"/>
      <c r="P626" s="154"/>
      <c r="Q626" s="154"/>
      <c r="R626" s="154"/>
      <c r="S626" s="243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  <c r="AF626" s="154"/>
      <c r="AG626" s="244"/>
      <c r="AH626" s="154"/>
      <c r="AI626" s="154"/>
      <c r="AJ626" s="154"/>
      <c r="AK626" s="244"/>
      <c r="AL626" s="154"/>
      <c r="AM626" s="242"/>
      <c r="AN626" s="154"/>
      <c r="AO626" s="154"/>
      <c r="AP626" s="154"/>
    </row>
    <row r="627">
      <c r="A627" s="154"/>
      <c r="B627" s="154"/>
      <c r="C627" s="242"/>
      <c r="D627" s="154"/>
      <c r="E627" s="154"/>
      <c r="F627" s="154"/>
      <c r="G627" s="242"/>
      <c r="H627" s="154"/>
      <c r="I627" s="154"/>
      <c r="J627" s="154"/>
      <c r="K627" s="242"/>
      <c r="L627" s="154"/>
      <c r="M627" s="154"/>
      <c r="N627" s="154"/>
      <c r="O627" s="154"/>
      <c r="P627" s="154"/>
      <c r="Q627" s="154"/>
      <c r="R627" s="154"/>
      <c r="S627" s="243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  <c r="AF627" s="154"/>
      <c r="AG627" s="244"/>
      <c r="AH627" s="154"/>
      <c r="AI627" s="154"/>
      <c r="AJ627" s="154"/>
      <c r="AK627" s="244"/>
      <c r="AL627" s="154"/>
      <c r="AM627" s="242"/>
      <c r="AN627" s="154"/>
      <c r="AO627" s="154"/>
      <c r="AP627" s="154"/>
    </row>
    <row r="628">
      <c r="A628" s="154"/>
      <c r="B628" s="154"/>
      <c r="C628" s="242"/>
      <c r="D628" s="154"/>
      <c r="E628" s="154"/>
      <c r="F628" s="154"/>
      <c r="G628" s="242"/>
      <c r="H628" s="154"/>
      <c r="I628" s="154"/>
      <c r="J628" s="154"/>
      <c r="K628" s="242"/>
      <c r="L628" s="154"/>
      <c r="M628" s="154"/>
      <c r="N628" s="154"/>
      <c r="O628" s="154"/>
      <c r="P628" s="154"/>
      <c r="Q628" s="154"/>
      <c r="R628" s="154"/>
      <c r="S628" s="243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  <c r="AF628" s="154"/>
      <c r="AG628" s="244"/>
      <c r="AH628" s="154"/>
      <c r="AI628" s="154"/>
      <c r="AJ628" s="154"/>
      <c r="AK628" s="244"/>
      <c r="AL628" s="154"/>
      <c r="AM628" s="242"/>
      <c r="AN628" s="154"/>
      <c r="AO628" s="154"/>
      <c r="AP628" s="154"/>
    </row>
    <row r="629">
      <c r="A629" s="154"/>
      <c r="B629" s="154"/>
      <c r="C629" s="242"/>
      <c r="D629" s="154"/>
      <c r="E629" s="154"/>
      <c r="F629" s="154"/>
      <c r="G629" s="242"/>
      <c r="H629" s="154"/>
      <c r="I629" s="154"/>
      <c r="J629" s="154"/>
      <c r="K629" s="242"/>
      <c r="L629" s="154"/>
      <c r="M629" s="154"/>
      <c r="N629" s="154"/>
      <c r="O629" s="154"/>
      <c r="P629" s="154"/>
      <c r="Q629" s="154"/>
      <c r="R629" s="154"/>
      <c r="S629" s="243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  <c r="AF629" s="154"/>
      <c r="AG629" s="244"/>
      <c r="AH629" s="154"/>
      <c r="AI629" s="154"/>
      <c r="AJ629" s="154"/>
      <c r="AK629" s="244"/>
      <c r="AL629" s="154"/>
      <c r="AM629" s="242"/>
      <c r="AN629" s="154"/>
      <c r="AO629" s="154"/>
      <c r="AP629" s="154"/>
    </row>
    <row r="630">
      <c r="A630" s="154"/>
      <c r="B630" s="154"/>
      <c r="C630" s="242"/>
      <c r="D630" s="154"/>
      <c r="E630" s="154"/>
      <c r="F630" s="154"/>
      <c r="G630" s="242"/>
      <c r="H630" s="154"/>
      <c r="I630" s="154"/>
      <c r="J630" s="154"/>
      <c r="K630" s="242"/>
      <c r="L630" s="154"/>
      <c r="M630" s="154"/>
      <c r="N630" s="154"/>
      <c r="O630" s="154"/>
      <c r="P630" s="154"/>
      <c r="Q630" s="154"/>
      <c r="R630" s="154"/>
      <c r="S630" s="243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  <c r="AF630" s="154"/>
      <c r="AG630" s="244"/>
      <c r="AH630" s="154"/>
      <c r="AI630" s="154"/>
      <c r="AJ630" s="154"/>
      <c r="AK630" s="244"/>
      <c r="AL630" s="154"/>
      <c r="AM630" s="242"/>
      <c r="AN630" s="154"/>
      <c r="AO630" s="154"/>
      <c r="AP630" s="154"/>
    </row>
    <row r="631">
      <c r="A631" s="154"/>
      <c r="B631" s="154"/>
      <c r="C631" s="242"/>
      <c r="D631" s="154"/>
      <c r="E631" s="154"/>
      <c r="F631" s="154"/>
      <c r="G631" s="242"/>
      <c r="H631" s="154"/>
      <c r="I631" s="154"/>
      <c r="J631" s="154"/>
      <c r="K631" s="242"/>
      <c r="L631" s="154"/>
      <c r="M631" s="154"/>
      <c r="N631" s="154"/>
      <c r="O631" s="154"/>
      <c r="P631" s="154"/>
      <c r="Q631" s="154"/>
      <c r="R631" s="154"/>
      <c r="S631" s="243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  <c r="AF631" s="154"/>
      <c r="AG631" s="244"/>
      <c r="AH631" s="154"/>
      <c r="AI631" s="154"/>
      <c r="AJ631" s="154"/>
      <c r="AK631" s="244"/>
      <c r="AL631" s="154"/>
      <c r="AM631" s="242"/>
      <c r="AN631" s="154"/>
      <c r="AO631" s="154"/>
      <c r="AP631" s="154"/>
    </row>
    <row r="632">
      <c r="A632" s="154"/>
      <c r="B632" s="154"/>
      <c r="C632" s="242"/>
      <c r="D632" s="154"/>
      <c r="E632" s="154"/>
      <c r="F632" s="154"/>
      <c r="G632" s="242"/>
      <c r="H632" s="154"/>
      <c r="I632" s="154"/>
      <c r="J632" s="154"/>
      <c r="K632" s="242"/>
      <c r="L632" s="154"/>
      <c r="M632" s="154"/>
      <c r="N632" s="154"/>
      <c r="O632" s="154"/>
      <c r="P632" s="154"/>
      <c r="Q632" s="154"/>
      <c r="R632" s="154"/>
      <c r="S632" s="243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  <c r="AF632" s="154"/>
      <c r="AG632" s="244"/>
      <c r="AH632" s="154"/>
      <c r="AI632" s="154"/>
      <c r="AJ632" s="154"/>
      <c r="AK632" s="244"/>
      <c r="AL632" s="154"/>
      <c r="AM632" s="242"/>
      <c r="AN632" s="154"/>
      <c r="AO632" s="154"/>
      <c r="AP632" s="154"/>
    </row>
    <row r="633">
      <c r="A633" s="154"/>
      <c r="B633" s="154"/>
      <c r="C633" s="242"/>
      <c r="D633" s="154"/>
      <c r="E633" s="154"/>
      <c r="F633" s="154"/>
      <c r="G633" s="242"/>
      <c r="H633" s="154"/>
      <c r="I633" s="154"/>
      <c r="J633" s="154"/>
      <c r="K633" s="242"/>
      <c r="L633" s="154"/>
      <c r="M633" s="154"/>
      <c r="N633" s="154"/>
      <c r="O633" s="154"/>
      <c r="P633" s="154"/>
      <c r="Q633" s="154"/>
      <c r="R633" s="154"/>
      <c r="S633" s="243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  <c r="AF633" s="154"/>
      <c r="AG633" s="244"/>
      <c r="AH633" s="154"/>
      <c r="AI633" s="154"/>
      <c r="AJ633" s="154"/>
      <c r="AK633" s="244"/>
      <c r="AL633" s="154"/>
      <c r="AM633" s="242"/>
      <c r="AN633" s="154"/>
      <c r="AO633" s="154"/>
      <c r="AP633" s="154"/>
    </row>
    <row r="634">
      <c r="A634" s="154"/>
      <c r="B634" s="154"/>
      <c r="C634" s="242"/>
      <c r="D634" s="154"/>
      <c r="E634" s="154"/>
      <c r="F634" s="154"/>
      <c r="G634" s="242"/>
      <c r="H634" s="154"/>
      <c r="I634" s="154"/>
      <c r="J634" s="154"/>
      <c r="K634" s="242"/>
      <c r="L634" s="154"/>
      <c r="M634" s="154"/>
      <c r="N634" s="154"/>
      <c r="O634" s="154"/>
      <c r="P634" s="154"/>
      <c r="Q634" s="154"/>
      <c r="R634" s="154"/>
      <c r="S634" s="243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  <c r="AF634" s="154"/>
      <c r="AG634" s="244"/>
      <c r="AH634" s="154"/>
      <c r="AI634" s="154"/>
      <c r="AJ634" s="154"/>
      <c r="AK634" s="244"/>
      <c r="AL634" s="154"/>
      <c r="AM634" s="242"/>
      <c r="AN634" s="154"/>
      <c r="AO634" s="154"/>
      <c r="AP634" s="154"/>
    </row>
    <row r="635">
      <c r="A635" s="154"/>
      <c r="B635" s="154"/>
      <c r="C635" s="242"/>
      <c r="D635" s="154"/>
      <c r="E635" s="154"/>
      <c r="F635" s="154"/>
      <c r="G635" s="242"/>
      <c r="H635" s="154"/>
      <c r="I635" s="154"/>
      <c r="J635" s="154"/>
      <c r="K635" s="242"/>
      <c r="L635" s="154"/>
      <c r="M635" s="154"/>
      <c r="N635" s="154"/>
      <c r="O635" s="154"/>
      <c r="P635" s="154"/>
      <c r="Q635" s="154"/>
      <c r="R635" s="154"/>
      <c r="S635" s="243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  <c r="AF635" s="154"/>
      <c r="AG635" s="244"/>
      <c r="AH635" s="154"/>
      <c r="AI635" s="154"/>
      <c r="AJ635" s="154"/>
      <c r="AK635" s="244"/>
      <c r="AL635" s="154"/>
      <c r="AM635" s="242"/>
      <c r="AN635" s="154"/>
      <c r="AO635" s="154"/>
      <c r="AP635" s="154"/>
    </row>
    <row r="636">
      <c r="A636" s="154"/>
      <c r="B636" s="154"/>
      <c r="C636" s="242"/>
      <c r="D636" s="154"/>
      <c r="E636" s="154"/>
      <c r="F636" s="154"/>
      <c r="G636" s="242"/>
      <c r="H636" s="154"/>
      <c r="I636" s="154"/>
      <c r="J636" s="154"/>
      <c r="K636" s="242"/>
      <c r="L636" s="154"/>
      <c r="M636" s="154"/>
      <c r="N636" s="154"/>
      <c r="O636" s="154"/>
      <c r="P636" s="154"/>
      <c r="Q636" s="154"/>
      <c r="R636" s="154"/>
      <c r="S636" s="243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  <c r="AF636" s="154"/>
      <c r="AG636" s="244"/>
      <c r="AH636" s="154"/>
      <c r="AI636" s="154"/>
      <c r="AJ636" s="154"/>
      <c r="AK636" s="244"/>
      <c r="AL636" s="154"/>
      <c r="AM636" s="242"/>
      <c r="AN636" s="154"/>
      <c r="AO636" s="154"/>
      <c r="AP636" s="154"/>
    </row>
    <row r="637">
      <c r="A637" s="154"/>
      <c r="B637" s="154"/>
      <c r="C637" s="242"/>
      <c r="D637" s="154"/>
      <c r="E637" s="154"/>
      <c r="F637" s="154"/>
      <c r="G637" s="242"/>
      <c r="H637" s="154"/>
      <c r="I637" s="154"/>
      <c r="J637" s="154"/>
      <c r="K637" s="242"/>
      <c r="L637" s="154"/>
      <c r="M637" s="154"/>
      <c r="N637" s="154"/>
      <c r="O637" s="154"/>
      <c r="P637" s="154"/>
      <c r="Q637" s="154"/>
      <c r="R637" s="154"/>
      <c r="S637" s="243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  <c r="AF637" s="154"/>
      <c r="AG637" s="244"/>
      <c r="AH637" s="154"/>
      <c r="AI637" s="154"/>
      <c r="AJ637" s="154"/>
      <c r="AK637" s="244"/>
      <c r="AL637" s="154"/>
      <c r="AM637" s="242"/>
      <c r="AN637" s="154"/>
      <c r="AO637" s="154"/>
      <c r="AP637" s="154"/>
    </row>
    <row r="638">
      <c r="A638" s="154"/>
      <c r="B638" s="154"/>
      <c r="C638" s="242"/>
      <c r="D638" s="154"/>
      <c r="E638" s="154"/>
      <c r="F638" s="154"/>
      <c r="G638" s="242"/>
      <c r="H638" s="154"/>
      <c r="I638" s="154"/>
      <c r="J638" s="154"/>
      <c r="K638" s="242"/>
      <c r="L638" s="154"/>
      <c r="M638" s="154"/>
      <c r="N638" s="154"/>
      <c r="O638" s="154"/>
      <c r="P638" s="154"/>
      <c r="Q638" s="154"/>
      <c r="R638" s="154"/>
      <c r="S638" s="243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  <c r="AF638" s="154"/>
      <c r="AG638" s="244"/>
      <c r="AH638" s="154"/>
      <c r="AI638" s="154"/>
      <c r="AJ638" s="154"/>
      <c r="AK638" s="244"/>
      <c r="AL638" s="154"/>
      <c r="AM638" s="242"/>
      <c r="AN638" s="154"/>
      <c r="AO638" s="154"/>
      <c r="AP638" s="154"/>
    </row>
    <row r="639">
      <c r="A639" s="154"/>
      <c r="B639" s="154"/>
      <c r="C639" s="242"/>
      <c r="D639" s="154"/>
      <c r="E639" s="154"/>
      <c r="F639" s="154"/>
      <c r="G639" s="242"/>
      <c r="H639" s="154"/>
      <c r="I639" s="154"/>
      <c r="J639" s="154"/>
      <c r="K639" s="242"/>
      <c r="L639" s="154"/>
      <c r="M639" s="154"/>
      <c r="N639" s="154"/>
      <c r="O639" s="154"/>
      <c r="P639" s="154"/>
      <c r="Q639" s="154"/>
      <c r="R639" s="154"/>
      <c r="S639" s="243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  <c r="AF639" s="154"/>
      <c r="AG639" s="244"/>
      <c r="AH639" s="154"/>
      <c r="AI639" s="154"/>
      <c r="AJ639" s="154"/>
      <c r="AK639" s="244"/>
      <c r="AL639" s="154"/>
      <c r="AM639" s="242"/>
      <c r="AN639" s="154"/>
      <c r="AO639" s="154"/>
      <c r="AP639" s="154"/>
    </row>
    <row r="640">
      <c r="A640" s="154"/>
      <c r="B640" s="154"/>
      <c r="C640" s="242"/>
      <c r="D640" s="154"/>
      <c r="E640" s="154"/>
      <c r="F640" s="154"/>
      <c r="G640" s="242"/>
      <c r="H640" s="154"/>
      <c r="I640" s="154"/>
      <c r="J640" s="154"/>
      <c r="K640" s="242"/>
      <c r="L640" s="154"/>
      <c r="M640" s="154"/>
      <c r="N640" s="154"/>
      <c r="O640" s="154"/>
      <c r="P640" s="154"/>
      <c r="Q640" s="154"/>
      <c r="R640" s="154"/>
      <c r="S640" s="243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  <c r="AF640" s="154"/>
      <c r="AG640" s="244"/>
      <c r="AH640" s="154"/>
      <c r="AI640" s="154"/>
      <c r="AJ640" s="154"/>
      <c r="AK640" s="244"/>
      <c r="AL640" s="154"/>
      <c r="AM640" s="242"/>
      <c r="AN640" s="154"/>
      <c r="AO640" s="154"/>
      <c r="AP640" s="154"/>
    </row>
    <row r="641">
      <c r="A641" s="154"/>
      <c r="B641" s="154"/>
      <c r="C641" s="242"/>
      <c r="D641" s="154"/>
      <c r="E641" s="154"/>
      <c r="F641" s="154"/>
      <c r="G641" s="242"/>
      <c r="H641" s="154"/>
      <c r="I641" s="154"/>
      <c r="J641" s="154"/>
      <c r="K641" s="242"/>
      <c r="L641" s="154"/>
      <c r="M641" s="154"/>
      <c r="N641" s="154"/>
      <c r="O641" s="154"/>
      <c r="P641" s="154"/>
      <c r="Q641" s="154"/>
      <c r="R641" s="154"/>
      <c r="S641" s="243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  <c r="AF641" s="154"/>
      <c r="AG641" s="244"/>
      <c r="AH641" s="154"/>
      <c r="AI641" s="154"/>
      <c r="AJ641" s="154"/>
      <c r="AK641" s="244"/>
      <c r="AL641" s="154"/>
      <c r="AM641" s="242"/>
      <c r="AN641" s="154"/>
      <c r="AO641" s="154"/>
      <c r="AP641" s="154"/>
    </row>
    <row r="642">
      <c r="A642" s="154"/>
      <c r="B642" s="154"/>
      <c r="C642" s="242"/>
      <c r="D642" s="154"/>
      <c r="E642" s="154"/>
      <c r="F642" s="154"/>
      <c r="G642" s="242"/>
      <c r="H642" s="154"/>
      <c r="I642" s="154"/>
      <c r="J642" s="154"/>
      <c r="K642" s="242"/>
      <c r="L642" s="154"/>
      <c r="M642" s="154"/>
      <c r="N642" s="154"/>
      <c r="O642" s="154"/>
      <c r="P642" s="154"/>
      <c r="Q642" s="154"/>
      <c r="R642" s="154"/>
      <c r="S642" s="243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  <c r="AF642" s="154"/>
      <c r="AG642" s="244"/>
      <c r="AH642" s="154"/>
      <c r="AI642" s="154"/>
      <c r="AJ642" s="154"/>
      <c r="AK642" s="244"/>
      <c r="AL642" s="154"/>
      <c r="AM642" s="242"/>
      <c r="AN642" s="154"/>
      <c r="AO642" s="154"/>
      <c r="AP642" s="154"/>
    </row>
    <row r="643">
      <c r="A643" s="154"/>
      <c r="B643" s="154"/>
      <c r="C643" s="242"/>
      <c r="D643" s="154"/>
      <c r="E643" s="154"/>
      <c r="F643" s="154"/>
      <c r="G643" s="242"/>
      <c r="H643" s="154"/>
      <c r="I643" s="154"/>
      <c r="J643" s="154"/>
      <c r="K643" s="242"/>
      <c r="L643" s="154"/>
      <c r="M643" s="154"/>
      <c r="N643" s="154"/>
      <c r="O643" s="154"/>
      <c r="P643" s="154"/>
      <c r="Q643" s="154"/>
      <c r="R643" s="154"/>
      <c r="S643" s="243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  <c r="AF643" s="154"/>
      <c r="AG643" s="244"/>
      <c r="AH643" s="154"/>
      <c r="AI643" s="154"/>
      <c r="AJ643" s="154"/>
      <c r="AK643" s="244"/>
      <c r="AL643" s="154"/>
      <c r="AM643" s="242"/>
      <c r="AN643" s="154"/>
      <c r="AO643" s="154"/>
      <c r="AP643" s="154"/>
    </row>
    <row r="644">
      <c r="A644" s="154"/>
      <c r="B644" s="154"/>
      <c r="C644" s="242"/>
      <c r="D644" s="154"/>
      <c r="E644" s="154"/>
      <c r="F644" s="154"/>
      <c r="G644" s="242"/>
      <c r="H644" s="154"/>
      <c r="I644" s="154"/>
      <c r="J644" s="154"/>
      <c r="K644" s="242"/>
      <c r="L644" s="154"/>
      <c r="M644" s="154"/>
      <c r="N644" s="154"/>
      <c r="O644" s="154"/>
      <c r="P644" s="154"/>
      <c r="Q644" s="154"/>
      <c r="R644" s="154"/>
      <c r="S644" s="243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  <c r="AF644" s="154"/>
      <c r="AG644" s="244"/>
      <c r="AH644" s="154"/>
      <c r="AI644" s="154"/>
      <c r="AJ644" s="154"/>
      <c r="AK644" s="244"/>
      <c r="AL644" s="154"/>
      <c r="AM644" s="242"/>
      <c r="AN644" s="154"/>
      <c r="AO644" s="154"/>
      <c r="AP644" s="154"/>
    </row>
    <row r="645">
      <c r="A645" s="154"/>
      <c r="B645" s="154"/>
      <c r="C645" s="242"/>
      <c r="D645" s="154"/>
      <c r="E645" s="154"/>
      <c r="F645" s="154"/>
      <c r="G645" s="242"/>
      <c r="H645" s="154"/>
      <c r="I645" s="154"/>
      <c r="J645" s="154"/>
      <c r="K645" s="242"/>
      <c r="L645" s="154"/>
      <c r="M645" s="154"/>
      <c r="N645" s="154"/>
      <c r="O645" s="154"/>
      <c r="P645" s="154"/>
      <c r="Q645" s="154"/>
      <c r="R645" s="154"/>
      <c r="S645" s="243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  <c r="AF645" s="154"/>
      <c r="AG645" s="244"/>
      <c r="AH645" s="154"/>
      <c r="AI645" s="154"/>
      <c r="AJ645" s="154"/>
      <c r="AK645" s="244"/>
      <c r="AL645" s="154"/>
      <c r="AM645" s="242"/>
      <c r="AN645" s="154"/>
      <c r="AO645" s="154"/>
      <c r="AP645" s="154"/>
    </row>
    <row r="646">
      <c r="A646" s="154"/>
      <c r="B646" s="154"/>
      <c r="C646" s="242"/>
      <c r="D646" s="154"/>
      <c r="E646" s="154"/>
      <c r="F646" s="154"/>
      <c r="G646" s="242"/>
      <c r="H646" s="154"/>
      <c r="I646" s="154"/>
      <c r="J646" s="154"/>
      <c r="K646" s="242"/>
      <c r="L646" s="154"/>
      <c r="M646" s="154"/>
      <c r="N646" s="154"/>
      <c r="O646" s="154"/>
      <c r="P646" s="154"/>
      <c r="Q646" s="154"/>
      <c r="R646" s="154"/>
      <c r="S646" s="243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  <c r="AF646" s="154"/>
      <c r="AG646" s="244"/>
      <c r="AH646" s="154"/>
      <c r="AI646" s="154"/>
      <c r="AJ646" s="154"/>
      <c r="AK646" s="244"/>
      <c r="AL646" s="154"/>
      <c r="AM646" s="242"/>
      <c r="AN646" s="154"/>
      <c r="AO646" s="154"/>
      <c r="AP646" s="154"/>
    </row>
    <row r="647">
      <c r="A647" s="154"/>
      <c r="B647" s="154"/>
      <c r="C647" s="242"/>
      <c r="D647" s="154"/>
      <c r="E647" s="154"/>
      <c r="F647" s="154"/>
      <c r="G647" s="242"/>
      <c r="H647" s="154"/>
      <c r="I647" s="154"/>
      <c r="J647" s="154"/>
      <c r="K647" s="242"/>
      <c r="L647" s="154"/>
      <c r="M647" s="154"/>
      <c r="N647" s="154"/>
      <c r="O647" s="154"/>
      <c r="P647" s="154"/>
      <c r="Q647" s="154"/>
      <c r="R647" s="154"/>
      <c r="S647" s="243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  <c r="AF647" s="154"/>
      <c r="AG647" s="244"/>
      <c r="AH647" s="154"/>
      <c r="AI647" s="154"/>
      <c r="AJ647" s="154"/>
      <c r="AK647" s="244"/>
      <c r="AL647" s="154"/>
      <c r="AM647" s="242"/>
      <c r="AN647" s="154"/>
      <c r="AO647" s="154"/>
      <c r="AP647" s="154"/>
    </row>
    <row r="648">
      <c r="A648" s="154"/>
      <c r="B648" s="154"/>
      <c r="C648" s="242"/>
      <c r="D648" s="154"/>
      <c r="E648" s="154"/>
      <c r="F648" s="154"/>
      <c r="G648" s="242"/>
      <c r="H648" s="154"/>
      <c r="I648" s="154"/>
      <c r="J648" s="154"/>
      <c r="K648" s="242"/>
      <c r="L648" s="154"/>
      <c r="M648" s="154"/>
      <c r="N648" s="154"/>
      <c r="O648" s="154"/>
      <c r="P648" s="154"/>
      <c r="Q648" s="154"/>
      <c r="R648" s="154"/>
      <c r="S648" s="243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  <c r="AF648" s="154"/>
      <c r="AG648" s="244"/>
      <c r="AH648" s="154"/>
      <c r="AI648" s="154"/>
      <c r="AJ648" s="154"/>
      <c r="AK648" s="244"/>
      <c r="AL648" s="154"/>
      <c r="AM648" s="242"/>
      <c r="AN648" s="154"/>
      <c r="AO648" s="154"/>
      <c r="AP648" s="154"/>
    </row>
    <row r="649">
      <c r="A649" s="154"/>
      <c r="B649" s="154"/>
      <c r="C649" s="242"/>
      <c r="D649" s="154"/>
      <c r="E649" s="154"/>
      <c r="F649" s="154"/>
      <c r="G649" s="242"/>
      <c r="H649" s="154"/>
      <c r="I649" s="154"/>
      <c r="J649" s="154"/>
      <c r="K649" s="242"/>
      <c r="L649" s="154"/>
      <c r="M649" s="154"/>
      <c r="N649" s="154"/>
      <c r="O649" s="154"/>
      <c r="P649" s="154"/>
      <c r="Q649" s="154"/>
      <c r="R649" s="154"/>
      <c r="S649" s="243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  <c r="AF649" s="154"/>
      <c r="AG649" s="244"/>
      <c r="AH649" s="154"/>
      <c r="AI649" s="154"/>
      <c r="AJ649" s="154"/>
      <c r="AK649" s="244"/>
      <c r="AL649" s="154"/>
      <c r="AM649" s="242"/>
      <c r="AN649" s="154"/>
      <c r="AO649" s="154"/>
      <c r="AP649" s="154"/>
    </row>
    <row r="650">
      <c r="A650" s="154"/>
      <c r="B650" s="154"/>
      <c r="C650" s="242"/>
      <c r="D650" s="154"/>
      <c r="E650" s="154"/>
      <c r="F650" s="154"/>
      <c r="G650" s="242"/>
      <c r="H650" s="154"/>
      <c r="I650" s="154"/>
      <c r="J650" s="154"/>
      <c r="K650" s="242"/>
      <c r="L650" s="154"/>
      <c r="M650" s="154"/>
      <c r="N650" s="154"/>
      <c r="O650" s="154"/>
      <c r="P650" s="154"/>
      <c r="Q650" s="154"/>
      <c r="R650" s="154"/>
      <c r="S650" s="243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  <c r="AF650" s="154"/>
      <c r="AG650" s="244"/>
      <c r="AH650" s="154"/>
      <c r="AI650" s="154"/>
      <c r="AJ650" s="154"/>
      <c r="AK650" s="244"/>
      <c r="AL650" s="154"/>
      <c r="AM650" s="242"/>
      <c r="AN650" s="154"/>
      <c r="AO650" s="154"/>
      <c r="AP650" s="154"/>
    </row>
    <row r="651">
      <c r="A651" s="154"/>
      <c r="B651" s="154"/>
      <c r="C651" s="242"/>
      <c r="D651" s="154"/>
      <c r="E651" s="154"/>
      <c r="F651" s="154"/>
      <c r="G651" s="242"/>
      <c r="H651" s="154"/>
      <c r="I651" s="154"/>
      <c r="J651" s="154"/>
      <c r="K651" s="242"/>
      <c r="L651" s="154"/>
      <c r="M651" s="154"/>
      <c r="N651" s="154"/>
      <c r="O651" s="154"/>
      <c r="P651" s="154"/>
      <c r="Q651" s="154"/>
      <c r="R651" s="154"/>
      <c r="S651" s="243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  <c r="AF651" s="154"/>
      <c r="AG651" s="244"/>
      <c r="AH651" s="154"/>
      <c r="AI651" s="154"/>
      <c r="AJ651" s="154"/>
      <c r="AK651" s="244"/>
      <c r="AL651" s="154"/>
      <c r="AM651" s="242"/>
      <c r="AN651" s="154"/>
      <c r="AO651" s="154"/>
      <c r="AP651" s="154"/>
    </row>
    <row r="652">
      <c r="A652" s="154"/>
      <c r="B652" s="154"/>
      <c r="C652" s="242"/>
      <c r="D652" s="154"/>
      <c r="E652" s="154"/>
      <c r="F652" s="154"/>
      <c r="G652" s="242"/>
      <c r="H652" s="154"/>
      <c r="I652" s="154"/>
      <c r="J652" s="154"/>
      <c r="K652" s="242"/>
      <c r="L652" s="154"/>
      <c r="M652" s="154"/>
      <c r="N652" s="154"/>
      <c r="O652" s="154"/>
      <c r="P652" s="154"/>
      <c r="Q652" s="154"/>
      <c r="R652" s="154"/>
      <c r="S652" s="243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  <c r="AF652" s="154"/>
      <c r="AG652" s="244"/>
      <c r="AH652" s="154"/>
      <c r="AI652" s="154"/>
      <c r="AJ652" s="154"/>
      <c r="AK652" s="244"/>
      <c r="AL652" s="154"/>
      <c r="AM652" s="242"/>
      <c r="AN652" s="154"/>
      <c r="AO652" s="154"/>
      <c r="AP652" s="154"/>
    </row>
    <row r="653">
      <c r="A653" s="154"/>
      <c r="B653" s="154"/>
      <c r="C653" s="242"/>
      <c r="D653" s="154"/>
      <c r="E653" s="154"/>
      <c r="F653" s="154"/>
      <c r="G653" s="242"/>
      <c r="H653" s="154"/>
      <c r="I653" s="154"/>
      <c r="J653" s="154"/>
      <c r="K653" s="242"/>
      <c r="L653" s="154"/>
      <c r="M653" s="154"/>
      <c r="N653" s="154"/>
      <c r="O653" s="154"/>
      <c r="P653" s="154"/>
      <c r="Q653" s="154"/>
      <c r="R653" s="154"/>
      <c r="S653" s="243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  <c r="AF653" s="154"/>
      <c r="AG653" s="244"/>
      <c r="AH653" s="154"/>
      <c r="AI653" s="154"/>
      <c r="AJ653" s="154"/>
      <c r="AK653" s="244"/>
      <c r="AL653" s="154"/>
      <c r="AM653" s="242"/>
      <c r="AN653" s="154"/>
      <c r="AO653" s="154"/>
      <c r="AP653" s="154"/>
    </row>
    <row r="654">
      <c r="A654" s="154"/>
      <c r="B654" s="154"/>
      <c r="C654" s="242"/>
      <c r="D654" s="154"/>
      <c r="E654" s="154"/>
      <c r="F654" s="154"/>
      <c r="G654" s="242"/>
      <c r="H654" s="154"/>
      <c r="I654" s="154"/>
      <c r="J654" s="154"/>
      <c r="K654" s="242"/>
      <c r="L654" s="154"/>
      <c r="M654" s="154"/>
      <c r="N654" s="154"/>
      <c r="O654" s="154"/>
      <c r="P654" s="154"/>
      <c r="Q654" s="154"/>
      <c r="R654" s="154"/>
      <c r="S654" s="243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  <c r="AF654" s="154"/>
      <c r="AG654" s="244"/>
      <c r="AH654" s="154"/>
      <c r="AI654" s="154"/>
      <c r="AJ654" s="154"/>
      <c r="AK654" s="244"/>
      <c r="AL654" s="154"/>
      <c r="AM654" s="242"/>
      <c r="AN654" s="154"/>
      <c r="AO654" s="154"/>
      <c r="AP654" s="154"/>
    </row>
    <row r="655">
      <c r="A655" s="154"/>
      <c r="B655" s="154"/>
      <c r="C655" s="242"/>
      <c r="D655" s="154"/>
      <c r="E655" s="154"/>
      <c r="F655" s="154"/>
      <c r="G655" s="242"/>
      <c r="H655" s="154"/>
      <c r="I655" s="154"/>
      <c r="J655" s="154"/>
      <c r="K655" s="242"/>
      <c r="L655" s="154"/>
      <c r="M655" s="154"/>
      <c r="N655" s="154"/>
      <c r="O655" s="154"/>
      <c r="P655" s="154"/>
      <c r="Q655" s="154"/>
      <c r="R655" s="154"/>
      <c r="S655" s="243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  <c r="AF655" s="154"/>
      <c r="AG655" s="244"/>
      <c r="AH655" s="154"/>
      <c r="AI655" s="154"/>
      <c r="AJ655" s="154"/>
      <c r="AK655" s="244"/>
      <c r="AL655" s="154"/>
      <c r="AM655" s="242"/>
      <c r="AN655" s="154"/>
      <c r="AO655" s="154"/>
      <c r="AP655" s="154"/>
    </row>
    <row r="656">
      <c r="A656" s="154"/>
      <c r="B656" s="154"/>
      <c r="C656" s="242"/>
      <c r="D656" s="154"/>
      <c r="E656" s="154"/>
      <c r="F656" s="154"/>
      <c r="G656" s="242"/>
      <c r="H656" s="154"/>
      <c r="I656" s="154"/>
      <c r="J656" s="154"/>
      <c r="K656" s="242"/>
      <c r="L656" s="154"/>
      <c r="M656" s="154"/>
      <c r="N656" s="154"/>
      <c r="O656" s="154"/>
      <c r="P656" s="154"/>
      <c r="Q656" s="154"/>
      <c r="R656" s="154"/>
      <c r="S656" s="243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  <c r="AF656" s="154"/>
      <c r="AG656" s="244"/>
      <c r="AH656" s="154"/>
      <c r="AI656" s="154"/>
      <c r="AJ656" s="154"/>
      <c r="AK656" s="244"/>
      <c r="AL656" s="154"/>
      <c r="AM656" s="242"/>
      <c r="AN656" s="154"/>
      <c r="AO656" s="154"/>
      <c r="AP656" s="154"/>
    </row>
    <row r="657">
      <c r="A657" s="154"/>
      <c r="B657" s="154"/>
      <c r="C657" s="242"/>
      <c r="D657" s="154"/>
      <c r="E657" s="154"/>
      <c r="F657" s="154"/>
      <c r="G657" s="242"/>
      <c r="H657" s="154"/>
      <c r="I657" s="154"/>
      <c r="J657" s="154"/>
      <c r="K657" s="242"/>
      <c r="L657" s="154"/>
      <c r="M657" s="154"/>
      <c r="N657" s="154"/>
      <c r="O657" s="154"/>
      <c r="P657" s="154"/>
      <c r="Q657" s="154"/>
      <c r="R657" s="154"/>
      <c r="S657" s="243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  <c r="AF657" s="154"/>
      <c r="AG657" s="244"/>
      <c r="AH657" s="154"/>
      <c r="AI657" s="154"/>
      <c r="AJ657" s="154"/>
      <c r="AK657" s="244"/>
      <c r="AL657" s="154"/>
      <c r="AM657" s="242"/>
      <c r="AN657" s="154"/>
      <c r="AO657" s="154"/>
      <c r="AP657" s="154"/>
    </row>
    <row r="658">
      <c r="A658" s="154"/>
      <c r="B658" s="154"/>
      <c r="C658" s="242"/>
      <c r="D658" s="154"/>
      <c r="E658" s="154"/>
      <c r="F658" s="154"/>
      <c r="G658" s="242"/>
      <c r="H658" s="154"/>
      <c r="I658" s="154"/>
      <c r="J658" s="154"/>
      <c r="K658" s="242"/>
      <c r="L658" s="154"/>
      <c r="M658" s="154"/>
      <c r="N658" s="154"/>
      <c r="O658" s="154"/>
      <c r="P658" s="154"/>
      <c r="Q658" s="154"/>
      <c r="R658" s="154"/>
      <c r="S658" s="243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  <c r="AF658" s="154"/>
      <c r="AG658" s="244"/>
      <c r="AH658" s="154"/>
      <c r="AI658" s="154"/>
      <c r="AJ658" s="154"/>
      <c r="AK658" s="244"/>
      <c r="AL658" s="154"/>
      <c r="AM658" s="242"/>
      <c r="AN658" s="154"/>
      <c r="AO658" s="154"/>
      <c r="AP658" s="154"/>
    </row>
    <row r="659">
      <c r="A659" s="154"/>
      <c r="B659" s="154"/>
      <c r="C659" s="242"/>
      <c r="D659" s="154"/>
      <c r="E659" s="154"/>
      <c r="F659" s="154"/>
      <c r="G659" s="242"/>
      <c r="H659" s="154"/>
      <c r="I659" s="154"/>
      <c r="J659" s="154"/>
      <c r="K659" s="242"/>
      <c r="L659" s="154"/>
      <c r="M659" s="154"/>
      <c r="N659" s="154"/>
      <c r="O659" s="154"/>
      <c r="P659" s="154"/>
      <c r="Q659" s="154"/>
      <c r="R659" s="154"/>
      <c r="S659" s="243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  <c r="AF659" s="154"/>
      <c r="AG659" s="244"/>
      <c r="AH659" s="154"/>
      <c r="AI659" s="154"/>
      <c r="AJ659" s="154"/>
      <c r="AK659" s="244"/>
      <c r="AL659" s="154"/>
      <c r="AM659" s="242"/>
      <c r="AN659" s="154"/>
      <c r="AO659" s="154"/>
      <c r="AP659" s="154"/>
    </row>
    <row r="660">
      <c r="A660" s="154"/>
      <c r="B660" s="154"/>
      <c r="C660" s="242"/>
      <c r="D660" s="154"/>
      <c r="E660" s="154"/>
      <c r="F660" s="154"/>
      <c r="G660" s="242"/>
      <c r="H660" s="154"/>
      <c r="I660" s="154"/>
      <c r="J660" s="154"/>
      <c r="K660" s="242"/>
      <c r="L660" s="154"/>
      <c r="M660" s="154"/>
      <c r="N660" s="154"/>
      <c r="O660" s="154"/>
      <c r="P660" s="154"/>
      <c r="Q660" s="154"/>
      <c r="R660" s="154"/>
      <c r="S660" s="243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  <c r="AF660" s="154"/>
      <c r="AG660" s="244"/>
      <c r="AH660" s="154"/>
      <c r="AI660" s="154"/>
      <c r="AJ660" s="154"/>
      <c r="AK660" s="244"/>
      <c r="AL660" s="154"/>
      <c r="AM660" s="242"/>
      <c r="AN660" s="154"/>
      <c r="AO660" s="154"/>
      <c r="AP660" s="154"/>
    </row>
    <row r="661">
      <c r="A661" s="154"/>
      <c r="B661" s="154"/>
      <c r="C661" s="242"/>
      <c r="D661" s="154"/>
      <c r="E661" s="154"/>
      <c r="F661" s="154"/>
      <c r="G661" s="242"/>
      <c r="H661" s="154"/>
      <c r="I661" s="154"/>
      <c r="J661" s="154"/>
      <c r="K661" s="242"/>
      <c r="L661" s="154"/>
      <c r="M661" s="154"/>
      <c r="N661" s="154"/>
      <c r="O661" s="154"/>
      <c r="P661" s="154"/>
      <c r="Q661" s="154"/>
      <c r="R661" s="154"/>
      <c r="S661" s="243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  <c r="AF661" s="154"/>
      <c r="AG661" s="244"/>
      <c r="AH661" s="154"/>
      <c r="AI661" s="154"/>
      <c r="AJ661" s="154"/>
      <c r="AK661" s="244"/>
      <c r="AL661" s="154"/>
      <c r="AM661" s="242"/>
      <c r="AN661" s="154"/>
      <c r="AO661" s="154"/>
      <c r="AP661" s="154"/>
    </row>
    <row r="662">
      <c r="A662" s="154"/>
      <c r="B662" s="154"/>
      <c r="C662" s="242"/>
      <c r="D662" s="154"/>
      <c r="E662" s="154"/>
      <c r="F662" s="154"/>
      <c r="G662" s="242"/>
      <c r="H662" s="154"/>
      <c r="I662" s="154"/>
      <c r="J662" s="154"/>
      <c r="K662" s="242"/>
      <c r="L662" s="154"/>
      <c r="M662" s="154"/>
      <c r="N662" s="154"/>
      <c r="O662" s="154"/>
      <c r="P662" s="154"/>
      <c r="Q662" s="154"/>
      <c r="R662" s="154"/>
      <c r="S662" s="243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  <c r="AF662" s="154"/>
      <c r="AG662" s="244"/>
      <c r="AH662" s="154"/>
      <c r="AI662" s="154"/>
      <c r="AJ662" s="154"/>
      <c r="AK662" s="244"/>
      <c r="AL662" s="154"/>
      <c r="AM662" s="242"/>
      <c r="AN662" s="154"/>
      <c r="AO662" s="154"/>
      <c r="AP662" s="154"/>
    </row>
    <row r="663">
      <c r="A663" s="154"/>
      <c r="B663" s="154"/>
      <c r="C663" s="242"/>
      <c r="D663" s="154"/>
      <c r="E663" s="154"/>
      <c r="F663" s="154"/>
      <c r="G663" s="242"/>
      <c r="H663" s="154"/>
      <c r="I663" s="154"/>
      <c r="J663" s="154"/>
      <c r="K663" s="242"/>
      <c r="L663" s="154"/>
      <c r="M663" s="154"/>
      <c r="N663" s="154"/>
      <c r="O663" s="154"/>
      <c r="P663" s="154"/>
      <c r="Q663" s="154"/>
      <c r="R663" s="154"/>
      <c r="S663" s="243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  <c r="AF663" s="154"/>
      <c r="AG663" s="244"/>
      <c r="AH663" s="154"/>
      <c r="AI663" s="154"/>
      <c r="AJ663" s="154"/>
      <c r="AK663" s="244"/>
      <c r="AL663" s="154"/>
      <c r="AM663" s="242"/>
      <c r="AN663" s="154"/>
      <c r="AO663" s="154"/>
      <c r="AP663" s="154"/>
    </row>
    <row r="664">
      <c r="A664" s="154"/>
      <c r="B664" s="154"/>
      <c r="C664" s="242"/>
      <c r="D664" s="154"/>
      <c r="E664" s="154"/>
      <c r="F664" s="154"/>
      <c r="G664" s="242"/>
      <c r="H664" s="154"/>
      <c r="I664" s="154"/>
      <c r="J664" s="154"/>
      <c r="K664" s="242"/>
      <c r="L664" s="154"/>
      <c r="M664" s="154"/>
      <c r="N664" s="154"/>
      <c r="O664" s="154"/>
      <c r="P664" s="154"/>
      <c r="Q664" s="154"/>
      <c r="R664" s="154"/>
      <c r="S664" s="243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  <c r="AF664" s="154"/>
      <c r="AG664" s="244"/>
      <c r="AH664" s="154"/>
      <c r="AI664" s="154"/>
      <c r="AJ664" s="154"/>
      <c r="AK664" s="244"/>
      <c r="AL664" s="154"/>
      <c r="AM664" s="242"/>
      <c r="AN664" s="154"/>
      <c r="AO664" s="154"/>
      <c r="AP664" s="154"/>
    </row>
    <row r="665">
      <c r="A665" s="154"/>
      <c r="B665" s="154"/>
      <c r="C665" s="242"/>
      <c r="D665" s="154"/>
      <c r="E665" s="154"/>
      <c r="F665" s="154"/>
      <c r="G665" s="242"/>
      <c r="H665" s="154"/>
      <c r="I665" s="154"/>
      <c r="J665" s="154"/>
      <c r="K665" s="242"/>
      <c r="L665" s="154"/>
      <c r="M665" s="154"/>
      <c r="N665" s="154"/>
      <c r="O665" s="154"/>
      <c r="P665" s="154"/>
      <c r="Q665" s="154"/>
      <c r="R665" s="154"/>
      <c r="S665" s="243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  <c r="AF665" s="154"/>
      <c r="AG665" s="244"/>
      <c r="AH665" s="154"/>
      <c r="AI665" s="154"/>
      <c r="AJ665" s="154"/>
      <c r="AK665" s="244"/>
      <c r="AL665" s="154"/>
      <c r="AM665" s="242"/>
      <c r="AN665" s="154"/>
      <c r="AO665" s="154"/>
      <c r="AP665" s="154"/>
    </row>
    <row r="666">
      <c r="A666" s="154"/>
      <c r="B666" s="154"/>
      <c r="C666" s="242"/>
      <c r="D666" s="154"/>
      <c r="E666" s="154"/>
      <c r="F666" s="154"/>
      <c r="G666" s="242"/>
      <c r="H666" s="154"/>
      <c r="I666" s="154"/>
      <c r="J666" s="154"/>
      <c r="K666" s="242"/>
      <c r="L666" s="154"/>
      <c r="M666" s="154"/>
      <c r="N666" s="154"/>
      <c r="O666" s="154"/>
      <c r="P666" s="154"/>
      <c r="Q666" s="154"/>
      <c r="R666" s="154"/>
      <c r="S666" s="243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  <c r="AF666" s="154"/>
      <c r="AG666" s="244"/>
      <c r="AH666" s="154"/>
      <c r="AI666" s="154"/>
      <c r="AJ666" s="154"/>
      <c r="AK666" s="244"/>
      <c r="AL666" s="154"/>
      <c r="AM666" s="242"/>
      <c r="AN666" s="154"/>
      <c r="AO666" s="154"/>
      <c r="AP666" s="154"/>
    </row>
    <row r="667">
      <c r="A667" s="154"/>
      <c r="B667" s="154"/>
      <c r="C667" s="242"/>
      <c r="D667" s="154"/>
      <c r="E667" s="154"/>
      <c r="F667" s="154"/>
      <c r="G667" s="242"/>
      <c r="H667" s="154"/>
      <c r="I667" s="154"/>
      <c r="J667" s="154"/>
      <c r="K667" s="242"/>
      <c r="L667" s="154"/>
      <c r="M667" s="154"/>
      <c r="N667" s="154"/>
      <c r="O667" s="154"/>
      <c r="P667" s="154"/>
      <c r="Q667" s="154"/>
      <c r="R667" s="154"/>
      <c r="S667" s="243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  <c r="AF667" s="154"/>
      <c r="AG667" s="244"/>
      <c r="AH667" s="154"/>
      <c r="AI667" s="154"/>
      <c r="AJ667" s="154"/>
      <c r="AK667" s="244"/>
      <c r="AL667" s="154"/>
      <c r="AM667" s="242"/>
      <c r="AN667" s="154"/>
      <c r="AO667" s="154"/>
      <c r="AP667" s="154"/>
    </row>
    <row r="668">
      <c r="A668" s="154"/>
      <c r="B668" s="154"/>
      <c r="C668" s="242"/>
      <c r="D668" s="154"/>
      <c r="E668" s="154"/>
      <c r="F668" s="154"/>
      <c r="G668" s="242"/>
      <c r="H668" s="154"/>
      <c r="I668" s="154"/>
      <c r="J668" s="154"/>
      <c r="K668" s="242"/>
      <c r="L668" s="154"/>
      <c r="M668" s="154"/>
      <c r="N668" s="154"/>
      <c r="O668" s="154"/>
      <c r="P668" s="154"/>
      <c r="Q668" s="154"/>
      <c r="R668" s="154"/>
      <c r="S668" s="243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  <c r="AF668" s="154"/>
      <c r="AG668" s="244"/>
      <c r="AH668" s="154"/>
      <c r="AI668" s="154"/>
      <c r="AJ668" s="154"/>
      <c r="AK668" s="244"/>
      <c r="AL668" s="154"/>
      <c r="AM668" s="242"/>
      <c r="AN668" s="154"/>
      <c r="AO668" s="154"/>
      <c r="AP668" s="154"/>
    </row>
    <row r="669">
      <c r="A669" s="154"/>
      <c r="B669" s="154"/>
      <c r="C669" s="242"/>
      <c r="D669" s="154"/>
      <c r="E669" s="154"/>
      <c r="F669" s="154"/>
      <c r="G669" s="242"/>
      <c r="H669" s="154"/>
      <c r="I669" s="154"/>
      <c r="J669" s="154"/>
      <c r="K669" s="242"/>
      <c r="L669" s="154"/>
      <c r="M669" s="154"/>
      <c r="N669" s="154"/>
      <c r="O669" s="154"/>
      <c r="P669" s="154"/>
      <c r="Q669" s="154"/>
      <c r="R669" s="154"/>
      <c r="S669" s="243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  <c r="AF669" s="154"/>
      <c r="AG669" s="244"/>
      <c r="AH669" s="154"/>
      <c r="AI669" s="154"/>
      <c r="AJ669" s="154"/>
      <c r="AK669" s="244"/>
      <c r="AL669" s="154"/>
      <c r="AM669" s="242"/>
      <c r="AN669" s="154"/>
      <c r="AO669" s="154"/>
      <c r="AP669" s="154"/>
    </row>
    <row r="670">
      <c r="A670" s="154"/>
      <c r="B670" s="154"/>
      <c r="C670" s="242"/>
      <c r="D670" s="154"/>
      <c r="E670" s="154"/>
      <c r="F670" s="154"/>
      <c r="G670" s="242"/>
      <c r="H670" s="154"/>
      <c r="I670" s="154"/>
      <c r="J670" s="154"/>
      <c r="K670" s="242"/>
      <c r="L670" s="154"/>
      <c r="M670" s="154"/>
      <c r="N670" s="154"/>
      <c r="O670" s="154"/>
      <c r="P670" s="154"/>
      <c r="Q670" s="154"/>
      <c r="R670" s="154"/>
      <c r="S670" s="243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  <c r="AF670" s="154"/>
      <c r="AG670" s="244"/>
      <c r="AH670" s="154"/>
      <c r="AI670" s="154"/>
      <c r="AJ670" s="154"/>
      <c r="AK670" s="244"/>
      <c r="AL670" s="154"/>
      <c r="AM670" s="242"/>
      <c r="AN670" s="154"/>
      <c r="AO670" s="154"/>
      <c r="AP670" s="154"/>
    </row>
    <row r="671">
      <c r="A671" s="154"/>
      <c r="B671" s="154"/>
      <c r="C671" s="242"/>
      <c r="D671" s="154"/>
      <c r="E671" s="154"/>
      <c r="F671" s="154"/>
      <c r="G671" s="242"/>
      <c r="H671" s="154"/>
      <c r="I671" s="154"/>
      <c r="J671" s="154"/>
      <c r="K671" s="242"/>
      <c r="L671" s="154"/>
      <c r="M671" s="154"/>
      <c r="N671" s="154"/>
      <c r="O671" s="154"/>
      <c r="P671" s="154"/>
      <c r="Q671" s="154"/>
      <c r="R671" s="154"/>
      <c r="S671" s="243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  <c r="AF671" s="154"/>
      <c r="AG671" s="244"/>
      <c r="AH671" s="154"/>
      <c r="AI671" s="154"/>
      <c r="AJ671" s="154"/>
      <c r="AK671" s="244"/>
      <c r="AL671" s="154"/>
      <c r="AM671" s="242"/>
      <c r="AN671" s="154"/>
      <c r="AO671" s="154"/>
      <c r="AP671" s="154"/>
    </row>
    <row r="672">
      <c r="A672" s="154"/>
      <c r="B672" s="154"/>
      <c r="C672" s="242"/>
      <c r="D672" s="154"/>
      <c r="E672" s="154"/>
      <c r="F672" s="154"/>
      <c r="G672" s="242"/>
      <c r="H672" s="154"/>
      <c r="I672" s="154"/>
      <c r="J672" s="154"/>
      <c r="K672" s="242"/>
      <c r="L672" s="154"/>
      <c r="M672" s="154"/>
      <c r="N672" s="154"/>
      <c r="O672" s="154"/>
      <c r="P672" s="154"/>
      <c r="Q672" s="154"/>
      <c r="R672" s="154"/>
      <c r="S672" s="243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  <c r="AF672" s="154"/>
      <c r="AG672" s="244"/>
      <c r="AH672" s="154"/>
      <c r="AI672" s="154"/>
      <c r="AJ672" s="154"/>
      <c r="AK672" s="244"/>
      <c r="AL672" s="154"/>
      <c r="AM672" s="242"/>
      <c r="AN672" s="154"/>
      <c r="AO672" s="154"/>
      <c r="AP672" s="154"/>
    </row>
    <row r="673">
      <c r="A673" s="154"/>
      <c r="B673" s="154"/>
      <c r="C673" s="242"/>
      <c r="D673" s="154"/>
      <c r="E673" s="154"/>
      <c r="F673" s="154"/>
      <c r="G673" s="242"/>
      <c r="H673" s="154"/>
      <c r="I673" s="154"/>
      <c r="J673" s="154"/>
      <c r="K673" s="242"/>
      <c r="L673" s="154"/>
      <c r="M673" s="154"/>
      <c r="N673" s="154"/>
      <c r="O673" s="154"/>
      <c r="P673" s="154"/>
      <c r="Q673" s="154"/>
      <c r="R673" s="154"/>
      <c r="S673" s="243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  <c r="AF673" s="154"/>
      <c r="AG673" s="244"/>
      <c r="AH673" s="154"/>
      <c r="AI673" s="154"/>
      <c r="AJ673" s="154"/>
      <c r="AK673" s="244"/>
      <c r="AL673" s="154"/>
      <c r="AM673" s="242"/>
      <c r="AN673" s="154"/>
      <c r="AO673" s="154"/>
      <c r="AP673" s="154"/>
    </row>
    <row r="674">
      <c r="A674" s="154"/>
      <c r="B674" s="154"/>
      <c r="C674" s="242"/>
      <c r="D674" s="154"/>
      <c r="E674" s="154"/>
      <c r="F674" s="154"/>
      <c r="G674" s="242"/>
      <c r="H674" s="154"/>
      <c r="I674" s="154"/>
      <c r="J674" s="154"/>
      <c r="K674" s="242"/>
      <c r="L674" s="154"/>
      <c r="M674" s="154"/>
      <c r="N674" s="154"/>
      <c r="O674" s="154"/>
      <c r="P674" s="154"/>
      <c r="Q674" s="154"/>
      <c r="R674" s="154"/>
      <c r="S674" s="243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  <c r="AF674" s="154"/>
      <c r="AG674" s="244"/>
      <c r="AH674" s="154"/>
      <c r="AI674" s="154"/>
      <c r="AJ674" s="154"/>
      <c r="AK674" s="244"/>
      <c r="AL674" s="154"/>
      <c r="AM674" s="242"/>
      <c r="AN674" s="154"/>
      <c r="AO674" s="154"/>
      <c r="AP674" s="154"/>
    </row>
    <row r="675">
      <c r="A675" s="154"/>
      <c r="B675" s="154"/>
      <c r="C675" s="242"/>
      <c r="D675" s="154"/>
      <c r="E675" s="154"/>
      <c r="F675" s="154"/>
      <c r="G675" s="242"/>
      <c r="H675" s="154"/>
      <c r="I675" s="154"/>
      <c r="J675" s="154"/>
      <c r="K675" s="242"/>
      <c r="L675" s="154"/>
      <c r="M675" s="154"/>
      <c r="N675" s="154"/>
      <c r="O675" s="154"/>
      <c r="P675" s="154"/>
      <c r="Q675" s="154"/>
      <c r="R675" s="154"/>
      <c r="S675" s="243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  <c r="AF675" s="154"/>
      <c r="AG675" s="244"/>
      <c r="AH675" s="154"/>
      <c r="AI675" s="154"/>
      <c r="AJ675" s="154"/>
      <c r="AK675" s="244"/>
      <c r="AL675" s="154"/>
      <c r="AM675" s="242"/>
      <c r="AN675" s="154"/>
      <c r="AO675" s="154"/>
      <c r="AP675" s="154"/>
    </row>
    <row r="676">
      <c r="A676" s="154"/>
      <c r="B676" s="154"/>
      <c r="C676" s="242"/>
      <c r="D676" s="154"/>
      <c r="E676" s="154"/>
      <c r="F676" s="154"/>
      <c r="G676" s="242"/>
      <c r="H676" s="154"/>
      <c r="I676" s="154"/>
      <c r="J676" s="154"/>
      <c r="K676" s="242"/>
      <c r="L676" s="154"/>
      <c r="M676" s="154"/>
      <c r="N676" s="154"/>
      <c r="O676" s="154"/>
      <c r="P676" s="154"/>
      <c r="Q676" s="154"/>
      <c r="R676" s="154"/>
      <c r="S676" s="243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  <c r="AF676" s="154"/>
      <c r="AG676" s="244"/>
      <c r="AH676" s="154"/>
      <c r="AI676" s="154"/>
      <c r="AJ676" s="154"/>
      <c r="AK676" s="244"/>
      <c r="AL676" s="154"/>
      <c r="AM676" s="242"/>
      <c r="AN676" s="154"/>
      <c r="AO676" s="154"/>
      <c r="AP676" s="154"/>
    </row>
    <row r="677">
      <c r="A677" s="154"/>
      <c r="B677" s="154"/>
      <c r="C677" s="242"/>
      <c r="D677" s="154"/>
      <c r="E677" s="154"/>
      <c r="F677" s="154"/>
      <c r="G677" s="242"/>
      <c r="H677" s="154"/>
      <c r="I677" s="154"/>
      <c r="J677" s="154"/>
      <c r="K677" s="242"/>
      <c r="L677" s="154"/>
      <c r="M677" s="154"/>
      <c r="N677" s="154"/>
      <c r="O677" s="154"/>
      <c r="P677" s="154"/>
      <c r="Q677" s="154"/>
      <c r="R677" s="154"/>
      <c r="S677" s="243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  <c r="AF677" s="154"/>
      <c r="AG677" s="244"/>
      <c r="AH677" s="154"/>
      <c r="AI677" s="154"/>
      <c r="AJ677" s="154"/>
      <c r="AK677" s="244"/>
      <c r="AL677" s="154"/>
      <c r="AM677" s="242"/>
      <c r="AN677" s="154"/>
      <c r="AO677" s="154"/>
      <c r="AP677" s="154"/>
    </row>
    <row r="678">
      <c r="A678" s="154"/>
      <c r="B678" s="154"/>
      <c r="C678" s="242"/>
      <c r="D678" s="154"/>
      <c r="E678" s="154"/>
      <c r="F678" s="154"/>
      <c r="G678" s="242"/>
      <c r="H678" s="154"/>
      <c r="I678" s="154"/>
      <c r="J678" s="154"/>
      <c r="K678" s="242"/>
      <c r="L678" s="154"/>
      <c r="M678" s="154"/>
      <c r="N678" s="154"/>
      <c r="O678" s="154"/>
      <c r="P678" s="154"/>
      <c r="Q678" s="154"/>
      <c r="R678" s="154"/>
      <c r="S678" s="243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  <c r="AF678" s="154"/>
      <c r="AG678" s="244"/>
      <c r="AH678" s="154"/>
      <c r="AI678" s="154"/>
      <c r="AJ678" s="154"/>
      <c r="AK678" s="244"/>
      <c r="AL678" s="154"/>
      <c r="AM678" s="242"/>
      <c r="AN678" s="154"/>
      <c r="AO678" s="154"/>
      <c r="AP678" s="154"/>
    </row>
    <row r="679">
      <c r="A679" s="154"/>
      <c r="B679" s="154"/>
      <c r="C679" s="242"/>
      <c r="D679" s="154"/>
      <c r="E679" s="154"/>
      <c r="F679" s="154"/>
      <c r="G679" s="242"/>
      <c r="H679" s="154"/>
      <c r="I679" s="154"/>
      <c r="J679" s="154"/>
      <c r="K679" s="242"/>
      <c r="L679" s="154"/>
      <c r="M679" s="154"/>
      <c r="N679" s="154"/>
      <c r="O679" s="154"/>
      <c r="P679" s="154"/>
      <c r="Q679" s="154"/>
      <c r="R679" s="154"/>
      <c r="S679" s="243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  <c r="AF679" s="154"/>
      <c r="AG679" s="244"/>
      <c r="AH679" s="154"/>
      <c r="AI679" s="154"/>
      <c r="AJ679" s="154"/>
      <c r="AK679" s="244"/>
      <c r="AL679" s="154"/>
      <c r="AM679" s="242"/>
      <c r="AN679" s="154"/>
      <c r="AO679" s="154"/>
      <c r="AP679" s="154"/>
    </row>
    <row r="680">
      <c r="A680" s="154"/>
      <c r="B680" s="154"/>
      <c r="C680" s="242"/>
      <c r="D680" s="154"/>
      <c r="E680" s="154"/>
      <c r="F680" s="154"/>
      <c r="G680" s="242"/>
      <c r="H680" s="154"/>
      <c r="I680" s="154"/>
      <c r="J680" s="154"/>
      <c r="K680" s="242"/>
      <c r="L680" s="154"/>
      <c r="M680" s="154"/>
      <c r="N680" s="154"/>
      <c r="O680" s="154"/>
      <c r="P680" s="154"/>
      <c r="Q680" s="154"/>
      <c r="R680" s="154"/>
      <c r="S680" s="243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  <c r="AF680" s="154"/>
      <c r="AG680" s="244"/>
      <c r="AH680" s="154"/>
      <c r="AI680" s="154"/>
      <c r="AJ680" s="154"/>
      <c r="AK680" s="244"/>
      <c r="AL680" s="154"/>
      <c r="AM680" s="242"/>
      <c r="AN680" s="154"/>
      <c r="AO680" s="154"/>
      <c r="AP680" s="154"/>
    </row>
    <row r="681">
      <c r="A681" s="154"/>
      <c r="B681" s="154"/>
      <c r="C681" s="242"/>
      <c r="D681" s="154"/>
      <c r="E681" s="154"/>
      <c r="F681" s="154"/>
      <c r="G681" s="242"/>
      <c r="H681" s="154"/>
      <c r="I681" s="154"/>
      <c r="J681" s="154"/>
      <c r="K681" s="242"/>
      <c r="L681" s="154"/>
      <c r="M681" s="154"/>
      <c r="N681" s="154"/>
      <c r="O681" s="154"/>
      <c r="P681" s="154"/>
      <c r="Q681" s="154"/>
      <c r="R681" s="154"/>
      <c r="S681" s="243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  <c r="AF681" s="154"/>
      <c r="AG681" s="244"/>
      <c r="AH681" s="154"/>
      <c r="AI681" s="154"/>
      <c r="AJ681" s="154"/>
      <c r="AK681" s="244"/>
      <c r="AL681" s="154"/>
      <c r="AM681" s="242"/>
      <c r="AN681" s="154"/>
      <c r="AO681" s="154"/>
      <c r="AP681" s="154"/>
    </row>
    <row r="682">
      <c r="A682" s="154"/>
      <c r="B682" s="154"/>
      <c r="C682" s="242"/>
      <c r="D682" s="154"/>
      <c r="E682" s="154"/>
      <c r="F682" s="154"/>
      <c r="G682" s="242"/>
      <c r="H682" s="154"/>
      <c r="I682" s="154"/>
      <c r="J682" s="154"/>
      <c r="K682" s="242"/>
      <c r="L682" s="154"/>
      <c r="M682" s="154"/>
      <c r="N682" s="154"/>
      <c r="O682" s="154"/>
      <c r="P682" s="154"/>
      <c r="Q682" s="154"/>
      <c r="R682" s="154"/>
      <c r="S682" s="243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  <c r="AF682" s="154"/>
      <c r="AG682" s="244"/>
      <c r="AH682" s="154"/>
      <c r="AI682" s="154"/>
      <c r="AJ682" s="154"/>
      <c r="AK682" s="244"/>
      <c r="AL682" s="154"/>
      <c r="AM682" s="242"/>
      <c r="AN682" s="154"/>
      <c r="AO682" s="154"/>
      <c r="AP682" s="154"/>
    </row>
    <row r="683">
      <c r="A683" s="154"/>
      <c r="B683" s="154"/>
      <c r="C683" s="242"/>
      <c r="D683" s="154"/>
      <c r="E683" s="154"/>
      <c r="F683" s="154"/>
      <c r="G683" s="242"/>
      <c r="H683" s="154"/>
      <c r="I683" s="154"/>
      <c r="J683" s="154"/>
      <c r="K683" s="242"/>
      <c r="L683" s="154"/>
      <c r="M683" s="154"/>
      <c r="N683" s="154"/>
      <c r="O683" s="154"/>
      <c r="P683" s="154"/>
      <c r="Q683" s="154"/>
      <c r="R683" s="154"/>
      <c r="S683" s="243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  <c r="AF683" s="154"/>
      <c r="AG683" s="244"/>
      <c r="AH683" s="154"/>
      <c r="AI683" s="154"/>
      <c r="AJ683" s="154"/>
      <c r="AK683" s="244"/>
      <c r="AL683" s="154"/>
      <c r="AM683" s="242"/>
      <c r="AN683" s="154"/>
      <c r="AO683" s="154"/>
      <c r="AP683" s="154"/>
    </row>
    <row r="684">
      <c r="A684" s="154"/>
      <c r="B684" s="154"/>
      <c r="C684" s="242"/>
      <c r="D684" s="154"/>
      <c r="E684" s="154"/>
      <c r="F684" s="154"/>
      <c r="G684" s="242"/>
      <c r="H684" s="154"/>
      <c r="I684" s="154"/>
      <c r="J684" s="154"/>
      <c r="K684" s="242"/>
      <c r="L684" s="154"/>
      <c r="M684" s="154"/>
      <c r="N684" s="154"/>
      <c r="O684" s="154"/>
      <c r="P684" s="154"/>
      <c r="Q684" s="154"/>
      <c r="R684" s="154"/>
      <c r="S684" s="243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  <c r="AF684" s="154"/>
      <c r="AG684" s="244"/>
      <c r="AH684" s="154"/>
      <c r="AI684" s="154"/>
      <c r="AJ684" s="154"/>
      <c r="AK684" s="244"/>
      <c r="AL684" s="154"/>
      <c r="AM684" s="242"/>
      <c r="AN684" s="154"/>
      <c r="AO684" s="154"/>
      <c r="AP684" s="154"/>
    </row>
    <row r="685">
      <c r="A685" s="154"/>
      <c r="B685" s="154"/>
      <c r="C685" s="242"/>
      <c r="D685" s="154"/>
      <c r="E685" s="154"/>
      <c r="F685" s="154"/>
      <c r="G685" s="242"/>
      <c r="H685" s="154"/>
      <c r="I685" s="154"/>
      <c r="J685" s="154"/>
      <c r="K685" s="242"/>
      <c r="L685" s="154"/>
      <c r="M685" s="154"/>
      <c r="N685" s="154"/>
      <c r="O685" s="154"/>
      <c r="P685" s="154"/>
      <c r="Q685" s="154"/>
      <c r="R685" s="154"/>
      <c r="S685" s="243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  <c r="AF685" s="154"/>
      <c r="AG685" s="244"/>
      <c r="AH685" s="154"/>
      <c r="AI685" s="154"/>
      <c r="AJ685" s="154"/>
      <c r="AK685" s="244"/>
      <c r="AL685" s="154"/>
      <c r="AM685" s="242"/>
      <c r="AN685" s="154"/>
      <c r="AO685" s="154"/>
      <c r="AP685" s="154"/>
    </row>
    <row r="686">
      <c r="A686" s="154"/>
      <c r="B686" s="154"/>
      <c r="C686" s="242"/>
      <c r="D686" s="154"/>
      <c r="E686" s="154"/>
      <c r="F686" s="154"/>
      <c r="G686" s="242"/>
      <c r="H686" s="154"/>
      <c r="I686" s="154"/>
      <c r="J686" s="154"/>
      <c r="K686" s="242"/>
      <c r="L686" s="154"/>
      <c r="M686" s="154"/>
      <c r="N686" s="154"/>
      <c r="O686" s="154"/>
      <c r="P686" s="154"/>
      <c r="Q686" s="154"/>
      <c r="R686" s="154"/>
      <c r="S686" s="243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  <c r="AF686" s="154"/>
      <c r="AG686" s="244"/>
      <c r="AH686" s="154"/>
      <c r="AI686" s="154"/>
      <c r="AJ686" s="154"/>
      <c r="AK686" s="244"/>
      <c r="AL686" s="154"/>
      <c r="AM686" s="242"/>
      <c r="AN686" s="154"/>
      <c r="AO686" s="154"/>
      <c r="AP686" s="154"/>
    </row>
    <row r="687">
      <c r="A687" s="154"/>
      <c r="B687" s="154"/>
      <c r="C687" s="242"/>
      <c r="D687" s="154"/>
      <c r="E687" s="154"/>
      <c r="F687" s="154"/>
      <c r="G687" s="242"/>
      <c r="H687" s="154"/>
      <c r="I687" s="154"/>
      <c r="J687" s="154"/>
      <c r="K687" s="242"/>
      <c r="L687" s="154"/>
      <c r="M687" s="154"/>
      <c r="N687" s="154"/>
      <c r="O687" s="154"/>
      <c r="P687" s="154"/>
      <c r="Q687" s="154"/>
      <c r="R687" s="154"/>
      <c r="S687" s="243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  <c r="AF687" s="154"/>
      <c r="AG687" s="244"/>
      <c r="AH687" s="154"/>
      <c r="AI687" s="154"/>
      <c r="AJ687" s="154"/>
      <c r="AK687" s="244"/>
      <c r="AL687" s="154"/>
      <c r="AM687" s="242"/>
      <c r="AN687" s="154"/>
      <c r="AO687" s="154"/>
      <c r="AP687" s="154"/>
    </row>
    <row r="688">
      <c r="A688" s="154"/>
      <c r="B688" s="154"/>
      <c r="C688" s="242"/>
      <c r="D688" s="154"/>
      <c r="E688" s="154"/>
      <c r="F688" s="154"/>
      <c r="G688" s="242"/>
      <c r="H688" s="154"/>
      <c r="I688" s="154"/>
      <c r="J688" s="154"/>
      <c r="K688" s="242"/>
      <c r="L688" s="154"/>
      <c r="M688" s="154"/>
      <c r="N688" s="154"/>
      <c r="O688" s="154"/>
      <c r="P688" s="154"/>
      <c r="Q688" s="154"/>
      <c r="R688" s="154"/>
      <c r="S688" s="243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  <c r="AF688" s="154"/>
      <c r="AG688" s="244"/>
      <c r="AH688" s="154"/>
      <c r="AI688" s="154"/>
      <c r="AJ688" s="154"/>
      <c r="AK688" s="244"/>
      <c r="AL688" s="154"/>
      <c r="AM688" s="242"/>
      <c r="AN688" s="154"/>
      <c r="AO688" s="154"/>
      <c r="AP688" s="154"/>
    </row>
    <row r="689">
      <c r="A689" s="154"/>
      <c r="B689" s="154"/>
      <c r="C689" s="242"/>
      <c r="D689" s="154"/>
      <c r="E689" s="154"/>
      <c r="F689" s="154"/>
      <c r="G689" s="242"/>
      <c r="H689" s="154"/>
      <c r="I689" s="154"/>
      <c r="J689" s="154"/>
      <c r="K689" s="242"/>
      <c r="L689" s="154"/>
      <c r="M689" s="154"/>
      <c r="N689" s="154"/>
      <c r="O689" s="154"/>
      <c r="P689" s="154"/>
      <c r="Q689" s="154"/>
      <c r="R689" s="154"/>
      <c r="S689" s="243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  <c r="AF689" s="154"/>
      <c r="AG689" s="244"/>
      <c r="AH689" s="154"/>
      <c r="AI689" s="154"/>
      <c r="AJ689" s="154"/>
      <c r="AK689" s="244"/>
      <c r="AL689" s="154"/>
      <c r="AM689" s="242"/>
      <c r="AN689" s="154"/>
      <c r="AO689" s="154"/>
      <c r="AP689" s="154"/>
    </row>
    <row r="690">
      <c r="A690" s="154"/>
      <c r="B690" s="154"/>
      <c r="C690" s="242"/>
      <c r="D690" s="154"/>
      <c r="E690" s="154"/>
      <c r="F690" s="154"/>
      <c r="G690" s="242"/>
      <c r="H690" s="154"/>
      <c r="I690" s="154"/>
      <c r="J690" s="154"/>
      <c r="K690" s="242"/>
      <c r="L690" s="154"/>
      <c r="M690" s="154"/>
      <c r="N690" s="154"/>
      <c r="O690" s="154"/>
      <c r="P690" s="154"/>
      <c r="Q690" s="154"/>
      <c r="R690" s="154"/>
      <c r="S690" s="243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  <c r="AF690" s="154"/>
      <c r="AG690" s="244"/>
      <c r="AH690" s="154"/>
      <c r="AI690" s="154"/>
      <c r="AJ690" s="154"/>
      <c r="AK690" s="244"/>
      <c r="AL690" s="154"/>
      <c r="AM690" s="242"/>
      <c r="AN690" s="154"/>
      <c r="AO690" s="154"/>
      <c r="AP690" s="154"/>
    </row>
    <row r="691">
      <c r="A691" s="154"/>
      <c r="B691" s="154"/>
      <c r="C691" s="242"/>
      <c r="D691" s="154"/>
      <c r="E691" s="154"/>
      <c r="F691" s="154"/>
      <c r="G691" s="242"/>
      <c r="H691" s="154"/>
      <c r="I691" s="154"/>
      <c r="J691" s="154"/>
      <c r="K691" s="242"/>
      <c r="L691" s="154"/>
      <c r="M691" s="154"/>
      <c r="N691" s="154"/>
      <c r="O691" s="154"/>
      <c r="P691" s="154"/>
      <c r="Q691" s="154"/>
      <c r="R691" s="154"/>
      <c r="S691" s="243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  <c r="AF691" s="154"/>
      <c r="AG691" s="244"/>
      <c r="AH691" s="154"/>
      <c r="AI691" s="154"/>
      <c r="AJ691" s="154"/>
      <c r="AK691" s="244"/>
      <c r="AL691" s="154"/>
      <c r="AM691" s="242"/>
      <c r="AN691" s="154"/>
      <c r="AO691" s="154"/>
      <c r="AP691" s="154"/>
    </row>
    <row r="692">
      <c r="A692" s="154"/>
      <c r="B692" s="154"/>
      <c r="C692" s="242"/>
      <c r="D692" s="154"/>
      <c r="E692" s="154"/>
      <c r="F692" s="154"/>
      <c r="G692" s="242"/>
      <c r="H692" s="154"/>
      <c r="I692" s="154"/>
      <c r="J692" s="154"/>
      <c r="K692" s="242"/>
      <c r="L692" s="154"/>
      <c r="M692" s="154"/>
      <c r="N692" s="154"/>
      <c r="O692" s="154"/>
      <c r="P692" s="154"/>
      <c r="Q692" s="154"/>
      <c r="R692" s="154"/>
      <c r="S692" s="243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  <c r="AF692" s="154"/>
      <c r="AG692" s="244"/>
      <c r="AH692" s="154"/>
      <c r="AI692" s="154"/>
      <c r="AJ692" s="154"/>
      <c r="AK692" s="244"/>
      <c r="AL692" s="154"/>
      <c r="AM692" s="242"/>
      <c r="AN692" s="154"/>
      <c r="AO692" s="154"/>
      <c r="AP692" s="154"/>
    </row>
    <row r="693">
      <c r="A693" s="154"/>
      <c r="B693" s="154"/>
      <c r="C693" s="242"/>
      <c r="D693" s="154"/>
      <c r="E693" s="154"/>
      <c r="F693" s="154"/>
      <c r="G693" s="242"/>
      <c r="H693" s="154"/>
      <c r="I693" s="154"/>
      <c r="J693" s="154"/>
      <c r="K693" s="242"/>
      <c r="L693" s="154"/>
      <c r="M693" s="154"/>
      <c r="N693" s="154"/>
      <c r="O693" s="154"/>
      <c r="P693" s="154"/>
      <c r="Q693" s="154"/>
      <c r="R693" s="154"/>
      <c r="S693" s="243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  <c r="AF693" s="154"/>
      <c r="AG693" s="244"/>
      <c r="AH693" s="154"/>
      <c r="AI693" s="154"/>
      <c r="AJ693" s="154"/>
      <c r="AK693" s="244"/>
      <c r="AL693" s="154"/>
      <c r="AM693" s="242"/>
      <c r="AN693" s="154"/>
      <c r="AO693" s="154"/>
      <c r="AP693" s="154"/>
    </row>
    <row r="694">
      <c r="A694" s="154"/>
      <c r="B694" s="154"/>
      <c r="C694" s="242"/>
      <c r="D694" s="154"/>
      <c r="E694" s="154"/>
      <c r="F694" s="154"/>
      <c r="G694" s="242"/>
      <c r="H694" s="154"/>
      <c r="I694" s="154"/>
      <c r="J694" s="154"/>
      <c r="K694" s="242"/>
      <c r="L694" s="154"/>
      <c r="M694" s="154"/>
      <c r="N694" s="154"/>
      <c r="O694" s="154"/>
      <c r="P694" s="154"/>
      <c r="Q694" s="154"/>
      <c r="R694" s="154"/>
      <c r="S694" s="243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  <c r="AF694" s="154"/>
      <c r="AG694" s="244"/>
      <c r="AH694" s="154"/>
      <c r="AI694" s="154"/>
      <c r="AJ694" s="154"/>
      <c r="AK694" s="244"/>
      <c r="AL694" s="154"/>
      <c r="AM694" s="242"/>
      <c r="AN694" s="154"/>
      <c r="AO694" s="154"/>
      <c r="AP694" s="154"/>
    </row>
    <row r="695">
      <c r="A695" s="154"/>
      <c r="B695" s="154"/>
      <c r="C695" s="242"/>
      <c r="D695" s="154"/>
      <c r="E695" s="154"/>
      <c r="F695" s="154"/>
      <c r="G695" s="242"/>
      <c r="H695" s="154"/>
      <c r="I695" s="154"/>
      <c r="J695" s="154"/>
      <c r="K695" s="242"/>
      <c r="L695" s="154"/>
      <c r="M695" s="154"/>
      <c r="N695" s="154"/>
      <c r="O695" s="154"/>
      <c r="P695" s="154"/>
      <c r="Q695" s="154"/>
      <c r="R695" s="154"/>
      <c r="S695" s="243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  <c r="AF695" s="154"/>
      <c r="AG695" s="244"/>
      <c r="AH695" s="154"/>
      <c r="AI695" s="154"/>
      <c r="AJ695" s="154"/>
      <c r="AK695" s="244"/>
      <c r="AL695" s="154"/>
      <c r="AM695" s="242"/>
      <c r="AN695" s="154"/>
      <c r="AO695" s="154"/>
      <c r="AP695" s="154"/>
    </row>
    <row r="696">
      <c r="A696" s="154"/>
      <c r="B696" s="154"/>
      <c r="C696" s="242"/>
      <c r="D696" s="154"/>
      <c r="E696" s="154"/>
      <c r="F696" s="154"/>
      <c r="G696" s="242"/>
      <c r="H696" s="154"/>
      <c r="I696" s="154"/>
      <c r="J696" s="154"/>
      <c r="K696" s="242"/>
      <c r="L696" s="154"/>
      <c r="M696" s="154"/>
      <c r="N696" s="154"/>
      <c r="O696" s="154"/>
      <c r="P696" s="154"/>
      <c r="Q696" s="154"/>
      <c r="R696" s="154"/>
      <c r="S696" s="243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  <c r="AF696" s="154"/>
      <c r="AG696" s="244"/>
      <c r="AH696" s="154"/>
      <c r="AI696" s="154"/>
      <c r="AJ696" s="154"/>
      <c r="AK696" s="244"/>
      <c r="AL696" s="154"/>
      <c r="AM696" s="242"/>
      <c r="AN696" s="154"/>
      <c r="AO696" s="154"/>
      <c r="AP696" s="154"/>
    </row>
    <row r="697">
      <c r="A697" s="154"/>
      <c r="B697" s="154"/>
      <c r="C697" s="242"/>
      <c r="D697" s="154"/>
      <c r="E697" s="154"/>
      <c r="F697" s="154"/>
      <c r="G697" s="242"/>
      <c r="H697" s="154"/>
      <c r="I697" s="154"/>
      <c r="J697" s="154"/>
      <c r="K697" s="242"/>
      <c r="L697" s="154"/>
      <c r="M697" s="154"/>
      <c r="N697" s="154"/>
      <c r="O697" s="154"/>
      <c r="P697" s="154"/>
      <c r="Q697" s="154"/>
      <c r="R697" s="154"/>
      <c r="S697" s="243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  <c r="AF697" s="154"/>
      <c r="AG697" s="244"/>
      <c r="AH697" s="154"/>
      <c r="AI697" s="154"/>
      <c r="AJ697" s="154"/>
      <c r="AK697" s="244"/>
      <c r="AL697" s="154"/>
      <c r="AM697" s="242"/>
      <c r="AN697" s="154"/>
      <c r="AO697" s="154"/>
      <c r="AP697" s="154"/>
    </row>
    <row r="698">
      <c r="A698" s="154"/>
      <c r="B698" s="154"/>
      <c r="C698" s="242"/>
      <c r="D698" s="154"/>
      <c r="E698" s="154"/>
      <c r="F698" s="154"/>
      <c r="G698" s="242"/>
      <c r="H698" s="154"/>
      <c r="I698" s="154"/>
      <c r="J698" s="154"/>
      <c r="K698" s="242"/>
      <c r="L698" s="154"/>
      <c r="M698" s="154"/>
      <c r="N698" s="154"/>
      <c r="O698" s="154"/>
      <c r="P698" s="154"/>
      <c r="Q698" s="154"/>
      <c r="R698" s="154"/>
      <c r="S698" s="243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  <c r="AF698" s="154"/>
      <c r="AG698" s="244"/>
      <c r="AH698" s="154"/>
      <c r="AI698" s="154"/>
      <c r="AJ698" s="154"/>
      <c r="AK698" s="244"/>
      <c r="AL698" s="154"/>
      <c r="AM698" s="242"/>
      <c r="AN698" s="154"/>
      <c r="AO698" s="154"/>
      <c r="AP698" s="154"/>
    </row>
    <row r="699">
      <c r="A699" s="154"/>
      <c r="B699" s="154"/>
      <c r="C699" s="242"/>
      <c r="D699" s="154"/>
      <c r="E699" s="154"/>
      <c r="F699" s="154"/>
      <c r="G699" s="242"/>
      <c r="H699" s="154"/>
      <c r="I699" s="154"/>
      <c r="J699" s="154"/>
      <c r="K699" s="242"/>
      <c r="L699" s="154"/>
      <c r="M699" s="154"/>
      <c r="N699" s="154"/>
      <c r="O699" s="154"/>
      <c r="P699" s="154"/>
      <c r="Q699" s="154"/>
      <c r="R699" s="154"/>
      <c r="S699" s="243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  <c r="AF699" s="154"/>
      <c r="AG699" s="244"/>
      <c r="AH699" s="154"/>
      <c r="AI699" s="154"/>
      <c r="AJ699" s="154"/>
      <c r="AK699" s="244"/>
      <c r="AL699" s="154"/>
      <c r="AM699" s="242"/>
      <c r="AN699" s="154"/>
      <c r="AO699" s="154"/>
      <c r="AP699" s="154"/>
    </row>
    <row r="700">
      <c r="A700" s="154"/>
      <c r="B700" s="154"/>
      <c r="C700" s="242"/>
      <c r="D700" s="154"/>
      <c r="E700" s="154"/>
      <c r="F700" s="154"/>
      <c r="G700" s="242"/>
      <c r="H700" s="154"/>
      <c r="I700" s="154"/>
      <c r="J700" s="154"/>
      <c r="K700" s="242"/>
      <c r="L700" s="154"/>
      <c r="M700" s="154"/>
      <c r="N700" s="154"/>
      <c r="O700" s="154"/>
      <c r="P700" s="154"/>
      <c r="Q700" s="154"/>
      <c r="R700" s="154"/>
      <c r="S700" s="243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  <c r="AF700" s="154"/>
      <c r="AG700" s="244"/>
      <c r="AH700" s="154"/>
      <c r="AI700" s="154"/>
      <c r="AJ700" s="154"/>
      <c r="AK700" s="244"/>
      <c r="AL700" s="154"/>
      <c r="AM700" s="242"/>
      <c r="AN700" s="154"/>
      <c r="AO700" s="154"/>
      <c r="AP700" s="154"/>
    </row>
    <row r="701">
      <c r="A701" s="154"/>
      <c r="B701" s="154"/>
      <c r="C701" s="242"/>
      <c r="D701" s="154"/>
      <c r="E701" s="154"/>
      <c r="F701" s="154"/>
      <c r="G701" s="242"/>
      <c r="H701" s="154"/>
      <c r="I701" s="154"/>
      <c r="J701" s="154"/>
      <c r="K701" s="242"/>
      <c r="L701" s="154"/>
      <c r="M701" s="154"/>
      <c r="N701" s="154"/>
      <c r="O701" s="154"/>
      <c r="P701" s="154"/>
      <c r="Q701" s="154"/>
      <c r="R701" s="154"/>
      <c r="S701" s="243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  <c r="AF701" s="154"/>
      <c r="AG701" s="244"/>
      <c r="AH701" s="154"/>
      <c r="AI701" s="154"/>
      <c r="AJ701" s="154"/>
      <c r="AK701" s="244"/>
      <c r="AL701" s="154"/>
      <c r="AM701" s="242"/>
      <c r="AN701" s="154"/>
      <c r="AO701" s="154"/>
      <c r="AP701" s="154"/>
    </row>
    <row r="702">
      <c r="A702" s="154"/>
      <c r="B702" s="154"/>
      <c r="C702" s="242"/>
      <c r="D702" s="154"/>
      <c r="E702" s="154"/>
      <c r="F702" s="154"/>
      <c r="G702" s="242"/>
      <c r="H702" s="154"/>
      <c r="I702" s="154"/>
      <c r="J702" s="154"/>
      <c r="K702" s="242"/>
      <c r="L702" s="154"/>
      <c r="M702" s="154"/>
      <c r="N702" s="154"/>
      <c r="O702" s="154"/>
      <c r="P702" s="154"/>
      <c r="Q702" s="154"/>
      <c r="R702" s="154"/>
      <c r="S702" s="243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  <c r="AF702" s="154"/>
      <c r="AG702" s="244"/>
      <c r="AH702" s="154"/>
      <c r="AI702" s="154"/>
      <c r="AJ702" s="154"/>
      <c r="AK702" s="244"/>
      <c r="AL702" s="154"/>
      <c r="AM702" s="242"/>
      <c r="AN702" s="154"/>
      <c r="AO702" s="154"/>
      <c r="AP702" s="154"/>
    </row>
    <row r="703">
      <c r="A703" s="154"/>
      <c r="B703" s="154"/>
      <c r="C703" s="242"/>
      <c r="D703" s="154"/>
      <c r="E703" s="154"/>
      <c r="F703" s="154"/>
      <c r="G703" s="242"/>
      <c r="H703" s="154"/>
      <c r="I703" s="154"/>
      <c r="J703" s="154"/>
      <c r="K703" s="242"/>
      <c r="L703" s="154"/>
      <c r="M703" s="154"/>
      <c r="N703" s="154"/>
      <c r="O703" s="154"/>
      <c r="P703" s="154"/>
      <c r="Q703" s="154"/>
      <c r="R703" s="154"/>
      <c r="S703" s="243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  <c r="AF703" s="154"/>
      <c r="AG703" s="244"/>
      <c r="AH703" s="154"/>
      <c r="AI703" s="154"/>
      <c r="AJ703" s="154"/>
      <c r="AK703" s="244"/>
      <c r="AL703" s="154"/>
      <c r="AM703" s="242"/>
      <c r="AN703" s="154"/>
      <c r="AO703" s="154"/>
      <c r="AP703" s="154"/>
    </row>
    <row r="704">
      <c r="A704" s="154"/>
      <c r="B704" s="154"/>
      <c r="C704" s="242"/>
      <c r="D704" s="154"/>
      <c r="E704" s="154"/>
      <c r="F704" s="154"/>
      <c r="G704" s="242"/>
      <c r="H704" s="154"/>
      <c r="I704" s="154"/>
      <c r="J704" s="154"/>
      <c r="K704" s="242"/>
      <c r="L704" s="154"/>
      <c r="M704" s="154"/>
      <c r="N704" s="154"/>
      <c r="O704" s="154"/>
      <c r="P704" s="154"/>
      <c r="Q704" s="154"/>
      <c r="R704" s="154"/>
      <c r="S704" s="243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  <c r="AF704" s="154"/>
      <c r="AG704" s="244"/>
      <c r="AH704" s="154"/>
      <c r="AI704" s="154"/>
      <c r="AJ704" s="154"/>
      <c r="AK704" s="244"/>
      <c r="AL704" s="154"/>
      <c r="AM704" s="242"/>
      <c r="AN704" s="154"/>
      <c r="AO704" s="154"/>
      <c r="AP704" s="154"/>
    </row>
    <row r="705">
      <c r="A705" s="154"/>
      <c r="B705" s="154"/>
      <c r="C705" s="242"/>
      <c r="D705" s="154"/>
      <c r="E705" s="154"/>
      <c r="F705" s="154"/>
      <c r="G705" s="242"/>
      <c r="H705" s="154"/>
      <c r="I705" s="154"/>
      <c r="J705" s="154"/>
      <c r="K705" s="242"/>
      <c r="L705" s="154"/>
      <c r="M705" s="154"/>
      <c r="N705" s="154"/>
      <c r="O705" s="154"/>
      <c r="P705" s="154"/>
      <c r="Q705" s="154"/>
      <c r="R705" s="154"/>
      <c r="S705" s="243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  <c r="AF705" s="154"/>
      <c r="AG705" s="244"/>
      <c r="AH705" s="154"/>
      <c r="AI705" s="154"/>
      <c r="AJ705" s="154"/>
      <c r="AK705" s="244"/>
      <c r="AL705" s="154"/>
      <c r="AM705" s="242"/>
      <c r="AN705" s="154"/>
      <c r="AO705" s="154"/>
      <c r="AP705" s="154"/>
    </row>
    <row r="706">
      <c r="A706" s="154"/>
      <c r="B706" s="154"/>
      <c r="C706" s="242"/>
      <c r="D706" s="154"/>
      <c r="E706" s="154"/>
      <c r="F706" s="154"/>
      <c r="G706" s="242"/>
      <c r="H706" s="154"/>
      <c r="I706" s="154"/>
      <c r="J706" s="154"/>
      <c r="K706" s="242"/>
      <c r="L706" s="154"/>
      <c r="M706" s="154"/>
      <c r="N706" s="154"/>
      <c r="O706" s="154"/>
      <c r="P706" s="154"/>
      <c r="Q706" s="154"/>
      <c r="R706" s="154"/>
      <c r="S706" s="243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  <c r="AF706" s="154"/>
      <c r="AG706" s="244"/>
      <c r="AH706" s="154"/>
      <c r="AI706" s="154"/>
      <c r="AJ706" s="154"/>
      <c r="AK706" s="244"/>
      <c r="AL706" s="154"/>
      <c r="AM706" s="242"/>
      <c r="AN706" s="154"/>
      <c r="AO706" s="154"/>
      <c r="AP706" s="154"/>
    </row>
    <row r="707">
      <c r="A707" s="154"/>
      <c r="B707" s="154"/>
      <c r="C707" s="242"/>
      <c r="D707" s="154"/>
      <c r="E707" s="154"/>
      <c r="F707" s="154"/>
      <c r="G707" s="242"/>
      <c r="H707" s="154"/>
      <c r="I707" s="154"/>
      <c r="J707" s="154"/>
      <c r="K707" s="242"/>
      <c r="L707" s="154"/>
      <c r="M707" s="154"/>
      <c r="N707" s="154"/>
      <c r="O707" s="154"/>
      <c r="P707" s="154"/>
      <c r="Q707" s="154"/>
      <c r="R707" s="154"/>
      <c r="S707" s="243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  <c r="AF707" s="154"/>
      <c r="AG707" s="244"/>
      <c r="AH707" s="154"/>
      <c r="AI707" s="154"/>
      <c r="AJ707" s="154"/>
      <c r="AK707" s="244"/>
      <c r="AL707" s="154"/>
      <c r="AM707" s="242"/>
      <c r="AN707" s="154"/>
      <c r="AO707" s="154"/>
      <c r="AP707" s="154"/>
    </row>
    <row r="708">
      <c r="A708" s="154"/>
      <c r="B708" s="154"/>
      <c r="C708" s="242"/>
      <c r="D708" s="154"/>
      <c r="E708" s="154"/>
      <c r="F708" s="154"/>
      <c r="G708" s="242"/>
      <c r="H708" s="154"/>
      <c r="I708" s="154"/>
      <c r="J708" s="154"/>
      <c r="K708" s="242"/>
      <c r="L708" s="154"/>
      <c r="M708" s="154"/>
      <c r="N708" s="154"/>
      <c r="O708" s="154"/>
      <c r="P708" s="154"/>
      <c r="Q708" s="154"/>
      <c r="R708" s="154"/>
      <c r="S708" s="243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  <c r="AF708" s="154"/>
      <c r="AG708" s="244"/>
      <c r="AH708" s="154"/>
      <c r="AI708" s="154"/>
      <c r="AJ708" s="154"/>
      <c r="AK708" s="244"/>
      <c r="AL708" s="154"/>
      <c r="AM708" s="242"/>
      <c r="AN708" s="154"/>
      <c r="AO708" s="154"/>
      <c r="AP708" s="154"/>
    </row>
    <row r="709">
      <c r="A709" s="154"/>
      <c r="B709" s="154"/>
      <c r="C709" s="242"/>
      <c r="D709" s="154"/>
      <c r="E709" s="154"/>
      <c r="F709" s="154"/>
      <c r="G709" s="242"/>
      <c r="H709" s="154"/>
      <c r="I709" s="154"/>
      <c r="J709" s="154"/>
      <c r="K709" s="242"/>
      <c r="L709" s="154"/>
      <c r="M709" s="154"/>
      <c r="N709" s="154"/>
      <c r="O709" s="154"/>
      <c r="P709" s="154"/>
      <c r="Q709" s="154"/>
      <c r="R709" s="154"/>
      <c r="S709" s="243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  <c r="AF709" s="154"/>
      <c r="AG709" s="244"/>
      <c r="AH709" s="154"/>
      <c r="AI709" s="154"/>
      <c r="AJ709" s="154"/>
      <c r="AK709" s="244"/>
      <c r="AL709" s="154"/>
      <c r="AM709" s="242"/>
      <c r="AN709" s="154"/>
      <c r="AO709" s="154"/>
      <c r="AP709" s="154"/>
    </row>
    <row r="710">
      <c r="A710" s="154"/>
      <c r="B710" s="154"/>
      <c r="C710" s="242"/>
      <c r="D710" s="154"/>
      <c r="E710" s="154"/>
      <c r="F710" s="154"/>
      <c r="G710" s="242"/>
      <c r="H710" s="154"/>
      <c r="I710" s="154"/>
      <c r="J710" s="154"/>
      <c r="K710" s="242"/>
      <c r="L710" s="154"/>
      <c r="M710" s="154"/>
      <c r="N710" s="154"/>
      <c r="O710" s="154"/>
      <c r="P710" s="154"/>
      <c r="Q710" s="154"/>
      <c r="R710" s="154"/>
      <c r="S710" s="243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  <c r="AF710" s="154"/>
      <c r="AG710" s="244"/>
      <c r="AH710" s="154"/>
      <c r="AI710" s="154"/>
      <c r="AJ710" s="154"/>
      <c r="AK710" s="244"/>
      <c r="AL710" s="154"/>
      <c r="AM710" s="242"/>
      <c r="AN710" s="154"/>
      <c r="AO710" s="154"/>
      <c r="AP710" s="154"/>
    </row>
    <row r="711">
      <c r="A711" s="154"/>
      <c r="B711" s="154"/>
      <c r="C711" s="242"/>
      <c r="D711" s="154"/>
      <c r="E711" s="154"/>
      <c r="F711" s="154"/>
      <c r="G711" s="242"/>
      <c r="H711" s="154"/>
      <c r="I711" s="154"/>
      <c r="J711" s="154"/>
      <c r="K711" s="242"/>
      <c r="L711" s="154"/>
      <c r="M711" s="154"/>
      <c r="N711" s="154"/>
      <c r="O711" s="154"/>
      <c r="P711" s="154"/>
      <c r="Q711" s="154"/>
      <c r="R711" s="154"/>
      <c r="S711" s="243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  <c r="AF711" s="154"/>
      <c r="AG711" s="244"/>
      <c r="AH711" s="154"/>
      <c r="AI711" s="154"/>
      <c r="AJ711" s="154"/>
      <c r="AK711" s="244"/>
      <c r="AL711" s="154"/>
      <c r="AM711" s="242"/>
      <c r="AN711" s="154"/>
      <c r="AO711" s="154"/>
      <c r="AP711" s="154"/>
    </row>
    <row r="712">
      <c r="A712" s="154"/>
      <c r="B712" s="154"/>
      <c r="C712" s="242"/>
      <c r="D712" s="154"/>
      <c r="E712" s="154"/>
      <c r="F712" s="154"/>
      <c r="G712" s="242"/>
      <c r="H712" s="154"/>
      <c r="I712" s="154"/>
      <c r="J712" s="154"/>
      <c r="K712" s="242"/>
      <c r="L712" s="154"/>
      <c r="M712" s="154"/>
      <c r="N712" s="154"/>
      <c r="O712" s="154"/>
      <c r="P712" s="154"/>
      <c r="Q712" s="154"/>
      <c r="R712" s="154"/>
      <c r="S712" s="243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  <c r="AF712" s="154"/>
      <c r="AG712" s="244"/>
      <c r="AH712" s="154"/>
      <c r="AI712" s="154"/>
      <c r="AJ712" s="154"/>
      <c r="AK712" s="244"/>
      <c r="AL712" s="154"/>
      <c r="AM712" s="242"/>
      <c r="AN712" s="154"/>
      <c r="AO712" s="154"/>
      <c r="AP712" s="154"/>
    </row>
    <row r="713">
      <c r="A713" s="154"/>
      <c r="B713" s="154"/>
      <c r="C713" s="242"/>
      <c r="D713" s="154"/>
      <c r="E713" s="154"/>
      <c r="F713" s="154"/>
      <c r="G713" s="242"/>
      <c r="H713" s="154"/>
      <c r="I713" s="154"/>
      <c r="J713" s="154"/>
      <c r="K713" s="242"/>
      <c r="L713" s="154"/>
      <c r="M713" s="154"/>
      <c r="N713" s="154"/>
      <c r="O713" s="154"/>
      <c r="P713" s="154"/>
      <c r="Q713" s="154"/>
      <c r="R713" s="154"/>
      <c r="S713" s="243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  <c r="AF713" s="154"/>
      <c r="AG713" s="244"/>
      <c r="AH713" s="154"/>
      <c r="AI713" s="154"/>
      <c r="AJ713" s="154"/>
      <c r="AK713" s="244"/>
      <c r="AL713" s="154"/>
      <c r="AM713" s="242"/>
      <c r="AN713" s="154"/>
      <c r="AO713" s="154"/>
      <c r="AP713" s="154"/>
    </row>
    <row r="714">
      <c r="A714" s="154"/>
      <c r="B714" s="154"/>
      <c r="C714" s="242"/>
      <c r="D714" s="154"/>
      <c r="E714" s="154"/>
      <c r="F714" s="154"/>
      <c r="G714" s="242"/>
      <c r="H714" s="154"/>
      <c r="I714" s="154"/>
      <c r="J714" s="154"/>
      <c r="K714" s="242"/>
      <c r="L714" s="154"/>
      <c r="M714" s="154"/>
      <c r="N714" s="154"/>
      <c r="O714" s="154"/>
      <c r="P714" s="154"/>
      <c r="Q714" s="154"/>
      <c r="R714" s="154"/>
      <c r="S714" s="243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  <c r="AF714" s="154"/>
      <c r="AG714" s="244"/>
      <c r="AH714" s="154"/>
      <c r="AI714" s="154"/>
      <c r="AJ714" s="154"/>
      <c r="AK714" s="244"/>
      <c r="AL714" s="154"/>
      <c r="AM714" s="242"/>
      <c r="AN714" s="154"/>
      <c r="AO714" s="154"/>
      <c r="AP714" s="154"/>
    </row>
    <row r="715">
      <c r="A715" s="154"/>
      <c r="B715" s="154"/>
      <c r="C715" s="242"/>
      <c r="D715" s="154"/>
      <c r="E715" s="154"/>
      <c r="F715" s="154"/>
      <c r="G715" s="242"/>
      <c r="H715" s="154"/>
      <c r="I715" s="154"/>
      <c r="J715" s="154"/>
      <c r="K715" s="242"/>
      <c r="L715" s="154"/>
      <c r="M715" s="154"/>
      <c r="N715" s="154"/>
      <c r="O715" s="154"/>
      <c r="P715" s="154"/>
      <c r="Q715" s="154"/>
      <c r="R715" s="154"/>
      <c r="S715" s="243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  <c r="AF715" s="154"/>
      <c r="AG715" s="244"/>
      <c r="AH715" s="154"/>
      <c r="AI715" s="154"/>
      <c r="AJ715" s="154"/>
      <c r="AK715" s="244"/>
      <c r="AL715" s="154"/>
      <c r="AM715" s="242"/>
      <c r="AN715" s="154"/>
      <c r="AO715" s="154"/>
      <c r="AP715" s="154"/>
    </row>
    <row r="716">
      <c r="A716" s="154"/>
      <c r="B716" s="154"/>
      <c r="C716" s="242"/>
      <c r="D716" s="154"/>
      <c r="E716" s="154"/>
      <c r="F716" s="154"/>
      <c r="G716" s="242"/>
      <c r="H716" s="154"/>
      <c r="I716" s="154"/>
      <c r="J716" s="154"/>
      <c r="K716" s="242"/>
      <c r="L716" s="154"/>
      <c r="M716" s="154"/>
      <c r="N716" s="154"/>
      <c r="O716" s="154"/>
      <c r="P716" s="154"/>
      <c r="Q716" s="154"/>
      <c r="R716" s="154"/>
      <c r="S716" s="243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  <c r="AF716" s="154"/>
      <c r="AG716" s="244"/>
      <c r="AH716" s="154"/>
      <c r="AI716" s="154"/>
      <c r="AJ716" s="154"/>
      <c r="AK716" s="244"/>
      <c r="AL716" s="154"/>
      <c r="AM716" s="242"/>
      <c r="AN716" s="154"/>
      <c r="AO716" s="154"/>
      <c r="AP716" s="154"/>
    </row>
    <row r="717">
      <c r="A717" s="154"/>
      <c r="B717" s="154"/>
      <c r="C717" s="242"/>
      <c r="D717" s="154"/>
      <c r="E717" s="154"/>
      <c r="F717" s="154"/>
      <c r="G717" s="242"/>
      <c r="H717" s="154"/>
      <c r="I717" s="154"/>
      <c r="J717" s="154"/>
      <c r="K717" s="242"/>
      <c r="L717" s="154"/>
      <c r="M717" s="154"/>
      <c r="N717" s="154"/>
      <c r="O717" s="154"/>
      <c r="P717" s="154"/>
      <c r="Q717" s="154"/>
      <c r="R717" s="154"/>
      <c r="S717" s="243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  <c r="AF717" s="154"/>
      <c r="AG717" s="244"/>
      <c r="AH717" s="154"/>
      <c r="AI717" s="154"/>
      <c r="AJ717" s="154"/>
      <c r="AK717" s="244"/>
      <c r="AL717" s="154"/>
      <c r="AM717" s="242"/>
      <c r="AN717" s="154"/>
      <c r="AO717" s="154"/>
      <c r="AP717" s="154"/>
    </row>
    <row r="718">
      <c r="A718" s="154"/>
      <c r="B718" s="154"/>
      <c r="C718" s="242"/>
      <c r="D718" s="154"/>
      <c r="E718" s="154"/>
      <c r="F718" s="154"/>
      <c r="G718" s="242"/>
      <c r="H718" s="154"/>
      <c r="I718" s="154"/>
      <c r="J718" s="154"/>
      <c r="K718" s="242"/>
      <c r="L718" s="154"/>
      <c r="M718" s="154"/>
      <c r="N718" s="154"/>
      <c r="O718" s="154"/>
      <c r="P718" s="154"/>
      <c r="Q718" s="154"/>
      <c r="R718" s="154"/>
      <c r="S718" s="243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  <c r="AF718" s="154"/>
      <c r="AG718" s="244"/>
      <c r="AH718" s="154"/>
      <c r="AI718" s="154"/>
      <c r="AJ718" s="154"/>
      <c r="AK718" s="244"/>
      <c r="AL718" s="154"/>
      <c r="AM718" s="242"/>
      <c r="AN718" s="154"/>
      <c r="AO718" s="154"/>
      <c r="AP718" s="154"/>
    </row>
    <row r="719">
      <c r="A719" s="154"/>
      <c r="B719" s="154"/>
      <c r="C719" s="242"/>
      <c r="D719" s="154"/>
      <c r="E719" s="154"/>
      <c r="F719" s="154"/>
      <c r="G719" s="242"/>
      <c r="H719" s="154"/>
      <c r="I719" s="154"/>
      <c r="J719" s="154"/>
      <c r="K719" s="242"/>
      <c r="L719" s="154"/>
      <c r="M719" s="154"/>
      <c r="N719" s="154"/>
      <c r="O719" s="154"/>
      <c r="P719" s="154"/>
      <c r="Q719" s="154"/>
      <c r="R719" s="154"/>
      <c r="S719" s="243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  <c r="AF719" s="154"/>
      <c r="AG719" s="244"/>
      <c r="AH719" s="154"/>
      <c r="AI719" s="154"/>
      <c r="AJ719" s="154"/>
      <c r="AK719" s="244"/>
      <c r="AL719" s="154"/>
      <c r="AM719" s="242"/>
      <c r="AN719" s="154"/>
      <c r="AO719" s="154"/>
      <c r="AP719" s="154"/>
    </row>
    <row r="720">
      <c r="A720" s="154"/>
      <c r="B720" s="154"/>
      <c r="C720" s="242"/>
      <c r="D720" s="154"/>
      <c r="E720" s="154"/>
      <c r="F720" s="154"/>
      <c r="G720" s="242"/>
      <c r="H720" s="154"/>
      <c r="I720" s="154"/>
      <c r="J720" s="154"/>
      <c r="K720" s="242"/>
      <c r="L720" s="154"/>
      <c r="M720" s="154"/>
      <c r="N720" s="154"/>
      <c r="O720" s="154"/>
      <c r="P720" s="154"/>
      <c r="Q720" s="154"/>
      <c r="R720" s="154"/>
      <c r="S720" s="243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  <c r="AF720" s="154"/>
      <c r="AG720" s="244"/>
      <c r="AH720" s="154"/>
      <c r="AI720" s="154"/>
      <c r="AJ720" s="154"/>
      <c r="AK720" s="244"/>
      <c r="AL720" s="154"/>
      <c r="AM720" s="242"/>
      <c r="AN720" s="154"/>
      <c r="AO720" s="154"/>
      <c r="AP720" s="154"/>
    </row>
    <row r="721">
      <c r="A721" s="154"/>
      <c r="B721" s="154"/>
      <c r="C721" s="242"/>
      <c r="D721" s="154"/>
      <c r="E721" s="154"/>
      <c r="F721" s="154"/>
      <c r="G721" s="242"/>
      <c r="H721" s="154"/>
      <c r="I721" s="154"/>
      <c r="J721" s="154"/>
      <c r="K721" s="242"/>
      <c r="L721" s="154"/>
      <c r="M721" s="154"/>
      <c r="N721" s="154"/>
      <c r="O721" s="154"/>
      <c r="P721" s="154"/>
      <c r="Q721" s="154"/>
      <c r="R721" s="154"/>
      <c r="S721" s="243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  <c r="AF721" s="154"/>
      <c r="AG721" s="244"/>
      <c r="AH721" s="154"/>
      <c r="AI721" s="154"/>
      <c r="AJ721" s="154"/>
      <c r="AK721" s="244"/>
      <c r="AL721" s="154"/>
      <c r="AM721" s="242"/>
      <c r="AN721" s="154"/>
      <c r="AO721" s="154"/>
      <c r="AP721" s="154"/>
    </row>
    <row r="722">
      <c r="A722" s="154"/>
      <c r="B722" s="154"/>
      <c r="C722" s="242"/>
      <c r="D722" s="154"/>
      <c r="E722" s="154"/>
      <c r="F722" s="154"/>
      <c r="G722" s="242"/>
      <c r="H722" s="154"/>
      <c r="I722" s="154"/>
      <c r="J722" s="154"/>
      <c r="K722" s="242"/>
      <c r="L722" s="154"/>
      <c r="M722" s="154"/>
      <c r="N722" s="154"/>
      <c r="O722" s="154"/>
      <c r="P722" s="154"/>
      <c r="Q722" s="154"/>
      <c r="R722" s="154"/>
      <c r="S722" s="243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  <c r="AF722" s="154"/>
      <c r="AG722" s="244"/>
      <c r="AH722" s="154"/>
      <c r="AI722" s="154"/>
      <c r="AJ722" s="154"/>
      <c r="AK722" s="244"/>
      <c r="AL722" s="154"/>
      <c r="AM722" s="242"/>
      <c r="AN722" s="154"/>
      <c r="AO722" s="154"/>
      <c r="AP722" s="154"/>
    </row>
    <row r="723">
      <c r="A723" s="154"/>
      <c r="B723" s="154"/>
      <c r="C723" s="242"/>
      <c r="D723" s="154"/>
      <c r="E723" s="154"/>
      <c r="F723" s="154"/>
      <c r="G723" s="242"/>
      <c r="H723" s="154"/>
      <c r="I723" s="154"/>
      <c r="J723" s="154"/>
      <c r="K723" s="242"/>
      <c r="L723" s="154"/>
      <c r="M723" s="154"/>
      <c r="N723" s="154"/>
      <c r="O723" s="154"/>
      <c r="P723" s="154"/>
      <c r="Q723" s="154"/>
      <c r="R723" s="154"/>
      <c r="S723" s="243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  <c r="AF723" s="154"/>
      <c r="AG723" s="244"/>
      <c r="AH723" s="154"/>
      <c r="AI723" s="154"/>
      <c r="AJ723" s="154"/>
      <c r="AK723" s="244"/>
      <c r="AL723" s="154"/>
      <c r="AM723" s="242"/>
      <c r="AN723" s="154"/>
      <c r="AO723" s="154"/>
      <c r="AP723" s="154"/>
    </row>
    <row r="724">
      <c r="A724" s="154"/>
      <c r="B724" s="154"/>
      <c r="C724" s="242"/>
      <c r="D724" s="154"/>
      <c r="E724" s="154"/>
      <c r="F724" s="154"/>
      <c r="G724" s="242"/>
      <c r="H724" s="154"/>
      <c r="I724" s="154"/>
      <c r="J724" s="154"/>
      <c r="K724" s="242"/>
      <c r="L724" s="154"/>
      <c r="M724" s="154"/>
      <c r="N724" s="154"/>
      <c r="O724" s="154"/>
      <c r="P724" s="154"/>
      <c r="Q724" s="154"/>
      <c r="R724" s="154"/>
      <c r="S724" s="243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  <c r="AF724" s="154"/>
      <c r="AG724" s="244"/>
      <c r="AH724" s="154"/>
      <c r="AI724" s="154"/>
      <c r="AJ724" s="154"/>
      <c r="AK724" s="244"/>
      <c r="AL724" s="154"/>
      <c r="AM724" s="242"/>
      <c r="AN724" s="154"/>
      <c r="AO724" s="154"/>
      <c r="AP724" s="154"/>
    </row>
    <row r="725">
      <c r="A725" s="154"/>
      <c r="B725" s="154"/>
      <c r="C725" s="242"/>
      <c r="D725" s="154"/>
      <c r="E725" s="154"/>
      <c r="F725" s="154"/>
      <c r="G725" s="242"/>
      <c r="H725" s="154"/>
      <c r="I725" s="154"/>
      <c r="J725" s="154"/>
      <c r="K725" s="242"/>
      <c r="L725" s="154"/>
      <c r="M725" s="154"/>
      <c r="N725" s="154"/>
      <c r="O725" s="154"/>
      <c r="P725" s="154"/>
      <c r="Q725" s="154"/>
      <c r="R725" s="154"/>
      <c r="S725" s="243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  <c r="AF725" s="154"/>
      <c r="AG725" s="244"/>
      <c r="AH725" s="154"/>
      <c r="AI725" s="154"/>
      <c r="AJ725" s="154"/>
      <c r="AK725" s="244"/>
      <c r="AL725" s="154"/>
      <c r="AM725" s="242"/>
      <c r="AN725" s="154"/>
      <c r="AO725" s="154"/>
      <c r="AP725" s="154"/>
    </row>
    <row r="726">
      <c r="A726" s="154"/>
      <c r="B726" s="154"/>
      <c r="C726" s="242"/>
      <c r="D726" s="154"/>
      <c r="E726" s="154"/>
      <c r="F726" s="154"/>
      <c r="G726" s="242"/>
      <c r="H726" s="154"/>
      <c r="I726" s="154"/>
      <c r="J726" s="154"/>
      <c r="K726" s="242"/>
      <c r="L726" s="154"/>
      <c r="M726" s="154"/>
      <c r="N726" s="154"/>
      <c r="O726" s="154"/>
      <c r="P726" s="154"/>
      <c r="Q726" s="154"/>
      <c r="R726" s="154"/>
      <c r="S726" s="243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  <c r="AF726" s="154"/>
      <c r="AG726" s="244"/>
      <c r="AH726" s="154"/>
      <c r="AI726" s="154"/>
      <c r="AJ726" s="154"/>
      <c r="AK726" s="244"/>
      <c r="AL726" s="154"/>
      <c r="AM726" s="242"/>
      <c r="AN726" s="154"/>
      <c r="AO726" s="154"/>
      <c r="AP726" s="154"/>
    </row>
    <row r="727">
      <c r="A727" s="154"/>
      <c r="B727" s="154"/>
      <c r="C727" s="242"/>
      <c r="D727" s="154"/>
      <c r="E727" s="154"/>
      <c r="F727" s="154"/>
      <c r="G727" s="242"/>
      <c r="H727" s="154"/>
      <c r="I727" s="154"/>
      <c r="J727" s="154"/>
      <c r="K727" s="242"/>
      <c r="L727" s="154"/>
      <c r="M727" s="154"/>
      <c r="N727" s="154"/>
      <c r="O727" s="154"/>
      <c r="P727" s="154"/>
      <c r="Q727" s="154"/>
      <c r="R727" s="154"/>
      <c r="S727" s="243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  <c r="AF727" s="154"/>
      <c r="AG727" s="244"/>
      <c r="AH727" s="154"/>
      <c r="AI727" s="154"/>
      <c r="AJ727" s="154"/>
      <c r="AK727" s="244"/>
      <c r="AL727" s="154"/>
      <c r="AM727" s="242"/>
      <c r="AN727" s="154"/>
      <c r="AO727" s="154"/>
      <c r="AP727" s="154"/>
    </row>
    <row r="728">
      <c r="A728" s="154"/>
      <c r="B728" s="154"/>
      <c r="C728" s="242"/>
      <c r="D728" s="154"/>
      <c r="E728" s="154"/>
      <c r="F728" s="154"/>
      <c r="G728" s="242"/>
      <c r="H728" s="154"/>
      <c r="I728" s="154"/>
      <c r="J728" s="154"/>
      <c r="K728" s="242"/>
      <c r="L728" s="154"/>
      <c r="M728" s="154"/>
      <c r="N728" s="154"/>
      <c r="O728" s="154"/>
      <c r="P728" s="154"/>
      <c r="Q728" s="154"/>
      <c r="R728" s="154"/>
      <c r="S728" s="243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  <c r="AF728" s="154"/>
      <c r="AG728" s="244"/>
      <c r="AH728" s="154"/>
      <c r="AI728" s="154"/>
      <c r="AJ728" s="154"/>
      <c r="AK728" s="244"/>
      <c r="AL728" s="154"/>
      <c r="AM728" s="242"/>
      <c r="AN728" s="154"/>
      <c r="AO728" s="154"/>
      <c r="AP728" s="154"/>
    </row>
    <row r="729">
      <c r="A729" s="154"/>
      <c r="B729" s="154"/>
      <c r="C729" s="242"/>
      <c r="D729" s="154"/>
      <c r="E729" s="154"/>
      <c r="F729" s="154"/>
      <c r="G729" s="242"/>
      <c r="H729" s="154"/>
      <c r="I729" s="154"/>
      <c r="J729" s="154"/>
      <c r="K729" s="242"/>
      <c r="L729" s="154"/>
      <c r="M729" s="154"/>
      <c r="N729" s="154"/>
      <c r="O729" s="154"/>
      <c r="P729" s="154"/>
      <c r="Q729" s="154"/>
      <c r="R729" s="154"/>
      <c r="S729" s="243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  <c r="AF729" s="154"/>
      <c r="AG729" s="244"/>
      <c r="AH729" s="154"/>
      <c r="AI729" s="154"/>
      <c r="AJ729" s="154"/>
      <c r="AK729" s="244"/>
      <c r="AL729" s="154"/>
      <c r="AM729" s="242"/>
      <c r="AN729" s="154"/>
      <c r="AO729" s="154"/>
      <c r="AP729" s="154"/>
    </row>
    <row r="730">
      <c r="A730" s="154"/>
      <c r="B730" s="154"/>
      <c r="C730" s="242"/>
      <c r="D730" s="154"/>
      <c r="E730" s="154"/>
      <c r="F730" s="154"/>
      <c r="G730" s="242"/>
      <c r="H730" s="154"/>
      <c r="I730" s="154"/>
      <c r="J730" s="154"/>
      <c r="K730" s="242"/>
      <c r="L730" s="154"/>
      <c r="M730" s="154"/>
      <c r="N730" s="154"/>
      <c r="O730" s="154"/>
      <c r="P730" s="154"/>
      <c r="Q730" s="154"/>
      <c r="R730" s="154"/>
      <c r="S730" s="243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  <c r="AF730" s="154"/>
      <c r="AG730" s="244"/>
      <c r="AH730" s="154"/>
      <c r="AI730" s="154"/>
      <c r="AJ730" s="154"/>
      <c r="AK730" s="244"/>
      <c r="AL730" s="154"/>
      <c r="AM730" s="242"/>
      <c r="AN730" s="154"/>
      <c r="AO730" s="154"/>
      <c r="AP730" s="154"/>
    </row>
    <row r="731">
      <c r="A731" s="154"/>
      <c r="B731" s="154"/>
      <c r="C731" s="242"/>
      <c r="D731" s="154"/>
      <c r="E731" s="154"/>
      <c r="F731" s="154"/>
      <c r="G731" s="242"/>
      <c r="H731" s="154"/>
      <c r="I731" s="154"/>
      <c r="J731" s="154"/>
      <c r="K731" s="242"/>
      <c r="L731" s="154"/>
      <c r="M731" s="154"/>
      <c r="N731" s="154"/>
      <c r="O731" s="154"/>
      <c r="P731" s="154"/>
      <c r="Q731" s="154"/>
      <c r="R731" s="154"/>
      <c r="S731" s="243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  <c r="AF731" s="154"/>
      <c r="AG731" s="244"/>
      <c r="AH731" s="154"/>
      <c r="AI731" s="154"/>
      <c r="AJ731" s="154"/>
      <c r="AK731" s="244"/>
      <c r="AL731" s="154"/>
      <c r="AM731" s="242"/>
      <c r="AN731" s="154"/>
      <c r="AO731" s="154"/>
      <c r="AP731" s="154"/>
    </row>
    <row r="732">
      <c r="A732" s="154"/>
      <c r="B732" s="154"/>
      <c r="C732" s="242"/>
      <c r="D732" s="154"/>
      <c r="E732" s="154"/>
      <c r="F732" s="154"/>
      <c r="G732" s="242"/>
      <c r="H732" s="154"/>
      <c r="I732" s="154"/>
      <c r="J732" s="154"/>
      <c r="K732" s="242"/>
      <c r="L732" s="154"/>
      <c r="M732" s="154"/>
      <c r="N732" s="154"/>
      <c r="O732" s="154"/>
      <c r="P732" s="154"/>
      <c r="Q732" s="154"/>
      <c r="R732" s="154"/>
      <c r="S732" s="243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  <c r="AF732" s="154"/>
      <c r="AG732" s="244"/>
      <c r="AH732" s="154"/>
      <c r="AI732" s="154"/>
      <c r="AJ732" s="154"/>
      <c r="AK732" s="244"/>
      <c r="AL732" s="154"/>
      <c r="AM732" s="242"/>
      <c r="AN732" s="154"/>
      <c r="AO732" s="154"/>
      <c r="AP732" s="154"/>
    </row>
    <row r="733">
      <c r="A733" s="154"/>
      <c r="B733" s="154"/>
      <c r="C733" s="242"/>
      <c r="D733" s="154"/>
      <c r="E733" s="154"/>
      <c r="F733" s="154"/>
      <c r="G733" s="242"/>
      <c r="H733" s="154"/>
      <c r="I733" s="154"/>
      <c r="J733" s="154"/>
      <c r="K733" s="242"/>
      <c r="L733" s="154"/>
      <c r="M733" s="154"/>
      <c r="N733" s="154"/>
      <c r="O733" s="154"/>
      <c r="P733" s="154"/>
      <c r="Q733" s="154"/>
      <c r="R733" s="154"/>
      <c r="S733" s="243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  <c r="AF733" s="154"/>
      <c r="AG733" s="244"/>
      <c r="AH733" s="154"/>
      <c r="AI733" s="154"/>
      <c r="AJ733" s="154"/>
      <c r="AK733" s="244"/>
      <c r="AL733" s="154"/>
      <c r="AM733" s="242"/>
      <c r="AN733" s="154"/>
      <c r="AO733" s="154"/>
      <c r="AP733" s="154"/>
    </row>
    <row r="734">
      <c r="A734" s="154"/>
      <c r="B734" s="154"/>
      <c r="C734" s="242"/>
      <c r="D734" s="154"/>
      <c r="E734" s="154"/>
      <c r="F734" s="154"/>
      <c r="G734" s="242"/>
      <c r="H734" s="154"/>
      <c r="I734" s="154"/>
      <c r="J734" s="154"/>
      <c r="K734" s="242"/>
      <c r="L734" s="154"/>
      <c r="M734" s="154"/>
      <c r="N734" s="154"/>
      <c r="O734" s="154"/>
      <c r="P734" s="154"/>
      <c r="Q734" s="154"/>
      <c r="R734" s="154"/>
      <c r="S734" s="243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  <c r="AF734" s="154"/>
      <c r="AG734" s="244"/>
      <c r="AH734" s="154"/>
      <c r="AI734" s="154"/>
      <c r="AJ734" s="154"/>
      <c r="AK734" s="244"/>
      <c r="AL734" s="154"/>
      <c r="AM734" s="242"/>
      <c r="AN734" s="154"/>
      <c r="AO734" s="154"/>
      <c r="AP734" s="154"/>
    </row>
    <row r="735">
      <c r="A735" s="154"/>
      <c r="B735" s="154"/>
      <c r="C735" s="242"/>
      <c r="D735" s="154"/>
      <c r="E735" s="154"/>
      <c r="F735" s="154"/>
      <c r="G735" s="242"/>
      <c r="H735" s="154"/>
      <c r="I735" s="154"/>
      <c r="J735" s="154"/>
      <c r="K735" s="242"/>
      <c r="L735" s="154"/>
      <c r="M735" s="154"/>
      <c r="N735" s="154"/>
      <c r="O735" s="154"/>
      <c r="P735" s="154"/>
      <c r="Q735" s="154"/>
      <c r="R735" s="154"/>
      <c r="S735" s="243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  <c r="AF735" s="154"/>
      <c r="AG735" s="244"/>
      <c r="AH735" s="154"/>
      <c r="AI735" s="154"/>
      <c r="AJ735" s="154"/>
      <c r="AK735" s="244"/>
      <c r="AL735" s="154"/>
      <c r="AM735" s="242"/>
      <c r="AN735" s="154"/>
      <c r="AO735" s="154"/>
      <c r="AP735" s="154"/>
    </row>
    <row r="736">
      <c r="A736" s="154"/>
      <c r="B736" s="154"/>
      <c r="C736" s="242"/>
      <c r="D736" s="154"/>
      <c r="E736" s="154"/>
      <c r="F736" s="154"/>
      <c r="G736" s="242"/>
      <c r="H736" s="154"/>
      <c r="I736" s="154"/>
      <c r="J736" s="154"/>
      <c r="K736" s="242"/>
      <c r="L736" s="154"/>
      <c r="M736" s="154"/>
      <c r="N736" s="154"/>
      <c r="O736" s="154"/>
      <c r="P736" s="154"/>
      <c r="Q736" s="154"/>
      <c r="R736" s="154"/>
      <c r="S736" s="243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  <c r="AF736" s="154"/>
      <c r="AG736" s="244"/>
      <c r="AH736" s="154"/>
      <c r="AI736" s="154"/>
      <c r="AJ736" s="154"/>
      <c r="AK736" s="244"/>
      <c r="AL736" s="154"/>
      <c r="AM736" s="242"/>
      <c r="AN736" s="154"/>
      <c r="AO736" s="154"/>
      <c r="AP736" s="154"/>
    </row>
    <row r="737">
      <c r="A737" s="154"/>
      <c r="B737" s="154"/>
      <c r="C737" s="242"/>
      <c r="D737" s="154"/>
      <c r="E737" s="154"/>
      <c r="F737" s="154"/>
      <c r="G737" s="242"/>
      <c r="H737" s="154"/>
      <c r="I737" s="154"/>
      <c r="J737" s="154"/>
      <c r="K737" s="242"/>
      <c r="L737" s="154"/>
      <c r="M737" s="154"/>
      <c r="N737" s="154"/>
      <c r="O737" s="154"/>
      <c r="P737" s="154"/>
      <c r="Q737" s="154"/>
      <c r="R737" s="154"/>
      <c r="S737" s="243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  <c r="AF737" s="154"/>
      <c r="AG737" s="244"/>
      <c r="AH737" s="154"/>
      <c r="AI737" s="154"/>
      <c r="AJ737" s="154"/>
      <c r="AK737" s="244"/>
      <c r="AL737" s="154"/>
      <c r="AM737" s="242"/>
      <c r="AN737" s="154"/>
      <c r="AO737" s="154"/>
      <c r="AP737" s="154"/>
    </row>
    <row r="738">
      <c r="A738" s="154"/>
      <c r="B738" s="154"/>
      <c r="C738" s="242"/>
      <c r="D738" s="154"/>
      <c r="E738" s="154"/>
      <c r="F738" s="154"/>
      <c r="G738" s="242"/>
      <c r="H738" s="154"/>
      <c r="I738" s="154"/>
      <c r="J738" s="154"/>
      <c r="K738" s="242"/>
      <c r="L738" s="154"/>
      <c r="M738" s="154"/>
      <c r="N738" s="154"/>
      <c r="O738" s="154"/>
      <c r="P738" s="154"/>
      <c r="Q738" s="154"/>
      <c r="R738" s="154"/>
      <c r="S738" s="243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  <c r="AF738" s="154"/>
      <c r="AG738" s="244"/>
      <c r="AH738" s="154"/>
      <c r="AI738" s="154"/>
      <c r="AJ738" s="154"/>
      <c r="AK738" s="244"/>
      <c r="AL738" s="154"/>
      <c r="AM738" s="242"/>
      <c r="AN738" s="154"/>
      <c r="AO738" s="154"/>
      <c r="AP738" s="154"/>
    </row>
    <row r="739">
      <c r="A739" s="154"/>
      <c r="B739" s="154"/>
      <c r="C739" s="242"/>
      <c r="D739" s="154"/>
      <c r="E739" s="154"/>
      <c r="F739" s="154"/>
      <c r="G739" s="242"/>
      <c r="H739" s="154"/>
      <c r="I739" s="154"/>
      <c r="J739" s="154"/>
      <c r="K739" s="242"/>
      <c r="L739" s="154"/>
      <c r="M739" s="154"/>
      <c r="N739" s="154"/>
      <c r="O739" s="154"/>
      <c r="P739" s="154"/>
      <c r="Q739" s="154"/>
      <c r="R739" s="154"/>
      <c r="S739" s="243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  <c r="AF739" s="154"/>
      <c r="AG739" s="244"/>
      <c r="AH739" s="154"/>
      <c r="AI739" s="154"/>
      <c r="AJ739" s="154"/>
      <c r="AK739" s="244"/>
      <c r="AL739" s="154"/>
      <c r="AM739" s="242"/>
      <c r="AN739" s="154"/>
      <c r="AO739" s="154"/>
      <c r="AP739" s="154"/>
    </row>
    <row r="740">
      <c r="A740" s="154"/>
      <c r="B740" s="154"/>
      <c r="C740" s="242"/>
      <c r="D740" s="154"/>
      <c r="E740" s="154"/>
      <c r="F740" s="154"/>
      <c r="G740" s="242"/>
      <c r="H740" s="154"/>
      <c r="I740" s="154"/>
      <c r="J740" s="154"/>
      <c r="K740" s="242"/>
      <c r="L740" s="154"/>
      <c r="M740" s="154"/>
      <c r="N740" s="154"/>
      <c r="O740" s="154"/>
      <c r="P740" s="154"/>
      <c r="Q740" s="154"/>
      <c r="R740" s="154"/>
      <c r="S740" s="243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  <c r="AF740" s="154"/>
      <c r="AG740" s="244"/>
      <c r="AH740" s="154"/>
      <c r="AI740" s="154"/>
      <c r="AJ740" s="154"/>
      <c r="AK740" s="244"/>
      <c r="AL740" s="154"/>
      <c r="AM740" s="242"/>
      <c r="AN740" s="154"/>
      <c r="AO740" s="154"/>
      <c r="AP740" s="154"/>
    </row>
    <row r="741">
      <c r="A741" s="154"/>
      <c r="B741" s="154"/>
      <c r="C741" s="242"/>
      <c r="D741" s="154"/>
      <c r="E741" s="154"/>
      <c r="F741" s="154"/>
      <c r="G741" s="242"/>
      <c r="H741" s="154"/>
      <c r="I741" s="154"/>
      <c r="J741" s="154"/>
      <c r="K741" s="242"/>
      <c r="L741" s="154"/>
      <c r="M741" s="154"/>
      <c r="N741" s="154"/>
      <c r="O741" s="154"/>
      <c r="P741" s="154"/>
      <c r="Q741" s="154"/>
      <c r="R741" s="154"/>
      <c r="S741" s="243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  <c r="AF741" s="154"/>
      <c r="AG741" s="244"/>
      <c r="AH741" s="154"/>
      <c r="AI741" s="154"/>
      <c r="AJ741" s="154"/>
      <c r="AK741" s="244"/>
      <c r="AL741" s="154"/>
      <c r="AM741" s="242"/>
      <c r="AN741" s="154"/>
      <c r="AO741" s="154"/>
      <c r="AP741" s="154"/>
    </row>
    <row r="742">
      <c r="A742" s="154"/>
      <c r="B742" s="154"/>
      <c r="C742" s="242"/>
      <c r="D742" s="154"/>
      <c r="E742" s="154"/>
      <c r="F742" s="154"/>
      <c r="G742" s="242"/>
      <c r="H742" s="154"/>
      <c r="I742" s="154"/>
      <c r="J742" s="154"/>
      <c r="K742" s="242"/>
      <c r="L742" s="154"/>
      <c r="M742" s="154"/>
      <c r="N742" s="154"/>
      <c r="O742" s="154"/>
      <c r="P742" s="154"/>
      <c r="Q742" s="154"/>
      <c r="R742" s="154"/>
      <c r="S742" s="243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  <c r="AF742" s="154"/>
      <c r="AG742" s="244"/>
      <c r="AH742" s="154"/>
      <c r="AI742" s="154"/>
      <c r="AJ742" s="154"/>
      <c r="AK742" s="244"/>
      <c r="AL742" s="154"/>
      <c r="AM742" s="242"/>
      <c r="AN742" s="154"/>
      <c r="AO742" s="154"/>
      <c r="AP742" s="154"/>
    </row>
    <row r="743">
      <c r="A743" s="154"/>
      <c r="B743" s="154"/>
      <c r="C743" s="242"/>
      <c r="D743" s="154"/>
      <c r="E743" s="154"/>
      <c r="F743" s="154"/>
      <c r="G743" s="242"/>
      <c r="H743" s="154"/>
      <c r="I743" s="154"/>
      <c r="J743" s="154"/>
      <c r="K743" s="242"/>
      <c r="L743" s="154"/>
      <c r="M743" s="154"/>
      <c r="N743" s="154"/>
      <c r="O743" s="154"/>
      <c r="P743" s="154"/>
      <c r="Q743" s="154"/>
      <c r="R743" s="154"/>
      <c r="S743" s="243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  <c r="AF743" s="154"/>
      <c r="AG743" s="244"/>
      <c r="AH743" s="154"/>
      <c r="AI743" s="154"/>
      <c r="AJ743" s="154"/>
      <c r="AK743" s="244"/>
      <c r="AL743" s="154"/>
      <c r="AM743" s="242"/>
      <c r="AN743" s="154"/>
      <c r="AO743" s="154"/>
      <c r="AP743" s="154"/>
    </row>
    <row r="744">
      <c r="A744" s="154"/>
      <c r="B744" s="154"/>
      <c r="C744" s="242"/>
      <c r="D744" s="154"/>
      <c r="E744" s="154"/>
      <c r="F744" s="154"/>
      <c r="G744" s="242"/>
      <c r="H744" s="154"/>
      <c r="I744" s="154"/>
      <c r="J744" s="154"/>
      <c r="K744" s="242"/>
      <c r="L744" s="154"/>
      <c r="M744" s="154"/>
      <c r="N744" s="154"/>
      <c r="O744" s="154"/>
      <c r="P744" s="154"/>
      <c r="Q744" s="154"/>
      <c r="R744" s="154"/>
      <c r="S744" s="243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  <c r="AF744" s="154"/>
      <c r="AG744" s="244"/>
      <c r="AH744" s="154"/>
      <c r="AI744" s="154"/>
      <c r="AJ744" s="154"/>
      <c r="AK744" s="244"/>
      <c r="AL744" s="154"/>
      <c r="AM744" s="242"/>
      <c r="AN744" s="154"/>
      <c r="AO744" s="154"/>
      <c r="AP744" s="154"/>
    </row>
    <row r="745">
      <c r="A745" s="154"/>
      <c r="B745" s="154"/>
      <c r="C745" s="242"/>
      <c r="D745" s="154"/>
      <c r="E745" s="154"/>
      <c r="F745" s="154"/>
      <c r="G745" s="242"/>
      <c r="H745" s="154"/>
      <c r="I745" s="154"/>
      <c r="J745" s="154"/>
      <c r="K745" s="242"/>
      <c r="L745" s="154"/>
      <c r="M745" s="154"/>
      <c r="N745" s="154"/>
      <c r="O745" s="154"/>
      <c r="P745" s="154"/>
      <c r="Q745" s="154"/>
      <c r="R745" s="154"/>
      <c r="S745" s="243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  <c r="AF745" s="154"/>
      <c r="AG745" s="244"/>
      <c r="AH745" s="154"/>
      <c r="AI745" s="154"/>
      <c r="AJ745" s="154"/>
      <c r="AK745" s="244"/>
      <c r="AL745" s="154"/>
      <c r="AM745" s="242"/>
      <c r="AN745" s="154"/>
      <c r="AO745" s="154"/>
      <c r="AP745" s="154"/>
    </row>
    <row r="746">
      <c r="A746" s="154"/>
      <c r="B746" s="154"/>
      <c r="C746" s="242"/>
      <c r="D746" s="154"/>
      <c r="E746" s="154"/>
      <c r="F746" s="154"/>
      <c r="G746" s="242"/>
      <c r="H746" s="154"/>
      <c r="I746" s="154"/>
      <c r="J746" s="154"/>
      <c r="K746" s="242"/>
      <c r="L746" s="154"/>
      <c r="M746" s="154"/>
      <c r="N746" s="154"/>
      <c r="O746" s="154"/>
      <c r="P746" s="154"/>
      <c r="Q746" s="154"/>
      <c r="R746" s="154"/>
      <c r="S746" s="243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  <c r="AF746" s="154"/>
      <c r="AG746" s="244"/>
      <c r="AH746" s="154"/>
      <c r="AI746" s="154"/>
      <c r="AJ746" s="154"/>
      <c r="AK746" s="244"/>
      <c r="AL746" s="154"/>
      <c r="AM746" s="242"/>
      <c r="AN746" s="154"/>
      <c r="AO746" s="154"/>
      <c r="AP746" s="154"/>
    </row>
    <row r="747">
      <c r="A747" s="154"/>
      <c r="B747" s="154"/>
      <c r="C747" s="242"/>
      <c r="D747" s="154"/>
      <c r="E747" s="154"/>
      <c r="F747" s="154"/>
      <c r="G747" s="242"/>
      <c r="H747" s="154"/>
      <c r="I747" s="154"/>
      <c r="J747" s="154"/>
      <c r="K747" s="242"/>
      <c r="L747" s="154"/>
      <c r="M747" s="154"/>
      <c r="N747" s="154"/>
      <c r="O747" s="154"/>
      <c r="P747" s="154"/>
      <c r="Q747" s="154"/>
      <c r="R747" s="154"/>
      <c r="S747" s="243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  <c r="AF747" s="154"/>
      <c r="AG747" s="244"/>
      <c r="AH747" s="154"/>
      <c r="AI747" s="154"/>
      <c r="AJ747" s="154"/>
      <c r="AK747" s="244"/>
      <c r="AL747" s="154"/>
      <c r="AM747" s="242"/>
      <c r="AN747" s="154"/>
      <c r="AO747" s="154"/>
      <c r="AP747" s="154"/>
    </row>
    <row r="748">
      <c r="A748" s="154"/>
      <c r="B748" s="154"/>
      <c r="C748" s="242"/>
      <c r="D748" s="154"/>
      <c r="E748" s="154"/>
      <c r="F748" s="154"/>
      <c r="G748" s="242"/>
      <c r="H748" s="154"/>
      <c r="I748" s="154"/>
      <c r="J748" s="154"/>
      <c r="K748" s="242"/>
      <c r="L748" s="154"/>
      <c r="M748" s="154"/>
      <c r="N748" s="154"/>
      <c r="O748" s="154"/>
      <c r="P748" s="154"/>
      <c r="Q748" s="154"/>
      <c r="R748" s="154"/>
      <c r="S748" s="243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  <c r="AF748" s="154"/>
      <c r="AG748" s="244"/>
      <c r="AH748" s="154"/>
      <c r="AI748" s="154"/>
      <c r="AJ748" s="154"/>
      <c r="AK748" s="244"/>
      <c r="AL748" s="154"/>
      <c r="AM748" s="242"/>
      <c r="AN748" s="154"/>
      <c r="AO748" s="154"/>
      <c r="AP748" s="154"/>
    </row>
    <row r="749">
      <c r="A749" s="154"/>
      <c r="B749" s="154"/>
      <c r="C749" s="242"/>
      <c r="D749" s="154"/>
      <c r="E749" s="154"/>
      <c r="F749" s="154"/>
      <c r="G749" s="242"/>
      <c r="H749" s="154"/>
      <c r="I749" s="154"/>
      <c r="J749" s="154"/>
      <c r="K749" s="242"/>
      <c r="L749" s="154"/>
      <c r="M749" s="154"/>
      <c r="N749" s="154"/>
      <c r="O749" s="154"/>
      <c r="P749" s="154"/>
      <c r="Q749" s="154"/>
      <c r="R749" s="154"/>
      <c r="S749" s="243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  <c r="AF749" s="154"/>
      <c r="AG749" s="244"/>
      <c r="AH749" s="154"/>
      <c r="AI749" s="154"/>
      <c r="AJ749" s="154"/>
      <c r="AK749" s="244"/>
      <c r="AL749" s="154"/>
      <c r="AM749" s="242"/>
      <c r="AN749" s="154"/>
      <c r="AO749" s="154"/>
      <c r="AP749" s="154"/>
    </row>
    <row r="750">
      <c r="A750" s="154"/>
      <c r="B750" s="154"/>
      <c r="C750" s="242"/>
      <c r="D750" s="154"/>
      <c r="E750" s="154"/>
      <c r="F750" s="154"/>
      <c r="G750" s="242"/>
      <c r="H750" s="154"/>
      <c r="I750" s="154"/>
      <c r="J750" s="154"/>
      <c r="K750" s="242"/>
      <c r="L750" s="154"/>
      <c r="M750" s="154"/>
      <c r="N750" s="154"/>
      <c r="O750" s="154"/>
      <c r="P750" s="154"/>
      <c r="Q750" s="154"/>
      <c r="R750" s="154"/>
      <c r="S750" s="243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  <c r="AF750" s="154"/>
      <c r="AG750" s="244"/>
      <c r="AH750" s="154"/>
      <c r="AI750" s="154"/>
      <c r="AJ750" s="154"/>
      <c r="AK750" s="244"/>
      <c r="AL750" s="154"/>
      <c r="AM750" s="242"/>
      <c r="AN750" s="154"/>
      <c r="AO750" s="154"/>
      <c r="AP750" s="154"/>
    </row>
    <row r="751">
      <c r="A751" s="154"/>
      <c r="B751" s="154"/>
      <c r="C751" s="242"/>
      <c r="D751" s="154"/>
      <c r="E751" s="154"/>
      <c r="F751" s="154"/>
      <c r="G751" s="242"/>
      <c r="H751" s="154"/>
      <c r="I751" s="154"/>
      <c r="J751" s="154"/>
      <c r="K751" s="242"/>
      <c r="L751" s="154"/>
      <c r="M751" s="154"/>
      <c r="N751" s="154"/>
      <c r="O751" s="154"/>
      <c r="P751" s="154"/>
      <c r="Q751" s="154"/>
      <c r="R751" s="154"/>
      <c r="S751" s="243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  <c r="AF751" s="154"/>
      <c r="AG751" s="244"/>
      <c r="AH751" s="154"/>
      <c r="AI751" s="154"/>
      <c r="AJ751" s="154"/>
      <c r="AK751" s="244"/>
      <c r="AL751" s="154"/>
      <c r="AM751" s="242"/>
      <c r="AN751" s="154"/>
      <c r="AO751" s="154"/>
      <c r="AP751" s="154"/>
    </row>
    <row r="752">
      <c r="A752" s="154"/>
      <c r="B752" s="154"/>
      <c r="C752" s="242"/>
      <c r="D752" s="154"/>
      <c r="E752" s="154"/>
      <c r="F752" s="154"/>
      <c r="G752" s="242"/>
      <c r="H752" s="154"/>
      <c r="I752" s="154"/>
      <c r="J752" s="154"/>
      <c r="K752" s="242"/>
      <c r="L752" s="154"/>
      <c r="M752" s="154"/>
      <c r="N752" s="154"/>
      <c r="O752" s="154"/>
      <c r="P752" s="154"/>
      <c r="Q752" s="154"/>
      <c r="R752" s="154"/>
      <c r="S752" s="243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  <c r="AF752" s="154"/>
      <c r="AG752" s="244"/>
      <c r="AH752" s="154"/>
      <c r="AI752" s="154"/>
      <c r="AJ752" s="154"/>
      <c r="AK752" s="244"/>
      <c r="AL752" s="154"/>
      <c r="AM752" s="242"/>
      <c r="AN752" s="154"/>
      <c r="AO752" s="154"/>
      <c r="AP752" s="154"/>
    </row>
    <row r="753">
      <c r="A753" s="154"/>
      <c r="B753" s="154"/>
      <c r="C753" s="242"/>
      <c r="D753" s="154"/>
      <c r="E753" s="154"/>
      <c r="F753" s="154"/>
      <c r="G753" s="242"/>
      <c r="H753" s="154"/>
      <c r="I753" s="154"/>
      <c r="J753" s="154"/>
      <c r="K753" s="242"/>
      <c r="L753" s="154"/>
      <c r="M753" s="154"/>
      <c r="N753" s="154"/>
      <c r="O753" s="154"/>
      <c r="P753" s="154"/>
      <c r="Q753" s="154"/>
      <c r="R753" s="154"/>
      <c r="S753" s="243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  <c r="AF753" s="154"/>
      <c r="AG753" s="244"/>
      <c r="AH753" s="154"/>
      <c r="AI753" s="154"/>
      <c r="AJ753" s="154"/>
      <c r="AK753" s="244"/>
      <c r="AL753" s="154"/>
      <c r="AM753" s="242"/>
      <c r="AN753" s="154"/>
      <c r="AO753" s="154"/>
      <c r="AP753" s="154"/>
    </row>
    <row r="754">
      <c r="A754" s="154"/>
      <c r="B754" s="154"/>
      <c r="C754" s="242"/>
      <c r="D754" s="154"/>
      <c r="E754" s="154"/>
      <c r="F754" s="154"/>
      <c r="G754" s="242"/>
      <c r="H754" s="154"/>
      <c r="I754" s="154"/>
      <c r="J754" s="154"/>
      <c r="K754" s="242"/>
      <c r="L754" s="154"/>
      <c r="M754" s="154"/>
      <c r="N754" s="154"/>
      <c r="O754" s="154"/>
      <c r="P754" s="154"/>
      <c r="Q754" s="154"/>
      <c r="R754" s="154"/>
      <c r="S754" s="243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  <c r="AF754" s="154"/>
      <c r="AG754" s="244"/>
      <c r="AH754" s="154"/>
      <c r="AI754" s="154"/>
      <c r="AJ754" s="154"/>
      <c r="AK754" s="244"/>
      <c r="AL754" s="154"/>
      <c r="AM754" s="242"/>
      <c r="AN754" s="154"/>
      <c r="AO754" s="154"/>
      <c r="AP754" s="154"/>
    </row>
    <row r="755">
      <c r="A755" s="154"/>
      <c r="B755" s="154"/>
      <c r="C755" s="242"/>
      <c r="D755" s="154"/>
      <c r="E755" s="154"/>
      <c r="F755" s="154"/>
      <c r="G755" s="242"/>
      <c r="H755" s="154"/>
      <c r="I755" s="154"/>
      <c r="J755" s="154"/>
      <c r="K755" s="242"/>
      <c r="L755" s="154"/>
      <c r="M755" s="154"/>
      <c r="N755" s="154"/>
      <c r="O755" s="154"/>
      <c r="P755" s="154"/>
      <c r="Q755" s="154"/>
      <c r="R755" s="154"/>
      <c r="S755" s="243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  <c r="AF755" s="154"/>
      <c r="AG755" s="244"/>
      <c r="AH755" s="154"/>
      <c r="AI755" s="154"/>
      <c r="AJ755" s="154"/>
      <c r="AK755" s="244"/>
      <c r="AL755" s="154"/>
      <c r="AM755" s="242"/>
      <c r="AN755" s="154"/>
      <c r="AO755" s="154"/>
      <c r="AP755" s="154"/>
    </row>
    <row r="756">
      <c r="A756" s="154"/>
      <c r="B756" s="154"/>
      <c r="C756" s="242"/>
      <c r="D756" s="154"/>
      <c r="E756" s="154"/>
      <c r="F756" s="154"/>
      <c r="G756" s="242"/>
      <c r="H756" s="154"/>
      <c r="I756" s="154"/>
      <c r="J756" s="154"/>
      <c r="K756" s="242"/>
      <c r="L756" s="154"/>
      <c r="M756" s="154"/>
      <c r="N756" s="154"/>
      <c r="O756" s="154"/>
      <c r="P756" s="154"/>
      <c r="Q756" s="154"/>
      <c r="R756" s="154"/>
      <c r="S756" s="243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  <c r="AF756" s="154"/>
      <c r="AG756" s="244"/>
      <c r="AH756" s="154"/>
      <c r="AI756" s="154"/>
      <c r="AJ756" s="154"/>
      <c r="AK756" s="244"/>
      <c r="AL756" s="154"/>
      <c r="AM756" s="242"/>
      <c r="AN756" s="154"/>
      <c r="AO756" s="154"/>
      <c r="AP756" s="154"/>
    </row>
    <row r="757">
      <c r="A757" s="154"/>
      <c r="B757" s="154"/>
      <c r="C757" s="242"/>
      <c r="D757" s="154"/>
      <c r="E757" s="154"/>
      <c r="F757" s="154"/>
      <c r="G757" s="242"/>
      <c r="H757" s="154"/>
      <c r="I757" s="154"/>
      <c r="J757" s="154"/>
      <c r="K757" s="242"/>
      <c r="L757" s="154"/>
      <c r="M757" s="154"/>
      <c r="N757" s="154"/>
      <c r="O757" s="154"/>
      <c r="P757" s="154"/>
      <c r="Q757" s="154"/>
      <c r="R757" s="154"/>
      <c r="S757" s="243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  <c r="AF757" s="154"/>
      <c r="AG757" s="244"/>
      <c r="AH757" s="154"/>
      <c r="AI757" s="154"/>
      <c r="AJ757" s="154"/>
      <c r="AK757" s="244"/>
      <c r="AL757" s="154"/>
      <c r="AM757" s="242"/>
      <c r="AN757" s="154"/>
      <c r="AO757" s="154"/>
      <c r="AP757" s="154"/>
    </row>
    <row r="758">
      <c r="A758" s="154"/>
      <c r="B758" s="154"/>
      <c r="C758" s="242"/>
      <c r="D758" s="154"/>
      <c r="E758" s="154"/>
      <c r="F758" s="154"/>
      <c r="G758" s="242"/>
      <c r="H758" s="154"/>
      <c r="I758" s="154"/>
      <c r="J758" s="154"/>
      <c r="K758" s="242"/>
      <c r="L758" s="154"/>
      <c r="M758" s="154"/>
      <c r="N758" s="154"/>
      <c r="O758" s="154"/>
      <c r="P758" s="154"/>
      <c r="Q758" s="154"/>
      <c r="R758" s="154"/>
      <c r="S758" s="243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  <c r="AF758" s="154"/>
      <c r="AG758" s="244"/>
      <c r="AH758" s="154"/>
      <c r="AI758" s="154"/>
      <c r="AJ758" s="154"/>
      <c r="AK758" s="244"/>
      <c r="AL758" s="154"/>
      <c r="AM758" s="242"/>
      <c r="AN758" s="154"/>
      <c r="AO758" s="154"/>
      <c r="AP758" s="154"/>
    </row>
    <row r="759">
      <c r="A759" s="154"/>
      <c r="B759" s="154"/>
      <c r="C759" s="242"/>
      <c r="D759" s="154"/>
      <c r="E759" s="154"/>
      <c r="F759" s="154"/>
      <c r="G759" s="242"/>
      <c r="H759" s="154"/>
      <c r="I759" s="154"/>
      <c r="J759" s="154"/>
      <c r="K759" s="242"/>
      <c r="L759" s="154"/>
      <c r="M759" s="154"/>
      <c r="N759" s="154"/>
      <c r="O759" s="154"/>
      <c r="P759" s="154"/>
      <c r="Q759" s="154"/>
      <c r="R759" s="154"/>
      <c r="S759" s="243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  <c r="AF759" s="154"/>
      <c r="AG759" s="244"/>
      <c r="AH759" s="154"/>
      <c r="AI759" s="154"/>
      <c r="AJ759" s="154"/>
      <c r="AK759" s="244"/>
      <c r="AL759" s="154"/>
      <c r="AM759" s="242"/>
      <c r="AN759" s="154"/>
      <c r="AO759" s="154"/>
      <c r="AP759" s="154"/>
    </row>
    <row r="760">
      <c r="A760" s="154"/>
      <c r="B760" s="154"/>
      <c r="C760" s="242"/>
      <c r="D760" s="154"/>
      <c r="E760" s="154"/>
      <c r="F760" s="154"/>
      <c r="G760" s="242"/>
      <c r="H760" s="154"/>
      <c r="I760" s="154"/>
      <c r="J760" s="154"/>
      <c r="K760" s="242"/>
      <c r="L760" s="154"/>
      <c r="M760" s="154"/>
      <c r="N760" s="154"/>
      <c r="O760" s="154"/>
      <c r="P760" s="154"/>
      <c r="Q760" s="154"/>
      <c r="R760" s="154"/>
      <c r="S760" s="243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  <c r="AF760" s="154"/>
      <c r="AG760" s="244"/>
      <c r="AH760" s="154"/>
      <c r="AI760" s="154"/>
      <c r="AJ760" s="154"/>
      <c r="AK760" s="244"/>
      <c r="AL760" s="154"/>
      <c r="AM760" s="242"/>
      <c r="AN760" s="154"/>
      <c r="AO760" s="154"/>
      <c r="AP760" s="154"/>
    </row>
    <row r="761">
      <c r="A761" s="154"/>
      <c r="B761" s="154"/>
      <c r="C761" s="242"/>
      <c r="D761" s="154"/>
      <c r="E761" s="154"/>
      <c r="F761" s="154"/>
      <c r="G761" s="242"/>
      <c r="H761" s="154"/>
      <c r="I761" s="154"/>
      <c r="J761" s="154"/>
      <c r="K761" s="242"/>
      <c r="L761" s="154"/>
      <c r="M761" s="154"/>
      <c r="N761" s="154"/>
      <c r="O761" s="154"/>
      <c r="P761" s="154"/>
      <c r="Q761" s="154"/>
      <c r="R761" s="154"/>
      <c r="S761" s="243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  <c r="AF761" s="154"/>
      <c r="AG761" s="244"/>
      <c r="AH761" s="154"/>
      <c r="AI761" s="154"/>
      <c r="AJ761" s="154"/>
      <c r="AK761" s="244"/>
      <c r="AL761" s="154"/>
      <c r="AM761" s="242"/>
      <c r="AN761" s="154"/>
      <c r="AO761" s="154"/>
      <c r="AP761" s="154"/>
    </row>
    <row r="762">
      <c r="A762" s="154"/>
      <c r="B762" s="154"/>
      <c r="C762" s="242"/>
      <c r="D762" s="154"/>
      <c r="E762" s="154"/>
      <c r="F762" s="154"/>
      <c r="G762" s="242"/>
      <c r="H762" s="154"/>
      <c r="I762" s="154"/>
      <c r="J762" s="154"/>
      <c r="K762" s="242"/>
      <c r="L762" s="154"/>
      <c r="M762" s="154"/>
      <c r="N762" s="154"/>
      <c r="O762" s="154"/>
      <c r="P762" s="154"/>
      <c r="Q762" s="154"/>
      <c r="R762" s="154"/>
      <c r="S762" s="243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  <c r="AF762" s="154"/>
      <c r="AG762" s="244"/>
      <c r="AH762" s="154"/>
      <c r="AI762" s="154"/>
      <c r="AJ762" s="154"/>
      <c r="AK762" s="244"/>
      <c r="AL762" s="154"/>
      <c r="AM762" s="242"/>
      <c r="AN762" s="154"/>
      <c r="AO762" s="154"/>
      <c r="AP762" s="154"/>
    </row>
    <row r="763">
      <c r="A763" s="154"/>
      <c r="B763" s="154"/>
      <c r="C763" s="242"/>
      <c r="D763" s="154"/>
      <c r="E763" s="154"/>
      <c r="F763" s="154"/>
      <c r="G763" s="242"/>
      <c r="H763" s="154"/>
      <c r="I763" s="154"/>
      <c r="J763" s="154"/>
      <c r="K763" s="242"/>
      <c r="L763" s="154"/>
      <c r="M763" s="154"/>
      <c r="N763" s="154"/>
      <c r="O763" s="154"/>
      <c r="P763" s="154"/>
      <c r="Q763" s="154"/>
      <c r="R763" s="154"/>
      <c r="S763" s="243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  <c r="AF763" s="154"/>
      <c r="AG763" s="244"/>
      <c r="AH763" s="154"/>
      <c r="AI763" s="154"/>
      <c r="AJ763" s="154"/>
      <c r="AK763" s="244"/>
      <c r="AL763" s="154"/>
      <c r="AM763" s="242"/>
      <c r="AN763" s="154"/>
      <c r="AO763" s="154"/>
      <c r="AP763" s="154"/>
    </row>
    <row r="764">
      <c r="A764" s="154"/>
      <c r="B764" s="154"/>
      <c r="C764" s="242"/>
      <c r="D764" s="154"/>
      <c r="E764" s="154"/>
      <c r="F764" s="154"/>
      <c r="G764" s="242"/>
      <c r="H764" s="154"/>
      <c r="I764" s="154"/>
      <c r="J764" s="154"/>
      <c r="K764" s="242"/>
      <c r="L764" s="154"/>
      <c r="M764" s="154"/>
      <c r="N764" s="154"/>
      <c r="O764" s="154"/>
      <c r="P764" s="154"/>
      <c r="Q764" s="154"/>
      <c r="R764" s="154"/>
      <c r="S764" s="243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  <c r="AF764" s="154"/>
      <c r="AG764" s="244"/>
      <c r="AH764" s="154"/>
      <c r="AI764" s="154"/>
      <c r="AJ764" s="154"/>
      <c r="AK764" s="244"/>
      <c r="AL764" s="154"/>
      <c r="AM764" s="242"/>
      <c r="AN764" s="154"/>
      <c r="AO764" s="154"/>
      <c r="AP764" s="154"/>
    </row>
    <row r="765">
      <c r="A765" s="154"/>
      <c r="B765" s="154"/>
      <c r="C765" s="242"/>
      <c r="D765" s="154"/>
      <c r="E765" s="154"/>
      <c r="F765" s="154"/>
      <c r="G765" s="242"/>
      <c r="H765" s="154"/>
      <c r="I765" s="154"/>
      <c r="J765" s="154"/>
      <c r="K765" s="242"/>
      <c r="L765" s="154"/>
      <c r="M765" s="154"/>
      <c r="N765" s="154"/>
      <c r="O765" s="154"/>
      <c r="P765" s="154"/>
      <c r="Q765" s="154"/>
      <c r="R765" s="154"/>
      <c r="S765" s="243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  <c r="AF765" s="154"/>
      <c r="AG765" s="244"/>
      <c r="AH765" s="154"/>
      <c r="AI765" s="154"/>
      <c r="AJ765" s="154"/>
      <c r="AK765" s="244"/>
      <c r="AL765" s="154"/>
      <c r="AM765" s="242"/>
      <c r="AN765" s="154"/>
      <c r="AO765" s="154"/>
      <c r="AP765" s="154"/>
    </row>
    <row r="766">
      <c r="A766" s="154"/>
      <c r="B766" s="154"/>
      <c r="C766" s="242"/>
      <c r="D766" s="154"/>
      <c r="E766" s="154"/>
      <c r="F766" s="154"/>
      <c r="G766" s="242"/>
      <c r="H766" s="154"/>
      <c r="I766" s="154"/>
      <c r="J766" s="154"/>
      <c r="K766" s="242"/>
      <c r="L766" s="154"/>
      <c r="M766" s="154"/>
      <c r="N766" s="154"/>
      <c r="O766" s="154"/>
      <c r="P766" s="154"/>
      <c r="Q766" s="154"/>
      <c r="R766" s="154"/>
      <c r="S766" s="243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  <c r="AF766" s="154"/>
      <c r="AG766" s="244"/>
      <c r="AH766" s="154"/>
      <c r="AI766" s="154"/>
      <c r="AJ766" s="154"/>
      <c r="AK766" s="244"/>
      <c r="AL766" s="154"/>
      <c r="AM766" s="242"/>
      <c r="AN766" s="154"/>
      <c r="AO766" s="154"/>
      <c r="AP766" s="154"/>
    </row>
    <row r="767">
      <c r="A767" s="154"/>
      <c r="B767" s="154"/>
      <c r="C767" s="242"/>
      <c r="D767" s="154"/>
      <c r="E767" s="154"/>
      <c r="F767" s="154"/>
      <c r="G767" s="242"/>
      <c r="H767" s="154"/>
      <c r="I767" s="154"/>
      <c r="J767" s="154"/>
      <c r="K767" s="242"/>
      <c r="L767" s="154"/>
      <c r="M767" s="154"/>
      <c r="N767" s="154"/>
      <c r="O767" s="154"/>
      <c r="P767" s="154"/>
      <c r="Q767" s="154"/>
      <c r="R767" s="154"/>
      <c r="S767" s="243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  <c r="AF767" s="154"/>
      <c r="AG767" s="244"/>
      <c r="AH767" s="154"/>
      <c r="AI767" s="154"/>
      <c r="AJ767" s="154"/>
      <c r="AK767" s="244"/>
      <c r="AL767" s="154"/>
      <c r="AM767" s="242"/>
      <c r="AN767" s="154"/>
      <c r="AO767" s="154"/>
      <c r="AP767" s="154"/>
    </row>
    <row r="768">
      <c r="A768" s="154"/>
      <c r="B768" s="154"/>
      <c r="C768" s="242"/>
      <c r="D768" s="154"/>
      <c r="E768" s="154"/>
      <c r="F768" s="154"/>
      <c r="G768" s="242"/>
      <c r="H768" s="154"/>
      <c r="I768" s="154"/>
      <c r="J768" s="154"/>
      <c r="K768" s="242"/>
      <c r="L768" s="154"/>
      <c r="M768" s="154"/>
      <c r="N768" s="154"/>
      <c r="O768" s="154"/>
      <c r="P768" s="154"/>
      <c r="Q768" s="154"/>
      <c r="R768" s="154"/>
      <c r="S768" s="243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  <c r="AF768" s="154"/>
      <c r="AG768" s="244"/>
      <c r="AH768" s="154"/>
      <c r="AI768" s="154"/>
      <c r="AJ768" s="154"/>
      <c r="AK768" s="244"/>
      <c r="AL768" s="154"/>
      <c r="AM768" s="242"/>
      <c r="AN768" s="154"/>
      <c r="AO768" s="154"/>
      <c r="AP768" s="154"/>
    </row>
    <row r="769">
      <c r="A769" s="154"/>
      <c r="B769" s="154"/>
      <c r="C769" s="242"/>
      <c r="D769" s="154"/>
      <c r="E769" s="154"/>
      <c r="F769" s="154"/>
      <c r="G769" s="242"/>
      <c r="H769" s="154"/>
      <c r="I769" s="154"/>
      <c r="J769" s="154"/>
      <c r="K769" s="242"/>
      <c r="L769" s="154"/>
      <c r="M769" s="154"/>
      <c r="N769" s="154"/>
      <c r="O769" s="154"/>
      <c r="P769" s="154"/>
      <c r="Q769" s="154"/>
      <c r="R769" s="154"/>
      <c r="S769" s="243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  <c r="AF769" s="154"/>
      <c r="AG769" s="244"/>
      <c r="AH769" s="154"/>
      <c r="AI769" s="154"/>
      <c r="AJ769" s="154"/>
      <c r="AK769" s="244"/>
      <c r="AL769" s="154"/>
      <c r="AM769" s="242"/>
      <c r="AN769" s="154"/>
      <c r="AO769" s="154"/>
      <c r="AP769" s="154"/>
    </row>
    <row r="770">
      <c r="A770" s="154"/>
      <c r="B770" s="154"/>
      <c r="C770" s="242"/>
      <c r="D770" s="154"/>
      <c r="E770" s="154"/>
      <c r="F770" s="154"/>
      <c r="G770" s="242"/>
      <c r="H770" s="154"/>
      <c r="I770" s="154"/>
      <c r="J770" s="154"/>
      <c r="K770" s="242"/>
      <c r="L770" s="154"/>
      <c r="M770" s="154"/>
      <c r="N770" s="154"/>
      <c r="O770" s="154"/>
      <c r="P770" s="154"/>
      <c r="Q770" s="154"/>
      <c r="R770" s="154"/>
      <c r="S770" s="243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  <c r="AF770" s="154"/>
      <c r="AG770" s="244"/>
      <c r="AH770" s="154"/>
      <c r="AI770" s="154"/>
      <c r="AJ770" s="154"/>
      <c r="AK770" s="244"/>
      <c r="AL770" s="154"/>
      <c r="AM770" s="242"/>
      <c r="AN770" s="154"/>
      <c r="AO770" s="154"/>
      <c r="AP770" s="154"/>
    </row>
    <row r="771">
      <c r="A771" s="154"/>
      <c r="B771" s="154"/>
      <c r="C771" s="242"/>
      <c r="D771" s="154"/>
      <c r="E771" s="154"/>
      <c r="F771" s="154"/>
      <c r="G771" s="242"/>
      <c r="H771" s="154"/>
      <c r="I771" s="154"/>
      <c r="J771" s="154"/>
      <c r="K771" s="242"/>
      <c r="L771" s="154"/>
      <c r="M771" s="154"/>
      <c r="N771" s="154"/>
      <c r="O771" s="154"/>
      <c r="P771" s="154"/>
      <c r="Q771" s="154"/>
      <c r="R771" s="154"/>
      <c r="S771" s="243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  <c r="AF771" s="154"/>
      <c r="AG771" s="244"/>
      <c r="AH771" s="154"/>
      <c r="AI771" s="154"/>
      <c r="AJ771" s="154"/>
      <c r="AK771" s="244"/>
      <c r="AL771" s="154"/>
      <c r="AM771" s="242"/>
      <c r="AN771" s="154"/>
      <c r="AO771" s="154"/>
      <c r="AP771" s="154"/>
    </row>
    <row r="772">
      <c r="A772" s="154"/>
      <c r="B772" s="154"/>
      <c r="C772" s="242"/>
      <c r="D772" s="154"/>
      <c r="E772" s="154"/>
      <c r="F772" s="154"/>
      <c r="G772" s="242"/>
      <c r="H772" s="154"/>
      <c r="I772" s="154"/>
      <c r="J772" s="154"/>
      <c r="K772" s="242"/>
      <c r="L772" s="154"/>
      <c r="M772" s="154"/>
      <c r="N772" s="154"/>
      <c r="O772" s="154"/>
      <c r="P772" s="154"/>
      <c r="Q772" s="154"/>
      <c r="R772" s="154"/>
      <c r="S772" s="243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  <c r="AF772" s="154"/>
      <c r="AG772" s="244"/>
      <c r="AH772" s="154"/>
      <c r="AI772" s="154"/>
      <c r="AJ772" s="154"/>
      <c r="AK772" s="244"/>
      <c r="AL772" s="154"/>
      <c r="AM772" s="242"/>
      <c r="AN772" s="154"/>
      <c r="AO772" s="154"/>
      <c r="AP772" s="154"/>
    </row>
    <row r="773">
      <c r="A773" s="154"/>
      <c r="B773" s="154"/>
      <c r="C773" s="242"/>
      <c r="D773" s="154"/>
      <c r="E773" s="154"/>
      <c r="F773" s="154"/>
      <c r="G773" s="242"/>
      <c r="H773" s="154"/>
      <c r="I773" s="154"/>
      <c r="J773" s="154"/>
      <c r="K773" s="242"/>
      <c r="L773" s="154"/>
      <c r="M773" s="154"/>
      <c r="N773" s="154"/>
      <c r="O773" s="154"/>
      <c r="P773" s="154"/>
      <c r="Q773" s="154"/>
      <c r="R773" s="154"/>
      <c r="S773" s="243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  <c r="AF773" s="154"/>
      <c r="AG773" s="244"/>
      <c r="AH773" s="154"/>
      <c r="AI773" s="154"/>
      <c r="AJ773" s="154"/>
      <c r="AK773" s="244"/>
      <c r="AL773" s="154"/>
      <c r="AM773" s="242"/>
      <c r="AN773" s="154"/>
      <c r="AO773" s="154"/>
      <c r="AP773" s="154"/>
    </row>
    <row r="774">
      <c r="A774" s="154"/>
      <c r="B774" s="154"/>
      <c r="C774" s="242"/>
      <c r="D774" s="154"/>
      <c r="E774" s="154"/>
      <c r="F774" s="154"/>
      <c r="G774" s="242"/>
      <c r="H774" s="154"/>
      <c r="I774" s="154"/>
      <c r="J774" s="154"/>
      <c r="K774" s="242"/>
      <c r="L774" s="154"/>
      <c r="M774" s="154"/>
      <c r="N774" s="154"/>
      <c r="O774" s="154"/>
      <c r="P774" s="154"/>
      <c r="Q774" s="154"/>
      <c r="R774" s="154"/>
      <c r="S774" s="243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  <c r="AF774" s="154"/>
      <c r="AG774" s="244"/>
      <c r="AH774" s="154"/>
      <c r="AI774" s="154"/>
      <c r="AJ774" s="154"/>
      <c r="AK774" s="244"/>
      <c r="AL774" s="154"/>
      <c r="AM774" s="242"/>
      <c r="AN774" s="154"/>
      <c r="AO774" s="154"/>
      <c r="AP774" s="154"/>
    </row>
    <row r="775">
      <c r="A775" s="154"/>
      <c r="B775" s="154"/>
      <c r="C775" s="242"/>
      <c r="D775" s="154"/>
      <c r="E775" s="154"/>
      <c r="F775" s="154"/>
      <c r="G775" s="242"/>
      <c r="H775" s="154"/>
      <c r="I775" s="154"/>
      <c r="J775" s="154"/>
      <c r="K775" s="242"/>
      <c r="L775" s="154"/>
      <c r="M775" s="154"/>
      <c r="N775" s="154"/>
      <c r="O775" s="154"/>
      <c r="P775" s="154"/>
      <c r="Q775" s="154"/>
      <c r="R775" s="154"/>
      <c r="S775" s="243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  <c r="AF775" s="154"/>
      <c r="AG775" s="244"/>
      <c r="AH775" s="154"/>
      <c r="AI775" s="154"/>
      <c r="AJ775" s="154"/>
      <c r="AK775" s="244"/>
      <c r="AL775" s="154"/>
      <c r="AM775" s="242"/>
      <c r="AN775" s="154"/>
      <c r="AO775" s="154"/>
      <c r="AP775" s="154"/>
    </row>
    <row r="776">
      <c r="A776" s="154"/>
      <c r="B776" s="154"/>
      <c r="C776" s="242"/>
      <c r="D776" s="154"/>
      <c r="E776" s="154"/>
      <c r="F776" s="154"/>
      <c r="G776" s="242"/>
      <c r="H776" s="154"/>
      <c r="I776" s="154"/>
      <c r="J776" s="154"/>
      <c r="K776" s="242"/>
      <c r="L776" s="154"/>
      <c r="M776" s="154"/>
      <c r="N776" s="154"/>
      <c r="O776" s="154"/>
      <c r="P776" s="154"/>
      <c r="Q776" s="154"/>
      <c r="R776" s="154"/>
      <c r="S776" s="243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  <c r="AF776" s="154"/>
      <c r="AG776" s="244"/>
      <c r="AH776" s="154"/>
      <c r="AI776" s="154"/>
      <c r="AJ776" s="154"/>
      <c r="AK776" s="244"/>
      <c r="AL776" s="154"/>
      <c r="AM776" s="242"/>
      <c r="AN776" s="154"/>
      <c r="AO776" s="154"/>
      <c r="AP776" s="154"/>
    </row>
    <row r="777">
      <c r="A777" s="154"/>
      <c r="B777" s="154"/>
      <c r="C777" s="242"/>
      <c r="D777" s="154"/>
      <c r="E777" s="154"/>
      <c r="F777" s="154"/>
      <c r="G777" s="242"/>
      <c r="H777" s="154"/>
      <c r="I777" s="154"/>
      <c r="J777" s="154"/>
      <c r="K777" s="242"/>
      <c r="L777" s="154"/>
      <c r="M777" s="154"/>
      <c r="N777" s="154"/>
      <c r="O777" s="154"/>
      <c r="P777" s="154"/>
      <c r="Q777" s="154"/>
      <c r="R777" s="154"/>
      <c r="S777" s="243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  <c r="AF777" s="154"/>
      <c r="AG777" s="244"/>
      <c r="AH777" s="154"/>
      <c r="AI777" s="154"/>
      <c r="AJ777" s="154"/>
      <c r="AK777" s="244"/>
      <c r="AL777" s="154"/>
      <c r="AM777" s="242"/>
      <c r="AN777" s="154"/>
      <c r="AO777" s="154"/>
      <c r="AP777" s="154"/>
    </row>
    <row r="778">
      <c r="A778" s="154"/>
      <c r="B778" s="154"/>
      <c r="C778" s="242"/>
      <c r="D778" s="154"/>
      <c r="E778" s="154"/>
      <c r="F778" s="154"/>
      <c r="G778" s="242"/>
      <c r="H778" s="154"/>
      <c r="I778" s="154"/>
      <c r="J778" s="154"/>
      <c r="K778" s="242"/>
      <c r="L778" s="154"/>
      <c r="M778" s="154"/>
      <c r="N778" s="154"/>
      <c r="O778" s="154"/>
      <c r="P778" s="154"/>
      <c r="Q778" s="154"/>
      <c r="R778" s="154"/>
      <c r="S778" s="243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  <c r="AF778" s="154"/>
      <c r="AG778" s="244"/>
      <c r="AH778" s="154"/>
      <c r="AI778" s="154"/>
      <c r="AJ778" s="154"/>
      <c r="AK778" s="244"/>
      <c r="AL778" s="154"/>
      <c r="AM778" s="242"/>
      <c r="AN778" s="154"/>
      <c r="AO778" s="154"/>
      <c r="AP778" s="154"/>
    </row>
    <row r="779">
      <c r="A779" s="154"/>
      <c r="B779" s="154"/>
      <c r="C779" s="242"/>
      <c r="D779" s="154"/>
      <c r="E779" s="154"/>
      <c r="F779" s="154"/>
      <c r="G779" s="242"/>
      <c r="H779" s="154"/>
      <c r="I779" s="154"/>
      <c r="J779" s="154"/>
      <c r="K779" s="242"/>
      <c r="L779" s="154"/>
      <c r="M779" s="154"/>
      <c r="N779" s="154"/>
      <c r="O779" s="154"/>
      <c r="P779" s="154"/>
      <c r="Q779" s="154"/>
      <c r="R779" s="154"/>
      <c r="S779" s="243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  <c r="AF779" s="154"/>
      <c r="AG779" s="244"/>
      <c r="AH779" s="154"/>
      <c r="AI779" s="154"/>
      <c r="AJ779" s="154"/>
      <c r="AK779" s="244"/>
      <c r="AL779" s="154"/>
      <c r="AM779" s="242"/>
      <c r="AN779" s="154"/>
      <c r="AO779" s="154"/>
      <c r="AP779" s="154"/>
    </row>
    <row r="780">
      <c r="A780" s="154"/>
      <c r="B780" s="154"/>
      <c r="C780" s="242"/>
      <c r="D780" s="154"/>
      <c r="E780" s="154"/>
      <c r="F780" s="154"/>
      <c r="G780" s="242"/>
      <c r="H780" s="154"/>
      <c r="I780" s="154"/>
      <c r="J780" s="154"/>
      <c r="K780" s="242"/>
      <c r="L780" s="154"/>
      <c r="M780" s="154"/>
      <c r="N780" s="154"/>
      <c r="O780" s="154"/>
      <c r="P780" s="154"/>
      <c r="Q780" s="154"/>
      <c r="R780" s="154"/>
      <c r="S780" s="243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  <c r="AF780" s="154"/>
      <c r="AG780" s="244"/>
      <c r="AH780" s="154"/>
      <c r="AI780" s="154"/>
      <c r="AJ780" s="154"/>
      <c r="AK780" s="244"/>
      <c r="AL780" s="154"/>
      <c r="AM780" s="242"/>
      <c r="AN780" s="154"/>
      <c r="AO780" s="154"/>
      <c r="AP780" s="154"/>
    </row>
    <row r="781">
      <c r="A781" s="154"/>
      <c r="B781" s="154"/>
      <c r="C781" s="242"/>
      <c r="D781" s="154"/>
      <c r="E781" s="154"/>
      <c r="F781" s="154"/>
      <c r="G781" s="242"/>
      <c r="H781" s="154"/>
      <c r="I781" s="154"/>
      <c r="J781" s="154"/>
      <c r="K781" s="242"/>
      <c r="L781" s="154"/>
      <c r="M781" s="154"/>
      <c r="N781" s="154"/>
      <c r="O781" s="154"/>
      <c r="P781" s="154"/>
      <c r="Q781" s="154"/>
      <c r="R781" s="154"/>
      <c r="S781" s="243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  <c r="AF781" s="154"/>
      <c r="AG781" s="244"/>
      <c r="AH781" s="154"/>
      <c r="AI781" s="154"/>
      <c r="AJ781" s="154"/>
      <c r="AK781" s="244"/>
      <c r="AL781" s="154"/>
      <c r="AM781" s="242"/>
      <c r="AN781" s="154"/>
      <c r="AO781" s="154"/>
      <c r="AP781" s="154"/>
    </row>
    <row r="782">
      <c r="A782" s="154"/>
      <c r="B782" s="154"/>
      <c r="C782" s="242"/>
      <c r="D782" s="154"/>
      <c r="E782" s="154"/>
      <c r="F782" s="154"/>
      <c r="G782" s="242"/>
      <c r="H782" s="154"/>
      <c r="I782" s="154"/>
      <c r="J782" s="154"/>
      <c r="K782" s="242"/>
      <c r="L782" s="154"/>
      <c r="M782" s="154"/>
      <c r="N782" s="154"/>
      <c r="O782" s="154"/>
      <c r="P782" s="154"/>
      <c r="Q782" s="154"/>
      <c r="R782" s="154"/>
      <c r="S782" s="243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  <c r="AF782" s="154"/>
      <c r="AG782" s="244"/>
      <c r="AH782" s="154"/>
      <c r="AI782" s="154"/>
      <c r="AJ782" s="154"/>
      <c r="AK782" s="244"/>
      <c r="AL782" s="154"/>
      <c r="AM782" s="242"/>
      <c r="AN782" s="154"/>
      <c r="AO782" s="154"/>
      <c r="AP782" s="154"/>
    </row>
    <row r="783">
      <c r="A783" s="154"/>
      <c r="B783" s="154"/>
      <c r="C783" s="242"/>
      <c r="D783" s="154"/>
      <c r="E783" s="154"/>
      <c r="F783" s="154"/>
      <c r="G783" s="242"/>
      <c r="H783" s="154"/>
      <c r="I783" s="154"/>
      <c r="J783" s="154"/>
      <c r="K783" s="242"/>
      <c r="L783" s="154"/>
      <c r="M783" s="154"/>
      <c r="N783" s="154"/>
      <c r="O783" s="154"/>
      <c r="P783" s="154"/>
      <c r="Q783" s="154"/>
      <c r="R783" s="154"/>
      <c r="S783" s="243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  <c r="AF783" s="154"/>
      <c r="AG783" s="244"/>
      <c r="AH783" s="154"/>
      <c r="AI783" s="154"/>
      <c r="AJ783" s="154"/>
      <c r="AK783" s="244"/>
      <c r="AL783" s="154"/>
      <c r="AM783" s="242"/>
      <c r="AN783" s="154"/>
      <c r="AO783" s="154"/>
      <c r="AP783" s="154"/>
    </row>
    <row r="784">
      <c r="A784" s="154"/>
      <c r="B784" s="154"/>
      <c r="C784" s="242"/>
      <c r="D784" s="154"/>
      <c r="E784" s="154"/>
      <c r="F784" s="154"/>
      <c r="G784" s="242"/>
      <c r="H784" s="154"/>
      <c r="I784" s="154"/>
      <c r="J784" s="154"/>
      <c r="K784" s="242"/>
      <c r="L784" s="154"/>
      <c r="M784" s="154"/>
      <c r="N784" s="154"/>
      <c r="O784" s="154"/>
      <c r="P784" s="154"/>
      <c r="Q784" s="154"/>
      <c r="R784" s="154"/>
      <c r="S784" s="243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  <c r="AF784" s="154"/>
      <c r="AG784" s="244"/>
      <c r="AH784" s="154"/>
      <c r="AI784" s="154"/>
      <c r="AJ784" s="154"/>
      <c r="AK784" s="244"/>
      <c r="AL784" s="154"/>
      <c r="AM784" s="242"/>
      <c r="AN784" s="154"/>
      <c r="AO784" s="154"/>
      <c r="AP784" s="154"/>
    </row>
    <row r="785">
      <c r="A785" s="154"/>
      <c r="B785" s="154"/>
      <c r="C785" s="242"/>
      <c r="D785" s="154"/>
      <c r="E785" s="154"/>
      <c r="F785" s="154"/>
      <c r="G785" s="242"/>
      <c r="H785" s="154"/>
      <c r="I785" s="154"/>
      <c r="J785" s="154"/>
      <c r="K785" s="242"/>
      <c r="L785" s="154"/>
      <c r="M785" s="154"/>
      <c r="N785" s="154"/>
      <c r="O785" s="154"/>
      <c r="P785" s="154"/>
      <c r="Q785" s="154"/>
      <c r="R785" s="154"/>
      <c r="S785" s="243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  <c r="AF785" s="154"/>
      <c r="AG785" s="244"/>
      <c r="AH785" s="154"/>
      <c r="AI785" s="154"/>
      <c r="AJ785" s="154"/>
      <c r="AK785" s="244"/>
      <c r="AL785" s="154"/>
      <c r="AM785" s="242"/>
      <c r="AN785" s="154"/>
      <c r="AO785" s="154"/>
      <c r="AP785" s="154"/>
    </row>
    <row r="786">
      <c r="A786" s="154"/>
      <c r="B786" s="154"/>
      <c r="C786" s="242"/>
      <c r="D786" s="154"/>
      <c r="E786" s="154"/>
      <c r="F786" s="154"/>
      <c r="G786" s="242"/>
      <c r="H786" s="154"/>
      <c r="I786" s="154"/>
      <c r="J786" s="154"/>
      <c r="K786" s="242"/>
      <c r="L786" s="154"/>
      <c r="M786" s="154"/>
      <c r="N786" s="154"/>
      <c r="O786" s="154"/>
      <c r="P786" s="154"/>
      <c r="Q786" s="154"/>
      <c r="R786" s="154"/>
      <c r="S786" s="243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  <c r="AF786" s="154"/>
      <c r="AG786" s="244"/>
      <c r="AH786" s="154"/>
      <c r="AI786" s="154"/>
      <c r="AJ786" s="154"/>
      <c r="AK786" s="244"/>
      <c r="AL786" s="154"/>
      <c r="AM786" s="242"/>
      <c r="AN786" s="154"/>
      <c r="AO786" s="154"/>
      <c r="AP786" s="154"/>
    </row>
    <row r="787">
      <c r="A787" s="154"/>
      <c r="B787" s="154"/>
      <c r="C787" s="242"/>
      <c r="D787" s="154"/>
      <c r="E787" s="154"/>
      <c r="F787" s="154"/>
      <c r="G787" s="242"/>
      <c r="H787" s="154"/>
      <c r="I787" s="154"/>
      <c r="J787" s="154"/>
      <c r="K787" s="242"/>
      <c r="L787" s="154"/>
      <c r="M787" s="154"/>
      <c r="N787" s="154"/>
      <c r="O787" s="154"/>
      <c r="P787" s="154"/>
      <c r="Q787" s="154"/>
      <c r="R787" s="154"/>
      <c r="S787" s="243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  <c r="AF787" s="154"/>
      <c r="AG787" s="244"/>
      <c r="AH787" s="154"/>
      <c r="AI787" s="154"/>
      <c r="AJ787" s="154"/>
      <c r="AK787" s="244"/>
      <c r="AL787" s="154"/>
      <c r="AM787" s="242"/>
      <c r="AN787" s="154"/>
      <c r="AO787" s="154"/>
      <c r="AP787" s="154"/>
    </row>
    <row r="788">
      <c r="A788" s="154"/>
      <c r="B788" s="154"/>
      <c r="C788" s="242"/>
      <c r="D788" s="154"/>
      <c r="E788" s="154"/>
      <c r="F788" s="154"/>
      <c r="G788" s="242"/>
      <c r="H788" s="154"/>
      <c r="I788" s="154"/>
      <c r="J788" s="154"/>
      <c r="K788" s="242"/>
      <c r="L788" s="154"/>
      <c r="M788" s="154"/>
      <c r="N788" s="154"/>
      <c r="O788" s="154"/>
      <c r="P788" s="154"/>
      <c r="Q788" s="154"/>
      <c r="R788" s="154"/>
      <c r="S788" s="243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  <c r="AF788" s="154"/>
      <c r="AG788" s="244"/>
      <c r="AH788" s="154"/>
      <c r="AI788" s="154"/>
      <c r="AJ788" s="154"/>
      <c r="AK788" s="244"/>
      <c r="AL788" s="154"/>
      <c r="AM788" s="242"/>
      <c r="AN788" s="154"/>
      <c r="AO788" s="154"/>
      <c r="AP788" s="154"/>
    </row>
    <row r="789">
      <c r="A789" s="154"/>
      <c r="B789" s="154"/>
      <c r="C789" s="242"/>
      <c r="D789" s="154"/>
      <c r="E789" s="154"/>
      <c r="F789" s="154"/>
      <c r="G789" s="242"/>
      <c r="H789" s="154"/>
      <c r="I789" s="154"/>
      <c r="J789" s="154"/>
      <c r="K789" s="242"/>
      <c r="L789" s="154"/>
      <c r="M789" s="154"/>
      <c r="N789" s="154"/>
      <c r="O789" s="154"/>
      <c r="P789" s="154"/>
      <c r="Q789" s="154"/>
      <c r="R789" s="154"/>
      <c r="S789" s="243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  <c r="AF789" s="154"/>
      <c r="AG789" s="244"/>
      <c r="AH789" s="154"/>
      <c r="AI789" s="154"/>
      <c r="AJ789" s="154"/>
      <c r="AK789" s="244"/>
      <c r="AL789" s="154"/>
      <c r="AM789" s="242"/>
      <c r="AN789" s="154"/>
      <c r="AO789" s="154"/>
      <c r="AP789" s="154"/>
    </row>
    <row r="790">
      <c r="A790" s="154"/>
      <c r="B790" s="154"/>
      <c r="C790" s="242"/>
      <c r="D790" s="154"/>
      <c r="E790" s="154"/>
      <c r="F790" s="154"/>
      <c r="G790" s="242"/>
      <c r="H790" s="154"/>
      <c r="I790" s="154"/>
      <c r="J790" s="154"/>
      <c r="K790" s="242"/>
      <c r="L790" s="154"/>
      <c r="M790" s="154"/>
      <c r="N790" s="154"/>
      <c r="O790" s="154"/>
      <c r="P790" s="154"/>
      <c r="Q790" s="154"/>
      <c r="R790" s="154"/>
      <c r="S790" s="243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  <c r="AF790" s="154"/>
      <c r="AG790" s="244"/>
      <c r="AH790" s="154"/>
      <c r="AI790" s="154"/>
      <c r="AJ790" s="154"/>
      <c r="AK790" s="244"/>
      <c r="AL790" s="154"/>
      <c r="AM790" s="242"/>
      <c r="AN790" s="154"/>
      <c r="AO790" s="154"/>
      <c r="AP790" s="154"/>
    </row>
    <row r="791">
      <c r="A791" s="154"/>
      <c r="B791" s="154"/>
      <c r="C791" s="242"/>
      <c r="D791" s="154"/>
      <c r="E791" s="154"/>
      <c r="F791" s="154"/>
      <c r="G791" s="242"/>
      <c r="H791" s="154"/>
      <c r="I791" s="154"/>
      <c r="J791" s="154"/>
      <c r="K791" s="242"/>
      <c r="L791" s="154"/>
      <c r="M791" s="154"/>
      <c r="N791" s="154"/>
      <c r="O791" s="154"/>
      <c r="P791" s="154"/>
      <c r="Q791" s="154"/>
      <c r="R791" s="154"/>
      <c r="S791" s="243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  <c r="AF791" s="154"/>
      <c r="AG791" s="244"/>
      <c r="AH791" s="154"/>
      <c r="AI791" s="154"/>
      <c r="AJ791" s="154"/>
      <c r="AK791" s="244"/>
      <c r="AL791" s="154"/>
      <c r="AM791" s="242"/>
      <c r="AN791" s="154"/>
      <c r="AO791" s="154"/>
      <c r="AP791" s="154"/>
    </row>
    <row r="792">
      <c r="A792" s="154"/>
      <c r="B792" s="154"/>
      <c r="C792" s="242"/>
      <c r="D792" s="154"/>
      <c r="E792" s="154"/>
      <c r="F792" s="154"/>
      <c r="G792" s="242"/>
      <c r="H792" s="154"/>
      <c r="I792" s="154"/>
      <c r="J792" s="154"/>
      <c r="K792" s="242"/>
      <c r="L792" s="154"/>
      <c r="M792" s="154"/>
      <c r="N792" s="154"/>
      <c r="O792" s="154"/>
      <c r="P792" s="154"/>
      <c r="Q792" s="154"/>
      <c r="R792" s="154"/>
      <c r="S792" s="243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  <c r="AF792" s="154"/>
      <c r="AG792" s="244"/>
      <c r="AH792" s="154"/>
      <c r="AI792" s="154"/>
      <c r="AJ792" s="154"/>
      <c r="AK792" s="244"/>
      <c r="AL792" s="154"/>
      <c r="AM792" s="242"/>
      <c r="AN792" s="154"/>
      <c r="AO792" s="154"/>
      <c r="AP792" s="154"/>
    </row>
    <row r="793">
      <c r="A793" s="154"/>
      <c r="B793" s="154"/>
      <c r="C793" s="242"/>
      <c r="D793" s="154"/>
      <c r="E793" s="154"/>
      <c r="F793" s="154"/>
      <c r="G793" s="242"/>
      <c r="H793" s="154"/>
      <c r="I793" s="154"/>
      <c r="J793" s="154"/>
      <c r="K793" s="242"/>
      <c r="L793" s="154"/>
      <c r="M793" s="154"/>
      <c r="N793" s="154"/>
      <c r="O793" s="154"/>
      <c r="P793" s="154"/>
      <c r="Q793" s="154"/>
      <c r="R793" s="154"/>
      <c r="S793" s="243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  <c r="AF793" s="154"/>
      <c r="AG793" s="244"/>
      <c r="AH793" s="154"/>
      <c r="AI793" s="154"/>
      <c r="AJ793" s="154"/>
      <c r="AK793" s="244"/>
      <c r="AL793" s="154"/>
      <c r="AM793" s="242"/>
      <c r="AN793" s="154"/>
      <c r="AO793" s="154"/>
      <c r="AP793" s="154"/>
    </row>
    <row r="794">
      <c r="A794" s="154"/>
      <c r="B794" s="154"/>
      <c r="C794" s="242"/>
      <c r="D794" s="154"/>
      <c r="E794" s="154"/>
      <c r="F794" s="154"/>
      <c r="G794" s="242"/>
      <c r="H794" s="154"/>
      <c r="I794" s="154"/>
      <c r="J794" s="154"/>
      <c r="K794" s="242"/>
      <c r="L794" s="154"/>
      <c r="M794" s="154"/>
      <c r="N794" s="154"/>
      <c r="O794" s="154"/>
      <c r="P794" s="154"/>
      <c r="Q794" s="154"/>
      <c r="R794" s="154"/>
      <c r="S794" s="243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  <c r="AF794" s="154"/>
      <c r="AG794" s="244"/>
      <c r="AH794" s="154"/>
      <c r="AI794" s="154"/>
      <c r="AJ794" s="154"/>
      <c r="AK794" s="244"/>
      <c r="AL794" s="154"/>
      <c r="AM794" s="242"/>
      <c r="AN794" s="154"/>
      <c r="AO794" s="154"/>
      <c r="AP794" s="154"/>
    </row>
    <row r="795">
      <c r="A795" s="154"/>
      <c r="B795" s="154"/>
      <c r="C795" s="242"/>
      <c r="D795" s="154"/>
      <c r="E795" s="154"/>
      <c r="F795" s="154"/>
      <c r="G795" s="242"/>
      <c r="H795" s="154"/>
      <c r="I795" s="154"/>
      <c r="J795" s="154"/>
      <c r="K795" s="242"/>
      <c r="L795" s="154"/>
      <c r="M795" s="154"/>
      <c r="N795" s="154"/>
      <c r="O795" s="154"/>
      <c r="P795" s="154"/>
      <c r="Q795" s="154"/>
      <c r="R795" s="154"/>
      <c r="S795" s="243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  <c r="AF795" s="154"/>
      <c r="AG795" s="244"/>
      <c r="AH795" s="154"/>
      <c r="AI795" s="154"/>
      <c r="AJ795" s="154"/>
      <c r="AK795" s="244"/>
      <c r="AL795" s="154"/>
      <c r="AM795" s="242"/>
      <c r="AN795" s="154"/>
      <c r="AO795" s="154"/>
      <c r="AP795" s="154"/>
    </row>
    <row r="796">
      <c r="A796" s="154"/>
      <c r="B796" s="154"/>
      <c r="C796" s="242"/>
      <c r="D796" s="154"/>
      <c r="E796" s="154"/>
      <c r="F796" s="154"/>
      <c r="G796" s="242"/>
      <c r="H796" s="154"/>
      <c r="I796" s="154"/>
      <c r="J796" s="154"/>
      <c r="K796" s="242"/>
      <c r="L796" s="154"/>
      <c r="M796" s="154"/>
      <c r="N796" s="154"/>
      <c r="O796" s="154"/>
      <c r="P796" s="154"/>
      <c r="Q796" s="154"/>
      <c r="R796" s="154"/>
      <c r="S796" s="243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  <c r="AF796" s="154"/>
      <c r="AG796" s="244"/>
      <c r="AH796" s="154"/>
      <c r="AI796" s="154"/>
      <c r="AJ796" s="154"/>
      <c r="AK796" s="244"/>
      <c r="AL796" s="154"/>
      <c r="AM796" s="242"/>
      <c r="AN796" s="154"/>
      <c r="AO796" s="154"/>
      <c r="AP796" s="154"/>
    </row>
    <row r="797">
      <c r="A797" s="154"/>
      <c r="B797" s="154"/>
      <c r="C797" s="242"/>
      <c r="D797" s="154"/>
      <c r="E797" s="154"/>
      <c r="F797" s="154"/>
      <c r="G797" s="242"/>
      <c r="H797" s="154"/>
      <c r="I797" s="154"/>
      <c r="J797" s="154"/>
      <c r="K797" s="242"/>
      <c r="L797" s="154"/>
      <c r="M797" s="154"/>
      <c r="N797" s="154"/>
      <c r="O797" s="154"/>
      <c r="P797" s="154"/>
      <c r="Q797" s="154"/>
      <c r="R797" s="154"/>
      <c r="S797" s="243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  <c r="AF797" s="154"/>
      <c r="AG797" s="244"/>
      <c r="AH797" s="154"/>
      <c r="AI797" s="154"/>
      <c r="AJ797" s="154"/>
      <c r="AK797" s="244"/>
      <c r="AL797" s="154"/>
      <c r="AM797" s="242"/>
      <c r="AN797" s="154"/>
      <c r="AO797" s="154"/>
      <c r="AP797" s="154"/>
    </row>
    <row r="798">
      <c r="A798" s="154"/>
      <c r="B798" s="154"/>
      <c r="C798" s="242"/>
      <c r="D798" s="154"/>
      <c r="E798" s="154"/>
      <c r="F798" s="154"/>
      <c r="G798" s="242"/>
      <c r="H798" s="154"/>
      <c r="I798" s="154"/>
      <c r="J798" s="154"/>
      <c r="K798" s="242"/>
      <c r="L798" s="154"/>
      <c r="M798" s="154"/>
      <c r="N798" s="154"/>
      <c r="O798" s="154"/>
      <c r="P798" s="154"/>
      <c r="Q798" s="154"/>
      <c r="R798" s="154"/>
      <c r="S798" s="243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  <c r="AF798" s="154"/>
      <c r="AG798" s="244"/>
      <c r="AH798" s="154"/>
      <c r="AI798" s="154"/>
      <c r="AJ798" s="154"/>
      <c r="AK798" s="244"/>
      <c r="AL798" s="154"/>
      <c r="AM798" s="242"/>
      <c r="AN798" s="154"/>
      <c r="AO798" s="154"/>
      <c r="AP798" s="154"/>
    </row>
    <row r="799">
      <c r="A799" s="154"/>
      <c r="B799" s="154"/>
      <c r="C799" s="242"/>
      <c r="D799" s="154"/>
      <c r="E799" s="154"/>
      <c r="F799" s="154"/>
      <c r="G799" s="242"/>
      <c r="H799" s="154"/>
      <c r="I799" s="154"/>
      <c r="J799" s="154"/>
      <c r="K799" s="242"/>
      <c r="L799" s="154"/>
      <c r="M799" s="154"/>
      <c r="N799" s="154"/>
      <c r="O799" s="154"/>
      <c r="P799" s="154"/>
      <c r="Q799" s="154"/>
      <c r="R799" s="154"/>
      <c r="S799" s="243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  <c r="AF799" s="154"/>
      <c r="AG799" s="244"/>
      <c r="AH799" s="154"/>
      <c r="AI799" s="154"/>
      <c r="AJ799" s="154"/>
      <c r="AK799" s="244"/>
      <c r="AL799" s="154"/>
      <c r="AM799" s="242"/>
      <c r="AN799" s="154"/>
      <c r="AO799" s="154"/>
      <c r="AP799" s="154"/>
    </row>
    <row r="800">
      <c r="A800" s="154"/>
      <c r="B800" s="154"/>
      <c r="C800" s="242"/>
      <c r="D800" s="154"/>
      <c r="E800" s="154"/>
      <c r="F800" s="154"/>
      <c r="G800" s="242"/>
      <c r="H800" s="154"/>
      <c r="I800" s="154"/>
      <c r="J800" s="154"/>
      <c r="K800" s="242"/>
      <c r="L800" s="154"/>
      <c r="M800" s="154"/>
      <c r="N800" s="154"/>
      <c r="O800" s="154"/>
      <c r="P800" s="154"/>
      <c r="Q800" s="154"/>
      <c r="R800" s="154"/>
      <c r="S800" s="243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  <c r="AF800" s="154"/>
      <c r="AG800" s="244"/>
      <c r="AH800" s="154"/>
      <c r="AI800" s="154"/>
      <c r="AJ800" s="154"/>
      <c r="AK800" s="244"/>
      <c r="AL800" s="154"/>
      <c r="AM800" s="242"/>
      <c r="AN800" s="154"/>
      <c r="AO800" s="154"/>
      <c r="AP800" s="154"/>
    </row>
    <row r="801">
      <c r="A801" s="154"/>
      <c r="B801" s="154"/>
      <c r="C801" s="242"/>
      <c r="D801" s="154"/>
      <c r="E801" s="154"/>
      <c r="F801" s="154"/>
      <c r="G801" s="242"/>
      <c r="H801" s="154"/>
      <c r="I801" s="154"/>
      <c r="J801" s="154"/>
      <c r="K801" s="242"/>
      <c r="L801" s="154"/>
      <c r="M801" s="154"/>
      <c r="N801" s="154"/>
      <c r="O801" s="154"/>
      <c r="P801" s="154"/>
      <c r="Q801" s="154"/>
      <c r="R801" s="154"/>
      <c r="S801" s="243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  <c r="AF801" s="154"/>
      <c r="AG801" s="244"/>
      <c r="AH801" s="154"/>
      <c r="AI801" s="154"/>
      <c r="AJ801" s="154"/>
      <c r="AK801" s="244"/>
      <c r="AL801" s="154"/>
      <c r="AM801" s="242"/>
      <c r="AN801" s="154"/>
      <c r="AO801" s="154"/>
      <c r="AP801" s="154"/>
    </row>
    <row r="802">
      <c r="A802" s="154"/>
      <c r="B802" s="154"/>
      <c r="C802" s="242"/>
      <c r="D802" s="154"/>
      <c r="E802" s="154"/>
      <c r="F802" s="154"/>
      <c r="G802" s="242"/>
      <c r="H802" s="154"/>
      <c r="I802" s="154"/>
      <c r="J802" s="154"/>
      <c r="K802" s="242"/>
      <c r="L802" s="154"/>
      <c r="M802" s="154"/>
      <c r="N802" s="154"/>
      <c r="O802" s="154"/>
      <c r="P802" s="154"/>
      <c r="Q802" s="154"/>
      <c r="R802" s="154"/>
      <c r="S802" s="243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  <c r="AF802" s="154"/>
      <c r="AG802" s="244"/>
      <c r="AH802" s="154"/>
      <c r="AI802" s="154"/>
      <c r="AJ802" s="154"/>
      <c r="AK802" s="244"/>
      <c r="AL802" s="154"/>
      <c r="AM802" s="242"/>
      <c r="AN802" s="154"/>
      <c r="AO802" s="154"/>
      <c r="AP802" s="154"/>
    </row>
    <row r="803">
      <c r="A803" s="154"/>
      <c r="B803" s="154"/>
      <c r="C803" s="242"/>
      <c r="D803" s="154"/>
      <c r="E803" s="154"/>
      <c r="F803" s="154"/>
      <c r="G803" s="242"/>
      <c r="H803" s="154"/>
      <c r="I803" s="154"/>
      <c r="J803" s="154"/>
      <c r="K803" s="242"/>
      <c r="L803" s="154"/>
      <c r="M803" s="154"/>
      <c r="N803" s="154"/>
      <c r="O803" s="154"/>
      <c r="P803" s="154"/>
      <c r="Q803" s="154"/>
      <c r="R803" s="154"/>
      <c r="S803" s="243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  <c r="AF803" s="154"/>
      <c r="AG803" s="244"/>
      <c r="AH803" s="154"/>
      <c r="AI803" s="154"/>
      <c r="AJ803" s="154"/>
      <c r="AK803" s="244"/>
      <c r="AL803" s="154"/>
      <c r="AM803" s="242"/>
      <c r="AN803" s="154"/>
      <c r="AO803" s="154"/>
      <c r="AP803" s="154"/>
    </row>
    <row r="804">
      <c r="A804" s="154"/>
      <c r="B804" s="154"/>
      <c r="C804" s="242"/>
      <c r="D804" s="154"/>
      <c r="E804" s="154"/>
      <c r="F804" s="154"/>
      <c r="G804" s="242"/>
      <c r="H804" s="154"/>
      <c r="I804" s="154"/>
      <c r="J804" s="154"/>
      <c r="K804" s="242"/>
      <c r="L804" s="154"/>
      <c r="M804" s="154"/>
      <c r="N804" s="154"/>
      <c r="O804" s="154"/>
      <c r="P804" s="154"/>
      <c r="Q804" s="154"/>
      <c r="R804" s="154"/>
      <c r="S804" s="243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  <c r="AF804" s="154"/>
      <c r="AG804" s="244"/>
      <c r="AH804" s="154"/>
      <c r="AI804" s="154"/>
      <c r="AJ804" s="154"/>
      <c r="AK804" s="244"/>
      <c r="AL804" s="154"/>
      <c r="AM804" s="242"/>
      <c r="AN804" s="154"/>
      <c r="AO804" s="154"/>
      <c r="AP804" s="154"/>
    </row>
    <row r="805">
      <c r="A805" s="154"/>
      <c r="B805" s="154"/>
      <c r="C805" s="242"/>
      <c r="D805" s="154"/>
      <c r="E805" s="154"/>
      <c r="F805" s="154"/>
      <c r="G805" s="242"/>
      <c r="H805" s="154"/>
      <c r="I805" s="154"/>
      <c r="J805" s="154"/>
      <c r="K805" s="242"/>
      <c r="L805" s="154"/>
      <c r="M805" s="154"/>
      <c r="N805" s="154"/>
      <c r="O805" s="154"/>
      <c r="P805" s="154"/>
      <c r="Q805" s="154"/>
      <c r="R805" s="154"/>
      <c r="S805" s="243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  <c r="AF805" s="154"/>
      <c r="AG805" s="244"/>
      <c r="AH805" s="154"/>
      <c r="AI805" s="154"/>
      <c r="AJ805" s="154"/>
      <c r="AK805" s="244"/>
      <c r="AL805" s="154"/>
      <c r="AM805" s="242"/>
      <c r="AN805" s="154"/>
      <c r="AO805" s="154"/>
      <c r="AP805" s="154"/>
    </row>
    <row r="806">
      <c r="A806" s="154"/>
      <c r="B806" s="154"/>
      <c r="C806" s="242"/>
      <c r="D806" s="154"/>
      <c r="E806" s="154"/>
      <c r="F806" s="154"/>
      <c r="G806" s="242"/>
      <c r="H806" s="154"/>
      <c r="I806" s="154"/>
      <c r="J806" s="154"/>
      <c r="K806" s="242"/>
      <c r="L806" s="154"/>
      <c r="M806" s="154"/>
      <c r="N806" s="154"/>
      <c r="O806" s="154"/>
      <c r="P806" s="154"/>
      <c r="Q806" s="154"/>
      <c r="R806" s="154"/>
      <c r="S806" s="243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  <c r="AF806" s="154"/>
      <c r="AG806" s="244"/>
      <c r="AH806" s="154"/>
      <c r="AI806" s="154"/>
      <c r="AJ806" s="154"/>
      <c r="AK806" s="244"/>
      <c r="AL806" s="154"/>
      <c r="AM806" s="242"/>
      <c r="AN806" s="154"/>
      <c r="AO806" s="154"/>
      <c r="AP806" s="154"/>
    </row>
    <row r="807">
      <c r="A807" s="154"/>
      <c r="B807" s="154"/>
      <c r="C807" s="242"/>
      <c r="D807" s="154"/>
      <c r="E807" s="154"/>
      <c r="F807" s="154"/>
      <c r="G807" s="242"/>
      <c r="H807" s="154"/>
      <c r="I807" s="154"/>
      <c r="J807" s="154"/>
      <c r="K807" s="242"/>
      <c r="L807" s="154"/>
      <c r="M807" s="154"/>
      <c r="N807" s="154"/>
      <c r="O807" s="154"/>
      <c r="P807" s="154"/>
      <c r="Q807" s="154"/>
      <c r="R807" s="154"/>
      <c r="S807" s="243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  <c r="AF807" s="154"/>
      <c r="AG807" s="244"/>
      <c r="AH807" s="154"/>
      <c r="AI807" s="154"/>
      <c r="AJ807" s="154"/>
      <c r="AK807" s="244"/>
      <c r="AL807" s="154"/>
      <c r="AM807" s="242"/>
      <c r="AN807" s="154"/>
      <c r="AO807" s="154"/>
      <c r="AP807" s="154"/>
    </row>
    <row r="808">
      <c r="A808" s="154"/>
      <c r="B808" s="154"/>
      <c r="C808" s="242"/>
      <c r="D808" s="154"/>
      <c r="E808" s="154"/>
      <c r="F808" s="154"/>
      <c r="G808" s="242"/>
      <c r="H808" s="154"/>
      <c r="I808" s="154"/>
      <c r="J808" s="154"/>
      <c r="K808" s="242"/>
      <c r="L808" s="154"/>
      <c r="M808" s="154"/>
      <c r="N808" s="154"/>
      <c r="O808" s="154"/>
      <c r="P808" s="154"/>
      <c r="Q808" s="154"/>
      <c r="R808" s="154"/>
      <c r="S808" s="243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  <c r="AF808" s="154"/>
      <c r="AG808" s="244"/>
      <c r="AH808" s="154"/>
      <c r="AI808" s="154"/>
      <c r="AJ808" s="154"/>
      <c r="AK808" s="244"/>
      <c r="AL808" s="154"/>
      <c r="AM808" s="242"/>
      <c r="AN808" s="154"/>
      <c r="AO808" s="154"/>
      <c r="AP808" s="154"/>
    </row>
    <row r="809">
      <c r="A809" s="154"/>
      <c r="B809" s="154"/>
      <c r="C809" s="242"/>
      <c r="D809" s="154"/>
      <c r="E809" s="154"/>
      <c r="F809" s="154"/>
      <c r="G809" s="242"/>
      <c r="H809" s="154"/>
      <c r="I809" s="154"/>
      <c r="J809" s="154"/>
      <c r="K809" s="242"/>
      <c r="L809" s="154"/>
      <c r="M809" s="154"/>
      <c r="N809" s="154"/>
      <c r="O809" s="154"/>
      <c r="P809" s="154"/>
      <c r="Q809" s="154"/>
      <c r="R809" s="154"/>
      <c r="S809" s="243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  <c r="AF809" s="154"/>
      <c r="AG809" s="244"/>
      <c r="AH809" s="154"/>
      <c r="AI809" s="154"/>
      <c r="AJ809" s="154"/>
      <c r="AK809" s="244"/>
      <c r="AL809" s="154"/>
      <c r="AM809" s="242"/>
      <c r="AN809" s="154"/>
      <c r="AO809" s="154"/>
      <c r="AP809" s="154"/>
    </row>
    <row r="810">
      <c r="A810" s="154"/>
      <c r="B810" s="154"/>
      <c r="C810" s="242"/>
      <c r="D810" s="154"/>
      <c r="E810" s="154"/>
      <c r="F810" s="154"/>
      <c r="G810" s="242"/>
      <c r="H810" s="154"/>
      <c r="I810" s="154"/>
      <c r="J810" s="154"/>
      <c r="K810" s="242"/>
      <c r="L810" s="154"/>
      <c r="M810" s="154"/>
      <c r="N810" s="154"/>
      <c r="O810" s="154"/>
      <c r="P810" s="154"/>
      <c r="Q810" s="154"/>
      <c r="R810" s="154"/>
      <c r="S810" s="243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  <c r="AF810" s="154"/>
      <c r="AG810" s="244"/>
      <c r="AH810" s="154"/>
      <c r="AI810" s="154"/>
      <c r="AJ810" s="154"/>
      <c r="AK810" s="244"/>
      <c r="AL810" s="154"/>
      <c r="AM810" s="242"/>
      <c r="AN810" s="154"/>
      <c r="AO810" s="154"/>
      <c r="AP810" s="154"/>
    </row>
    <row r="811">
      <c r="A811" s="154"/>
      <c r="B811" s="154"/>
      <c r="C811" s="242"/>
      <c r="D811" s="154"/>
      <c r="E811" s="154"/>
      <c r="F811" s="154"/>
      <c r="G811" s="242"/>
      <c r="H811" s="154"/>
      <c r="I811" s="154"/>
      <c r="J811" s="154"/>
      <c r="K811" s="242"/>
      <c r="L811" s="154"/>
      <c r="M811" s="154"/>
      <c r="N811" s="154"/>
      <c r="O811" s="154"/>
      <c r="P811" s="154"/>
      <c r="Q811" s="154"/>
      <c r="R811" s="154"/>
      <c r="S811" s="243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  <c r="AF811" s="154"/>
      <c r="AG811" s="244"/>
      <c r="AH811" s="154"/>
      <c r="AI811" s="154"/>
      <c r="AJ811" s="154"/>
      <c r="AK811" s="244"/>
      <c r="AL811" s="154"/>
      <c r="AM811" s="242"/>
      <c r="AN811" s="154"/>
      <c r="AO811" s="154"/>
      <c r="AP811" s="154"/>
    </row>
    <row r="812">
      <c r="A812" s="154"/>
      <c r="B812" s="154"/>
      <c r="C812" s="242"/>
      <c r="D812" s="154"/>
      <c r="E812" s="154"/>
      <c r="F812" s="154"/>
      <c r="G812" s="242"/>
      <c r="H812" s="154"/>
      <c r="I812" s="154"/>
      <c r="J812" s="154"/>
      <c r="K812" s="242"/>
      <c r="L812" s="154"/>
      <c r="M812" s="154"/>
      <c r="N812" s="154"/>
      <c r="O812" s="154"/>
      <c r="P812" s="154"/>
      <c r="Q812" s="154"/>
      <c r="R812" s="154"/>
      <c r="S812" s="243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  <c r="AF812" s="154"/>
      <c r="AG812" s="244"/>
      <c r="AH812" s="154"/>
      <c r="AI812" s="154"/>
      <c r="AJ812" s="154"/>
      <c r="AK812" s="244"/>
      <c r="AL812" s="154"/>
      <c r="AM812" s="242"/>
      <c r="AN812" s="154"/>
      <c r="AO812" s="154"/>
      <c r="AP812" s="154"/>
    </row>
    <row r="813">
      <c r="A813" s="154"/>
      <c r="B813" s="154"/>
      <c r="C813" s="242"/>
      <c r="D813" s="154"/>
      <c r="E813" s="154"/>
      <c r="F813" s="154"/>
      <c r="G813" s="242"/>
      <c r="H813" s="154"/>
      <c r="I813" s="154"/>
      <c r="J813" s="154"/>
      <c r="K813" s="242"/>
      <c r="L813" s="154"/>
      <c r="M813" s="154"/>
      <c r="N813" s="154"/>
      <c r="O813" s="154"/>
      <c r="P813" s="154"/>
      <c r="Q813" s="154"/>
      <c r="R813" s="154"/>
      <c r="S813" s="243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  <c r="AF813" s="154"/>
      <c r="AG813" s="244"/>
      <c r="AH813" s="154"/>
      <c r="AI813" s="154"/>
      <c r="AJ813" s="154"/>
      <c r="AK813" s="244"/>
      <c r="AL813" s="154"/>
      <c r="AM813" s="242"/>
      <c r="AN813" s="154"/>
      <c r="AO813" s="154"/>
      <c r="AP813" s="154"/>
    </row>
    <row r="814">
      <c r="A814" s="154"/>
      <c r="B814" s="154"/>
      <c r="C814" s="242"/>
      <c r="D814" s="154"/>
      <c r="E814" s="154"/>
      <c r="F814" s="154"/>
      <c r="G814" s="242"/>
      <c r="H814" s="154"/>
      <c r="I814" s="154"/>
      <c r="J814" s="154"/>
      <c r="K814" s="242"/>
      <c r="L814" s="154"/>
      <c r="M814" s="154"/>
      <c r="N814" s="154"/>
      <c r="O814" s="154"/>
      <c r="P814" s="154"/>
      <c r="Q814" s="154"/>
      <c r="R814" s="154"/>
      <c r="S814" s="243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  <c r="AF814" s="154"/>
      <c r="AG814" s="244"/>
      <c r="AH814" s="154"/>
      <c r="AI814" s="154"/>
      <c r="AJ814" s="154"/>
      <c r="AK814" s="244"/>
      <c r="AL814" s="154"/>
      <c r="AM814" s="242"/>
      <c r="AN814" s="154"/>
      <c r="AO814" s="154"/>
      <c r="AP814" s="154"/>
    </row>
    <row r="815">
      <c r="A815" s="154"/>
      <c r="B815" s="154"/>
      <c r="C815" s="242"/>
      <c r="D815" s="154"/>
      <c r="E815" s="154"/>
      <c r="F815" s="154"/>
      <c r="G815" s="242"/>
      <c r="H815" s="154"/>
      <c r="I815" s="154"/>
      <c r="J815" s="154"/>
      <c r="K815" s="242"/>
      <c r="L815" s="154"/>
      <c r="M815" s="154"/>
      <c r="N815" s="154"/>
      <c r="O815" s="154"/>
      <c r="P815" s="154"/>
      <c r="Q815" s="154"/>
      <c r="R815" s="154"/>
      <c r="S815" s="243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  <c r="AF815" s="154"/>
      <c r="AG815" s="244"/>
      <c r="AH815" s="154"/>
      <c r="AI815" s="154"/>
      <c r="AJ815" s="154"/>
      <c r="AK815" s="244"/>
      <c r="AL815" s="154"/>
      <c r="AM815" s="242"/>
      <c r="AN815" s="154"/>
      <c r="AO815" s="154"/>
      <c r="AP815" s="154"/>
    </row>
    <row r="816">
      <c r="A816" s="154"/>
      <c r="B816" s="154"/>
      <c r="C816" s="242"/>
      <c r="D816" s="154"/>
      <c r="E816" s="154"/>
      <c r="F816" s="154"/>
      <c r="G816" s="242"/>
      <c r="H816" s="154"/>
      <c r="I816" s="154"/>
      <c r="J816" s="154"/>
      <c r="K816" s="242"/>
      <c r="L816" s="154"/>
      <c r="M816" s="154"/>
      <c r="N816" s="154"/>
      <c r="O816" s="154"/>
      <c r="P816" s="154"/>
      <c r="Q816" s="154"/>
      <c r="R816" s="154"/>
      <c r="S816" s="243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  <c r="AF816" s="154"/>
      <c r="AG816" s="244"/>
      <c r="AH816" s="154"/>
      <c r="AI816" s="154"/>
      <c r="AJ816" s="154"/>
      <c r="AK816" s="244"/>
      <c r="AL816" s="154"/>
      <c r="AM816" s="242"/>
      <c r="AN816" s="154"/>
      <c r="AO816" s="154"/>
      <c r="AP816" s="154"/>
    </row>
    <row r="817">
      <c r="A817" s="154"/>
      <c r="B817" s="154"/>
      <c r="C817" s="242"/>
      <c r="D817" s="154"/>
      <c r="E817" s="154"/>
      <c r="F817" s="154"/>
      <c r="G817" s="242"/>
      <c r="H817" s="154"/>
      <c r="I817" s="154"/>
      <c r="J817" s="154"/>
      <c r="K817" s="242"/>
      <c r="L817" s="154"/>
      <c r="M817" s="154"/>
      <c r="N817" s="154"/>
      <c r="O817" s="154"/>
      <c r="P817" s="154"/>
      <c r="Q817" s="154"/>
      <c r="R817" s="154"/>
      <c r="S817" s="243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  <c r="AF817" s="154"/>
      <c r="AG817" s="244"/>
      <c r="AH817" s="154"/>
      <c r="AI817" s="154"/>
      <c r="AJ817" s="154"/>
      <c r="AK817" s="244"/>
      <c r="AL817" s="154"/>
      <c r="AM817" s="242"/>
      <c r="AN817" s="154"/>
      <c r="AO817" s="154"/>
      <c r="AP817" s="154"/>
    </row>
    <row r="818">
      <c r="A818" s="154"/>
      <c r="B818" s="154"/>
      <c r="C818" s="242"/>
      <c r="D818" s="154"/>
      <c r="E818" s="154"/>
      <c r="F818" s="154"/>
      <c r="G818" s="242"/>
      <c r="H818" s="154"/>
      <c r="I818" s="154"/>
      <c r="J818" s="154"/>
      <c r="K818" s="242"/>
      <c r="L818" s="154"/>
      <c r="M818" s="154"/>
      <c r="N818" s="154"/>
      <c r="O818" s="154"/>
      <c r="P818" s="154"/>
      <c r="Q818" s="154"/>
      <c r="R818" s="154"/>
      <c r="S818" s="243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  <c r="AF818" s="154"/>
      <c r="AG818" s="244"/>
      <c r="AH818" s="154"/>
      <c r="AI818" s="154"/>
      <c r="AJ818" s="154"/>
      <c r="AK818" s="244"/>
      <c r="AL818" s="154"/>
      <c r="AM818" s="242"/>
      <c r="AN818" s="154"/>
      <c r="AO818" s="154"/>
      <c r="AP818" s="154"/>
    </row>
    <row r="819">
      <c r="A819" s="154"/>
      <c r="B819" s="154"/>
      <c r="C819" s="242"/>
      <c r="D819" s="154"/>
      <c r="E819" s="154"/>
      <c r="F819" s="154"/>
      <c r="G819" s="242"/>
      <c r="H819" s="154"/>
      <c r="I819" s="154"/>
      <c r="J819" s="154"/>
      <c r="K819" s="242"/>
      <c r="L819" s="154"/>
      <c r="M819" s="154"/>
      <c r="N819" s="154"/>
      <c r="O819" s="154"/>
      <c r="P819" s="154"/>
      <c r="Q819" s="154"/>
      <c r="R819" s="154"/>
      <c r="S819" s="243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  <c r="AF819" s="154"/>
      <c r="AG819" s="244"/>
      <c r="AH819" s="154"/>
      <c r="AI819" s="154"/>
      <c r="AJ819" s="154"/>
      <c r="AK819" s="244"/>
      <c r="AL819" s="154"/>
      <c r="AM819" s="242"/>
      <c r="AN819" s="154"/>
      <c r="AO819" s="154"/>
      <c r="AP819" s="154"/>
    </row>
    <row r="820">
      <c r="A820" s="154"/>
      <c r="B820" s="154"/>
      <c r="C820" s="242"/>
      <c r="D820" s="154"/>
      <c r="E820" s="154"/>
      <c r="F820" s="154"/>
      <c r="G820" s="242"/>
      <c r="H820" s="154"/>
      <c r="I820" s="154"/>
      <c r="J820" s="154"/>
      <c r="K820" s="242"/>
      <c r="L820" s="154"/>
      <c r="M820" s="154"/>
      <c r="N820" s="154"/>
      <c r="O820" s="154"/>
      <c r="P820" s="154"/>
      <c r="Q820" s="154"/>
      <c r="R820" s="154"/>
      <c r="S820" s="243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  <c r="AF820" s="154"/>
      <c r="AG820" s="244"/>
      <c r="AH820" s="154"/>
      <c r="AI820" s="154"/>
      <c r="AJ820" s="154"/>
      <c r="AK820" s="244"/>
      <c r="AL820" s="154"/>
      <c r="AM820" s="242"/>
      <c r="AN820" s="154"/>
      <c r="AO820" s="154"/>
      <c r="AP820" s="154"/>
    </row>
    <row r="821">
      <c r="A821" s="154"/>
      <c r="B821" s="154"/>
      <c r="C821" s="242"/>
      <c r="D821" s="154"/>
      <c r="E821" s="154"/>
      <c r="F821" s="154"/>
      <c r="G821" s="242"/>
      <c r="H821" s="154"/>
      <c r="I821" s="154"/>
      <c r="J821" s="154"/>
      <c r="K821" s="242"/>
      <c r="L821" s="154"/>
      <c r="M821" s="154"/>
      <c r="N821" s="154"/>
      <c r="O821" s="154"/>
      <c r="P821" s="154"/>
      <c r="Q821" s="154"/>
      <c r="R821" s="154"/>
      <c r="S821" s="243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  <c r="AF821" s="154"/>
      <c r="AG821" s="244"/>
      <c r="AH821" s="154"/>
      <c r="AI821" s="154"/>
      <c r="AJ821" s="154"/>
      <c r="AK821" s="244"/>
      <c r="AL821" s="154"/>
      <c r="AM821" s="242"/>
      <c r="AN821" s="154"/>
      <c r="AO821" s="154"/>
      <c r="AP821" s="154"/>
    </row>
    <row r="822">
      <c r="A822" s="154"/>
      <c r="B822" s="154"/>
      <c r="C822" s="242"/>
      <c r="D822" s="154"/>
      <c r="E822" s="154"/>
      <c r="F822" s="154"/>
      <c r="G822" s="242"/>
      <c r="H822" s="154"/>
      <c r="I822" s="154"/>
      <c r="J822" s="154"/>
      <c r="K822" s="242"/>
      <c r="L822" s="154"/>
      <c r="M822" s="154"/>
      <c r="N822" s="154"/>
      <c r="O822" s="154"/>
      <c r="P822" s="154"/>
      <c r="Q822" s="154"/>
      <c r="R822" s="154"/>
      <c r="S822" s="243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  <c r="AF822" s="154"/>
      <c r="AG822" s="244"/>
      <c r="AH822" s="154"/>
      <c r="AI822" s="154"/>
      <c r="AJ822" s="154"/>
      <c r="AK822" s="244"/>
      <c r="AL822" s="154"/>
      <c r="AM822" s="242"/>
      <c r="AN822" s="154"/>
      <c r="AO822" s="154"/>
      <c r="AP822" s="154"/>
    </row>
    <row r="823">
      <c r="A823" s="154"/>
      <c r="B823" s="154"/>
      <c r="C823" s="242"/>
      <c r="D823" s="154"/>
      <c r="E823" s="154"/>
      <c r="F823" s="154"/>
      <c r="G823" s="242"/>
      <c r="H823" s="154"/>
      <c r="I823" s="154"/>
      <c r="J823" s="154"/>
      <c r="K823" s="242"/>
      <c r="L823" s="154"/>
      <c r="M823" s="154"/>
      <c r="N823" s="154"/>
      <c r="O823" s="154"/>
      <c r="P823" s="154"/>
      <c r="Q823" s="154"/>
      <c r="R823" s="154"/>
      <c r="S823" s="243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  <c r="AF823" s="154"/>
      <c r="AG823" s="244"/>
      <c r="AH823" s="154"/>
      <c r="AI823" s="154"/>
      <c r="AJ823" s="154"/>
      <c r="AK823" s="244"/>
      <c r="AL823" s="154"/>
      <c r="AM823" s="242"/>
      <c r="AN823" s="154"/>
      <c r="AO823" s="154"/>
      <c r="AP823" s="154"/>
    </row>
    <row r="824">
      <c r="A824" s="154"/>
      <c r="B824" s="154"/>
      <c r="C824" s="242"/>
      <c r="D824" s="154"/>
      <c r="E824" s="154"/>
      <c r="F824" s="154"/>
      <c r="G824" s="242"/>
      <c r="H824" s="154"/>
      <c r="I824" s="154"/>
      <c r="J824" s="154"/>
      <c r="K824" s="242"/>
      <c r="L824" s="154"/>
      <c r="M824" s="154"/>
      <c r="N824" s="154"/>
      <c r="O824" s="154"/>
      <c r="P824" s="154"/>
      <c r="Q824" s="154"/>
      <c r="R824" s="154"/>
      <c r="S824" s="243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  <c r="AF824" s="154"/>
      <c r="AG824" s="244"/>
      <c r="AH824" s="154"/>
      <c r="AI824" s="154"/>
      <c r="AJ824" s="154"/>
      <c r="AK824" s="244"/>
      <c r="AL824" s="154"/>
      <c r="AM824" s="242"/>
      <c r="AN824" s="154"/>
      <c r="AO824" s="154"/>
      <c r="AP824" s="154"/>
    </row>
    <row r="825">
      <c r="A825" s="154"/>
      <c r="B825" s="154"/>
      <c r="C825" s="242"/>
      <c r="D825" s="154"/>
      <c r="E825" s="154"/>
      <c r="F825" s="154"/>
      <c r="G825" s="242"/>
      <c r="H825" s="154"/>
      <c r="I825" s="154"/>
      <c r="J825" s="154"/>
      <c r="K825" s="242"/>
      <c r="L825" s="154"/>
      <c r="M825" s="154"/>
      <c r="N825" s="154"/>
      <c r="O825" s="154"/>
      <c r="P825" s="154"/>
      <c r="Q825" s="154"/>
      <c r="R825" s="154"/>
      <c r="S825" s="243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  <c r="AF825" s="154"/>
      <c r="AG825" s="244"/>
      <c r="AH825" s="154"/>
      <c r="AI825" s="154"/>
      <c r="AJ825" s="154"/>
      <c r="AK825" s="244"/>
      <c r="AL825" s="154"/>
      <c r="AM825" s="242"/>
      <c r="AN825" s="154"/>
      <c r="AO825" s="154"/>
      <c r="AP825" s="154"/>
    </row>
    <row r="826">
      <c r="A826" s="154"/>
      <c r="B826" s="154"/>
      <c r="C826" s="242"/>
      <c r="D826" s="154"/>
      <c r="E826" s="154"/>
      <c r="F826" s="154"/>
      <c r="G826" s="242"/>
      <c r="H826" s="154"/>
      <c r="I826" s="154"/>
      <c r="J826" s="154"/>
      <c r="K826" s="242"/>
      <c r="L826" s="154"/>
      <c r="M826" s="154"/>
      <c r="N826" s="154"/>
      <c r="O826" s="154"/>
      <c r="P826" s="154"/>
      <c r="Q826" s="154"/>
      <c r="R826" s="154"/>
      <c r="S826" s="243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  <c r="AF826" s="154"/>
      <c r="AG826" s="244"/>
      <c r="AH826" s="154"/>
      <c r="AI826" s="154"/>
      <c r="AJ826" s="154"/>
      <c r="AK826" s="244"/>
      <c r="AL826" s="154"/>
      <c r="AM826" s="242"/>
      <c r="AN826" s="154"/>
      <c r="AO826" s="154"/>
      <c r="AP826" s="154"/>
    </row>
    <row r="827">
      <c r="A827" s="154"/>
      <c r="B827" s="154"/>
      <c r="C827" s="242"/>
      <c r="D827" s="154"/>
      <c r="E827" s="154"/>
      <c r="F827" s="154"/>
      <c r="G827" s="242"/>
      <c r="H827" s="154"/>
      <c r="I827" s="154"/>
      <c r="J827" s="154"/>
      <c r="K827" s="242"/>
      <c r="L827" s="154"/>
      <c r="M827" s="154"/>
      <c r="N827" s="154"/>
      <c r="O827" s="154"/>
      <c r="P827" s="154"/>
      <c r="Q827" s="154"/>
      <c r="R827" s="154"/>
      <c r="S827" s="243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  <c r="AF827" s="154"/>
      <c r="AG827" s="244"/>
      <c r="AH827" s="154"/>
      <c r="AI827" s="154"/>
      <c r="AJ827" s="154"/>
      <c r="AK827" s="244"/>
      <c r="AL827" s="154"/>
      <c r="AM827" s="242"/>
      <c r="AN827" s="154"/>
      <c r="AO827" s="154"/>
      <c r="AP827" s="154"/>
    </row>
    <row r="828">
      <c r="A828" s="154"/>
      <c r="B828" s="154"/>
      <c r="C828" s="242"/>
      <c r="D828" s="154"/>
      <c r="E828" s="154"/>
      <c r="F828" s="154"/>
      <c r="G828" s="242"/>
      <c r="H828" s="154"/>
      <c r="I828" s="154"/>
      <c r="J828" s="154"/>
      <c r="K828" s="242"/>
      <c r="L828" s="154"/>
      <c r="M828" s="154"/>
      <c r="N828" s="154"/>
      <c r="O828" s="154"/>
      <c r="P828" s="154"/>
      <c r="Q828" s="154"/>
      <c r="R828" s="154"/>
      <c r="S828" s="243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  <c r="AF828" s="154"/>
      <c r="AG828" s="244"/>
      <c r="AH828" s="154"/>
      <c r="AI828" s="154"/>
      <c r="AJ828" s="154"/>
      <c r="AK828" s="244"/>
      <c r="AL828" s="154"/>
      <c r="AM828" s="242"/>
      <c r="AN828" s="154"/>
      <c r="AO828" s="154"/>
      <c r="AP828" s="154"/>
    </row>
    <row r="829">
      <c r="A829" s="154"/>
      <c r="B829" s="154"/>
      <c r="C829" s="242"/>
      <c r="D829" s="154"/>
      <c r="E829" s="154"/>
      <c r="F829" s="154"/>
      <c r="G829" s="242"/>
      <c r="H829" s="154"/>
      <c r="I829" s="154"/>
      <c r="J829" s="154"/>
      <c r="K829" s="242"/>
      <c r="L829" s="154"/>
      <c r="M829" s="154"/>
      <c r="N829" s="154"/>
      <c r="O829" s="154"/>
      <c r="P829" s="154"/>
      <c r="Q829" s="154"/>
      <c r="R829" s="154"/>
      <c r="S829" s="243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  <c r="AF829" s="154"/>
      <c r="AG829" s="244"/>
      <c r="AH829" s="154"/>
      <c r="AI829" s="154"/>
      <c r="AJ829" s="154"/>
      <c r="AK829" s="244"/>
      <c r="AL829" s="154"/>
      <c r="AM829" s="242"/>
      <c r="AN829" s="154"/>
      <c r="AO829" s="154"/>
      <c r="AP829" s="154"/>
    </row>
    <row r="830">
      <c r="A830" s="154"/>
      <c r="B830" s="154"/>
      <c r="C830" s="242"/>
      <c r="D830" s="154"/>
      <c r="E830" s="154"/>
      <c r="F830" s="154"/>
      <c r="G830" s="242"/>
      <c r="H830" s="154"/>
      <c r="I830" s="154"/>
      <c r="J830" s="154"/>
      <c r="K830" s="242"/>
      <c r="L830" s="154"/>
      <c r="M830" s="154"/>
      <c r="N830" s="154"/>
      <c r="O830" s="154"/>
      <c r="P830" s="154"/>
      <c r="Q830" s="154"/>
      <c r="R830" s="154"/>
      <c r="S830" s="243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  <c r="AF830" s="154"/>
      <c r="AG830" s="244"/>
      <c r="AH830" s="154"/>
      <c r="AI830" s="154"/>
      <c r="AJ830" s="154"/>
      <c r="AK830" s="244"/>
      <c r="AL830" s="154"/>
      <c r="AM830" s="242"/>
      <c r="AN830" s="154"/>
      <c r="AO830" s="154"/>
      <c r="AP830" s="154"/>
    </row>
    <row r="831">
      <c r="A831" s="154"/>
      <c r="B831" s="154"/>
      <c r="C831" s="242"/>
      <c r="D831" s="154"/>
      <c r="E831" s="154"/>
      <c r="F831" s="154"/>
      <c r="G831" s="242"/>
      <c r="H831" s="154"/>
      <c r="I831" s="154"/>
      <c r="J831" s="154"/>
      <c r="K831" s="242"/>
      <c r="L831" s="154"/>
      <c r="M831" s="154"/>
      <c r="N831" s="154"/>
      <c r="O831" s="154"/>
      <c r="P831" s="154"/>
      <c r="Q831" s="154"/>
      <c r="R831" s="154"/>
      <c r="S831" s="243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  <c r="AF831" s="154"/>
      <c r="AG831" s="244"/>
      <c r="AH831" s="154"/>
      <c r="AI831" s="154"/>
      <c r="AJ831" s="154"/>
      <c r="AK831" s="244"/>
      <c r="AL831" s="154"/>
      <c r="AM831" s="242"/>
      <c r="AN831" s="154"/>
      <c r="AO831" s="154"/>
      <c r="AP831" s="154"/>
    </row>
    <row r="832">
      <c r="A832" s="154"/>
      <c r="B832" s="154"/>
      <c r="C832" s="242"/>
      <c r="D832" s="154"/>
      <c r="E832" s="154"/>
      <c r="F832" s="154"/>
      <c r="G832" s="242"/>
      <c r="H832" s="154"/>
      <c r="I832" s="154"/>
      <c r="J832" s="154"/>
      <c r="K832" s="242"/>
      <c r="L832" s="154"/>
      <c r="M832" s="154"/>
      <c r="N832" s="154"/>
      <c r="O832" s="154"/>
      <c r="P832" s="154"/>
      <c r="Q832" s="154"/>
      <c r="R832" s="154"/>
      <c r="S832" s="243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  <c r="AF832" s="154"/>
      <c r="AG832" s="244"/>
      <c r="AH832" s="154"/>
      <c r="AI832" s="154"/>
      <c r="AJ832" s="154"/>
      <c r="AK832" s="244"/>
      <c r="AL832" s="154"/>
      <c r="AM832" s="242"/>
      <c r="AN832" s="154"/>
      <c r="AO832" s="154"/>
      <c r="AP832" s="154"/>
    </row>
    <row r="833">
      <c r="A833" s="154"/>
      <c r="B833" s="154"/>
      <c r="C833" s="242"/>
      <c r="D833" s="154"/>
      <c r="E833" s="154"/>
      <c r="F833" s="154"/>
      <c r="G833" s="242"/>
      <c r="H833" s="154"/>
      <c r="I833" s="154"/>
      <c r="J833" s="154"/>
      <c r="K833" s="242"/>
      <c r="L833" s="154"/>
      <c r="M833" s="154"/>
      <c r="N833" s="154"/>
      <c r="O833" s="154"/>
      <c r="P833" s="154"/>
      <c r="Q833" s="154"/>
      <c r="R833" s="154"/>
      <c r="S833" s="243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  <c r="AF833" s="154"/>
      <c r="AG833" s="244"/>
      <c r="AH833" s="154"/>
      <c r="AI833" s="154"/>
      <c r="AJ833" s="154"/>
      <c r="AK833" s="244"/>
      <c r="AL833" s="154"/>
      <c r="AM833" s="242"/>
      <c r="AN833" s="154"/>
      <c r="AO833" s="154"/>
      <c r="AP833" s="154"/>
    </row>
    <row r="834">
      <c r="A834" s="154"/>
      <c r="B834" s="154"/>
      <c r="C834" s="242"/>
      <c r="D834" s="154"/>
      <c r="E834" s="154"/>
      <c r="F834" s="154"/>
      <c r="G834" s="242"/>
      <c r="H834" s="154"/>
      <c r="I834" s="154"/>
      <c r="J834" s="154"/>
      <c r="K834" s="242"/>
      <c r="L834" s="154"/>
      <c r="M834" s="154"/>
      <c r="N834" s="154"/>
      <c r="O834" s="154"/>
      <c r="P834" s="154"/>
      <c r="Q834" s="154"/>
      <c r="R834" s="154"/>
      <c r="S834" s="243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  <c r="AF834" s="154"/>
      <c r="AG834" s="244"/>
      <c r="AH834" s="154"/>
      <c r="AI834" s="154"/>
      <c r="AJ834" s="154"/>
      <c r="AK834" s="244"/>
      <c r="AL834" s="154"/>
      <c r="AM834" s="242"/>
      <c r="AN834" s="154"/>
      <c r="AO834" s="154"/>
      <c r="AP834" s="154"/>
    </row>
    <row r="835">
      <c r="A835" s="154"/>
      <c r="B835" s="154"/>
      <c r="C835" s="242"/>
      <c r="D835" s="154"/>
      <c r="E835" s="154"/>
      <c r="F835" s="154"/>
      <c r="G835" s="242"/>
      <c r="H835" s="154"/>
      <c r="I835" s="154"/>
      <c r="J835" s="154"/>
      <c r="K835" s="242"/>
      <c r="L835" s="154"/>
      <c r="M835" s="154"/>
      <c r="N835" s="154"/>
      <c r="O835" s="154"/>
      <c r="P835" s="154"/>
      <c r="Q835" s="154"/>
      <c r="R835" s="154"/>
      <c r="S835" s="243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  <c r="AF835" s="154"/>
      <c r="AG835" s="244"/>
      <c r="AH835" s="154"/>
      <c r="AI835" s="154"/>
      <c r="AJ835" s="154"/>
      <c r="AK835" s="244"/>
      <c r="AL835" s="154"/>
      <c r="AM835" s="242"/>
      <c r="AN835" s="154"/>
      <c r="AO835" s="154"/>
      <c r="AP835" s="154"/>
    </row>
    <row r="836">
      <c r="A836" s="154"/>
      <c r="B836" s="154"/>
      <c r="C836" s="242"/>
      <c r="D836" s="154"/>
      <c r="E836" s="154"/>
      <c r="F836" s="154"/>
      <c r="G836" s="242"/>
      <c r="H836" s="154"/>
      <c r="I836" s="154"/>
      <c r="J836" s="154"/>
      <c r="K836" s="242"/>
      <c r="L836" s="154"/>
      <c r="M836" s="154"/>
      <c r="N836" s="154"/>
      <c r="O836" s="154"/>
      <c r="P836" s="154"/>
      <c r="Q836" s="154"/>
      <c r="R836" s="154"/>
      <c r="S836" s="243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  <c r="AF836" s="154"/>
      <c r="AG836" s="244"/>
      <c r="AH836" s="154"/>
      <c r="AI836" s="154"/>
      <c r="AJ836" s="154"/>
      <c r="AK836" s="244"/>
      <c r="AL836" s="154"/>
      <c r="AM836" s="242"/>
      <c r="AN836" s="154"/>
      <c r="AO836" s="154"/>
      <c r="AP836" s="154"/>
    </row>
    <row r="837">
      <c r="A837" s="154"/>
      <c r="B837" s="154"/>
      <c r="C837" s="242"/>
      <c r="D837" s="154"/>
      <c r="E837" s="154"/>
      <c r="F837" s="154"/>
      <c r="G837" s="242"/>
      <c r="H837" s="154"/>
      <c r="I837" s="154"/>
      <c r="J837" s="154"/>
      <c r="K837" s="242"/>
      <c r="L837" s="154"/>
      <c r="M837" s="154"/>
      <c r="N837" s="154"/>
      <c r="O837" s="154"/>
      <c r="P837" s="154"/>
      <c r="Q837" s="154"/>
      <c r="R837" s="154"/>
      <c r="S837" s="243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  <c r="AF837" s="154"/>
      <c r="AG837" s="244"/>
      <c r="AH837" s="154"/>
      <c r="AI837" s="154"/>
      <c r="AJ837" s="154"/>
      <c r="AK837" s="244"/>
      <c r="AL837" s="154"/>
      <c r="AM837" s="242"/>
      <c r="AN837" s="154"/>
      <c r="AO837" s="154"/>
      <c r="AP837" s="154"/>
    </row>
    <row r="838">
      <c r="A838" s="154"/>
      <c r="B838" s="154"/>
      <c r="C838" s="242"/>
      <c r="D838" s="154"/>
      <c r="E838" s="154"/>
      <c r="F838" s="154"/>
      <c r="G838" s="242"/>
      <c r="H838" s="154"/>
      <c r="I838" s="154"/>
      <c r="J838" s="154"/>
      <c r="K838" s="242"/>
      <c r="L838" s="154"/>
      <c r="M838" s="154"/>
      <c r="N838" s="154"/>
      <c r="O838" s="154"/>
      <c r="P838" s="154"/>
      <c r="Q838" s="154"/>
      <c r="R838" s="154"/>
      <c r="S838" s="243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  <c r="AF838" s="154"/>
      <c r="AG838" s="244"/>
      <c r="AH838" s="154"/>
      <c r="AI838" s="154"/>
      <c r="AJ838" s="154"/>
      <c r="AK838" s="244"/>
      <c r="AL838" s="154"/>
      <c r="AM838" s="242"/>
      <c r="AN838" s="154"/>
      <c r="AO838" s="154"/>
      <c r="AP838" s="154"/>
    </row>
    <row r="839">
      <c r="A839" s="154"/>
      <c r="B839" s="154"/>
      <c r="C839" s="242"/>
      <c r="D839" s="154"/>
      <c r="E839" s="154"/>
      <c r="F839" s="154"/>
      <c r="G839" s="242"/>
      <c r="H839" s="154"/>
      <c r="I839" s="154"/>
      <c r="J839" s="154"/>
      <c r="K839" s="242"/>
      <c r="L839" s="154"/>
      <c r="M839" s="154"/>
      <c r="N839" s="154"/>
      <c r="O839" s="154"/>
      <c r="P839" s="154"/>
      <c r="Q839" s="154"/>
      <c r="R839" s="154"/>
      <c r="S839" s="243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  <c r="AF839" s="154"/>
      <c r="AG839" s="244"/>
      <c r="AH839" s="154"/>
      <c r="AI839" s="154"/>
      <c r="AJ839" s="154"/>
      <c r="AK839" s="244"/>
      <c r="AL839" s="154"/>
      <c r="AM839" s="242"/>
      <c r="AN839" s="154"/>
      <c r="AO839" s="154"/>
      <c r="AP839" s="154"/>
    </row>
    <row r="840">
      <c r="A840" s="154"/>
      <c r="B840" s="154"/>
      <c r="C840" s="242"/>
      <c r="D840" s="154"/>
      <c r="E840" s="154"/>
      <c r="F840" s="154"/>
      <c r="G840" s="242"/>
      <c r="H840" s="154"/>
      <c r="I840" s="154"/>
      <c r="J840" s="154"/>
      <c r="K840" s="242"/>
      <c r="L840" s="154"/>
      <c r="M840" s="154"/>
      <c r="N840" s="154"/>
      <c r="O840" s="154"/>
      <c r="P840" s="154"/>
      <c r="Q840" s="154"/>
      <c r="R840" s="154"/>
      <c r="S840" s="243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  <c r="AF840" s="154"/>
      <c r="AG840" s="244"/>
      <c r="AH840" s="154"/>
      <c r="AI840" s="154"/>
      <c r="AJ840" s="154"/>
      <c r="AK840" s="244"/>
      <c r="AL840" s="154"/>
      <c r="AM840" s="242"/>
      <c r="AN840" s="154"/>
      <c r="AO840" s="154"/>
      <c r="AP840" s="154"/>
    </row>
    <row r="841">
      <c r="A841" s="154"/>
      <c r="B841" s="154"/>
      <c r="C841" s="242"/>
      <c r="D841" s="154"/>
      <c r="E841" s="154"/>
      <c r="F841" s="154"/>
      <c r="G841" s="242"/>
      <c r="H841" s="154"/>
      <c r="I841" s="154"/>
      <c r="J841" s="154"/>
      <c r="K841" s="242"/>
      <c r="L841" s="154"/>
      <c r="M841" s="154"/>
      <c r="N841" s="154"/>
      <c r="O841" s="154"/>
      <c r="P841" s="154"/>
      <c r="Q841" s="154"/>
      <c r="R841" s="154"/>
      <c r="S841" s="243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  <c r="AF841" s="154"/>
      <c r="AG841" s="244"/>
      <c r="AH841" s="154"/>
      <c r="AI841" s="154"/>
      <c r="AJ841" s="154"/>
      <c r="AK841" s="244"/>
      <c r="AL841" s="154"/>
      <c r="AM841" s="242"/>
      <c r="AN841" s="154"/>
      <c r="AO841" s="154"/>
      <c r="AP841" s="154"/>
    </row>
    <row r="842">
      <c r="A842" s="154"/>
      <c r="B842" s="154"/>
      <c r="C842" s="242"/>
      <c r="D842" s="154"/>
      <c r="E842" s="154"/>
      <c r="F842" s="154"/>
      <c r="G842" s="242"/>
      <c r="H842" s="154"/>
      <c r="I842" s="154"/>
      <c r="J842" s="154"/>
      <c r="K842" s="242"/>
      <c r="L842" s="154"/>
      <c r="M842" s="154"/>
      <c r="N842" s="154"/>
      <c r="O842" s="154"/>
      <c r="P842" s="154"/>
      <c r="Q842" s="154"/>
      <c r="R842" s="154"/>
      <c r="S842" s="243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  <c r="AF842" s="154"/>
      <c r="AG842" s="244"/>
      <c r="AH842" s="154"/>
      <c r="AI842" s="154"/>
      <c r="AJ842" s="154"/>
      <c r="AK842" s="244"/>
      <c r="AL842" s="154"/>
      <c r="AM842" s="242"/>
      <c r="AN842" s="154"/>
      <c r="AO842" s="154"/>
      <c r="AP842" s="154"/>
    </row>
    <row r="843">
      <c r="A843" s="154"/>
      <c r="B843" s="154"/>
      <c r="C843" s="242"/>
      <c r="D843" s="154"/>
      <c r="E843" s="154"/>
      <c r="F843" s="154"/>
      <c r="G843" s="242"/>
      <c r="H843" s="154"/>
      <c r="I843" s="154"/>
      <c r="J843" s="154"/>
      <c r="K843" s="242"/>
      <c r="L843" s="154"/>
      <c r="M843" s="154"/>
      <c r="N843" s="154"/>
      <c r="O843" s="154"/>
      <c r="P843" s="154"/>
      <c r="Q843" s="154"/>
      <c r="R843" s="154"/>
      <c r="S843" s="243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  <c r="AF843" s="154"/>
      <c r="AG843" s="244"/>
      <c r="AH843" s="154"/>
      <c r="AI843" s="154"/>
      <c r="AJ843" s="154"/>
      <c r="AK843" s="244"/>
      <c r="AL843" s="154"/>
      <c r="AM843" s="242"/>
      <c r="AN843" s="154"/>
      <c r="AO843" s="154"/>
      <c r="AP843" s="154"/>
    </row>
    <row r="844">
      <c r="A844" s="154"/>
      <c r="B844" s="154"/>
      <c r="C844" s="242"/>
      <c r="D844" s="154"/>
      <c r="E844" s="154"/>
      <c r="F844" s="154"/>
      <c r="G844" s="242"/>
      <c r="H844" s="154"/>
      <c r="I844" s="154"/>
      <c r="J844" s="154"/>
      <c r="K844" s="242"/>
      <c r="L844" s="154"/>
      <c r="M844" s="154"/>
      <c r="N844" s="154"/>
      <c r="O844" s="154"/>
      <c r="P844" s="154"/>
      <c r="Q844" s="154"/>
      <c r="R844" s="154"/>
      <c r="S844" s="243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  <c r="AF844" s="154"/>
      <c r="AG844" s="244"/>
      <c r="AH844" s="154"/>
      <c r="AI844" s="154"/>
      <c r="AJ844" s="154"/>
      <c r="AK844" s="244"/>
      <c r="AL844" s="154"/>
      <c r="AM844" s="242"/>
      <c r="AN844" s="154"/>
      <c r="AO844" s="154"/>
      <c r="AP844" s="154"/>
    </row>
    <row r="845">
      <c r="A845" s="154"/>
      <c r="B845" s="154"/>
      <c r="C845" s="242"/>
      <c r="D845" s="154"/>
      <c r="E845" s="154"/>
      <c r="F845" s="154"/>
      <c r="G845" s="242"/>
      <c r="H845" s="154"/>
      <c r="I845" s="154"/>
      <c r="J845" s="154"/>
      <c r="K845" s="242"/>
      <c r="L845" s="154"/>
      <c r="M845" s="154"/>
      <c r="N845" s="154"/>
      <c r="O845" s="154"/>
      <c r="P845" s="154"/>
      <c r="Q845" s="154"/>
      <c r="R845" s="154"/>
      <c r="S845" s="243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  <c r="AF845" s="154"/>
      <c r="AG845" s="244"/>
      <c r="AH845" s="154"/>
      <c r="AI845" s="154"/>
      <c r="AJ845" s="154"/>
      <c r="AK845" s="244"/>
      <c r="AL845" s="154"/>
      <c r="AM845" s="242"/>
      <c r="AN845" s="154"/>
      <c r="AO845" s="154"/>
      <c r="AP845" s="154"/>
    </row>
    <row r="846">
      <c r="A846" s="154"/>
      <c r="B846" s="154"/>
      <c r="C846" s="242"/>
      <c r="D846" s="154"/>
      <c r="E846" s="154"/>
      <c r="F846" s="154"/>
      <c r="G846" s="242"/>
      <c r="H846" s="154"/>
      <c r="I846" s="154"/>
      <c r="J846" s="154"/>
      <c r="K846" s="242"/>
      <c r="L846" s="154"/>
      <c r="M846" s="154"/>
      <c r="N846" s="154"/>
      <c r="O846" s="154"/>
      <c r="P846" s="154"/>
      <c r="Q846" s="154"/>
      <c r="R846" s="154"/>
      <c r="S846" s="243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  <c r="AF846" s="154"/>
      <c r="AG846" s="244"/>
      <c r="AH846" s="154"/>
      <c r="AI846" s="154"/>
      <c r="AJ846" s="154"/>
      <c r="AK846" s="244"/>
      <c r="AL846" s="154"/>
      <c r="AM846" s="242"/>
      <c r="AN846" s="154"/>
      <c r="AO846" s="154"/>
      <c r="AP846" s="154"/>
    </row>
    <row r="847">
      <c r="A847" s="154"/>
      <c r="B847" s="154"/>
      <c r="C847" s="242"/>
      <c r="D847" s="154"/>
      <c r="E847" s="154"/>
      <c r="F847" s="154"/>
      <c r="G847" s="242"/>
      <c r="H847" s="154"/>
      <c r="I847" s="154"/>
      <c r="J847" s="154"/>
      <c r="K847" s="242"/>
      <c r="L847" s="154"/>
      <c r="M847" s="154"/>
      <c r="N847" s="154"/>
      <c r="O847" s="154"/>
      <c r="P847" s="154"/>
      <c r="Q847" s="154"/>
      <c r="R847" s="154"/>
      <c r="S847" s="243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  <c r="AF847" s="154"/>
      <c r="AG847" s="244"/>
      <c r="AH847" s="154"/>
      <c r="AI847" s="154"/>
      <c r="AJ847" s="154"/>
      <c r="AK847" s="244"/>
      <c r="AL847" s="154"/>
      <c r="AM847" s="242"/>
      <c r="AN847" s="154"/>
      <c r="AO847" s="154"/>
      <c r="AP847" s="154"/>
    </row>
    <row r="848">
      <c r="A848" s="154"/>
      <c r="B848" s="154"/>
      <c r="C848" s="242"/>
      <c r="D848" s="154"/>
      <c r="E848" s="154"/>
      <c r="F848" s="154"/>
      <c r="G848" s="242"/>
      <c r="H848" s="154"/>
      <c r="I848" s="154"/>
      <c r="J848" s="154"/>
      <c r="K848" s="242"/>
      <c r="L848" s="154"/>
      <c r="M848" s="154"/>
      <c r="N848" s="154"/>
      <c r="O848" s="154"/>
      <c r="P848" s="154"/>
      <c r="Q848" s="154"/>
      <c r="R848" s="154"/>
      <c r="S848" s="243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  <c r="AF848" s="154"/>
      <c r="AG848" s="244"/>
      <c r="AH848" s="154"/>
      <c r="AI848" s="154"/>
      <c r="AJ848" s="154"/>
      <c r="AK848" s="244"/>
      <c r="AL848" s="154"/>
      <c r="AM848" s="242"/>
      <c r="AN848" s="154"/>
      <c r="AO848" s="154"/>
      <c r="AP848" s="154"/>
    </row>
    <row r="849">
      <c r="A849" s="154"/>
      <c r="B849" s="154"/>
      <c r="C849" s="242"/>
      <c r="D849" s="154"/>
      <c r="E849" s="154"/>
      <c r="F849" s="154"/>
      <c r="G849" s="242"/>
      <c r="H849" s="154"/>
      <c r="I849" s="154"/>
      <c r="J849" s="154"/>
      <c r="K849" s="242"/>
      <c r="L849" s="154"/>
      <c r="M849" s="154"/>
      <c r="N849" s="154"/>
      <c r="O849" s="154"/>
      <c r="P849" s="154"/>
      <c r="Q849" s="154"/>
      <c r="R849" s="154"/>
      <c r="S849" s="243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  <c r="AF849" s="154"/>
      <c r="AG849" s="244"/>
      <c r="AH849" s="154"/>
      <c r="AI849" s="154"/>
      <c r="AJ849" s="154"/>
      <c r="AK849" s="244"/>
      <c r="AL849" s="154"/>
      <c r="AM849" s="242"/>
      <c r="AN849" s="154"/>
      <c r="AO849" s="154"/>
      <c r="AP849" s="154"/>
    </row>
    <row r="850">
      <c r="A850" s="154"/>
      <c r="B850" s="154"/>
      <c r="C850" s="242"/>
      <c r="D850" s="154"/>
      <c r="E850" s="154"/>
      <c r="F850" s="154"/>
      <c r="G850" s="242"/>
      <c r="H850" s="154"/>
      <c r="I850" s="154"/>
      <c r="J850" s="154"/>
      <c r="K850" s="242"/>
      <c r="L850" s="154"/>
      <c r="M850" s="154"/>
      <c r="N850" s="154"/>
      <c r="O850" s="154"/>
      <c r="P850" s="154"/>
      <c r="Q850" s="154"/>
      <c r="R850" s="154"/>
      <c r="S850" s="243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  <c r="AF850" s="154"/>
      <c r="AG850" s="244"/>
      <c r="AH850" s="154"/>
      <c r="AI850" s="154"/>
      <c r="AJ850" s="154"/>
      <c r="AK850" s="244"/>
      <c r="AL850" s="154"/>
      <c r="AM850" s="242"/>
      <c r="AN850" s="154"/>
      <c r="AO850" s="154"/>
      <c r="AP850" s="154"/>
    </row>
    <row r="851">
      <c r="A851" s="154"/>
      <c r="B851" s="154"/>
      <c r="C851" s="242"/>
      <c r="D851" s="154"/>
      <c r="E851" s="154"/>
      <c r="F851" s="154"/>
      <c r="G851" s="242"/>
      <c r="H851" s="154"/>
      <c r="I851" s="154"/>
      <c r="J851" s="154"/>
      <c r="K851" s="242"/>
      <c r="L851" s="154"/>
      <c r="M851" s="154"/>
      <c r="N851" s="154"/>
      <c r="O851" s="154"/>
      <c r="P851" s="154"/>
      <c r="Q851" s="154"/>
      <c r="R851" s="154"/>
      <c r="S851" s="243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  <c r="AF851" s="154"/>
      <c r="AG851" s="244"/>
      <c r="AH851" s="154"/>
      <c r="AI851" s="154"/>
      <c r="AJ851" s="154"/>
      <c r="AK851" s="244"/>
      <c r="AL851" s="154"/>
      <c r="AM851" s="242"/>
      <c r="AN851" s="154"/>
      <c r="AO851" s="154"/>
      <c r="AP851" s="154"/>
    </row>
    <row r="852">
      <c r="A852" s="154"/>
      <c r="B852" s="154"/>
      <c r="C852" s="242"/>
      <c r="D852" s="154"/>
      <c r="E852" s="154"/>
      <c r="F852" s="154"/>
      <c r="G852" s="242"/>
      <c r="H852" s="154"/>
      <c r="I852" s="154"/>
      <c r="J852" s="154"/>
      <c r="K852" s="242"/>
      <c r="L852" s="154"/>
      <c r="M852" s="154"/>
      <c r="N852" s="154"/>
      <c r="O852" s="154"/>
      <c r="P852" s="154"/>
      <c r="Q852" s="154"/>
      <c r="R852" s="154"/>
      <c r="S852" s="243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  <c r="AF852" s="154"/>
      <c r="AG852" s="244"/>
      <c r="AH852" s="154"/>
      <c r="AI852" s="154"/>
      <c r="AJ852" s="154"/>
      <c r="AK852" s="244"/>
      <c r="AL852" s="154"/>
      <c r="AM852" s="242"/>
      <c r="AN852" s="154"/>
      <c r="AO852" s="154"/>
      <c r="AP852" s="154"/>
    </row>
    <row r="853">
      <c r="A853" s="154"/>
      <c r="B853" s="154"/>
      <c r="C853" s="242"/>
      <c r="D853" s="154"/>
      <c r="E853" s="154"/>
      <c r="F853" s="154"/>
      <c r="G853" s="242"/>
      <c r="H853" s="154"/>
      <c r="I853" s="154"/>
      <c r="J853" s="154"/>
      <c r="K853" s="242"/>
      <c r="L853" s="154"/>
      <c r="M853" s="154"/>
      <c r="N853" s="154"/>
      <c r="O853" s="154"/>
      <c r="P853" s="154"/>
      <c r="Q853" s="154"/>
      <c r="R853" s="154"/>
      <c r="S853" s="243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  <c r="AF853" s="154"/>
      <c r="AG853" s="244"/>
      <c r="AH853" s="154"/>
      <c r="AI853" s="154"/>
      <c r="AJ853" s="154"/>
      <c r="AK853" s="244"/>
      <c r="AL853" s="154"/>
      <c r="AM853" s="242"/>
      <c r="AN853" s="154"/>
      <c r="AO853" s="154"/>
      <c r="AP853" s="154"/>
    </row>
    <row r="854">
      <c r="A854" s="154"/>
      <c r="B854" s="154"/>
      <c r="C854" s="242"/>
      <c r="D854" s="154"/>
      <c r="E854" s="154"/>
      <c r="F854" s="154"/>
      <c r="G854" s="242"/>
      <c r="H854" s="154"/>
      <c r="I854" s="154"/>
      <c r="J854" s="154"/>
      <c r="K854" s="242"/>
      <c r="L854" s="154"/>
      <c r="M854" s="154"/>
      <c r="N854" s="154"/>
      <c r="O854" s="154"/>
      <c r="P854" s="154"/>
      <c r="Q854" s="154"/>
      <c r="R854" s="154"/>
      <c r="S854" s="243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  <c r="AF854" s="154"/>
      <c r="AG854" s="244"/>
      <c r="AH854" s="154"/>
      <c r="AI854" s="154"/>
      <c r="AJ854" s="154"/>
      <c r="AK854" s="244"/>
      <c r="AL854" s="154"/>
      <c r="AM854" s="242"/>
      <c r="AN854" s="154"/>
      <c r="AO854" s="154"/>
      <c r="AP854" s="154"/>
    </row>
    <row r="855">
      <c r="A855" s="154"/>
      <c r="B855" s="154"/>
      <c r="C855" s="242"/>
      <c r="D855" s="154"/>
      <c r="E855" s="154"/>
      <c r="F855" s="154"/>
      <c r="G855" s="242"/>
      <c r="H855" s="154"/>
      <c r="I855" s="154"/>
      <c r="J855" s="154"/>
      <c r="K855" s="242"/>
      <c r="L855" s="154"/>
      <c r="M855" s="154"/>
      <c r="N855" s="154"/>
      <c r="O855" s="154"/>
      <c r="P855" s="154"/>
      <c r="Q855" s="154"/>
      <c r="R855" s="154"/>
      <c r="S855" s="243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  <c r="AF855" s="154"/>
      <c r="AG855" s="244"/>
      <c r="AH855" s="154"/>
      <c r="AI855" s="154"/>
      <c r="AJ855" s="154"/>
      <c r="AK855" s="244"/>
      <c r="AL855" s="154"/>
      <c r="AM855" s="242"/>
      <c r="AN855" s="154"/>
      <c r="AO855" s="154"/>
      <c r="AP855" s="154"/>
    </row>
    <row r="856">
      <c r="A856" s="154"/>
      <c r="B856" s="154"/>
      <c r="C856" s="242"/>
      <c r="D856" s="154"/>
      <c r="E856" s="154"/>
      <c r="F856" s="154"/>
      <c r="G856" s="242"/>
      <c r="H856" s="154"/>
      <c r="I856" s="154"/>
      <c r="J856" s="154"/>
      <c r="K856" s="242"/>
      <c r="L856" s="154"/>
      <c r="M856" s="154"/>
      <c r="N856" s="154"/>
      <c r="O856" s="154"/>
      <c r="P856" s="154"/>
      <c r="Q856" s="154"/>
      <c r="R856" s="154"/>
      <c r="S856" s="243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  <c r="AF856" s="154"/>
      <c r="AG856" s="244"/>
      <c r="AH856" s="154"/>
      <c r="AI856" s="154"/>
      <c r="AJ856" s="154"/>
      <c r="AK856" s="244"/>
      <c r="AL856" s="154"/>
      <c r="AM856" s="242"/>
      <c r="AN856" s="154"/>
      <c r="AO856" s="154"/>
      <c r="AP856" s="154"/>
    </row>
    <row r="857">
      <c r="A857" s="154"/>
      <c r="B857" s="154"/>
      <c r="C857" s="242"/>
      <c r="D857" s="154"/>
      <c r="E857" s="154"/>
      <c r="F857" s="154"/>
      <c r="G857" s="242"/>
      <c r="H857" s="154"/>
      <c r="I857" s="154"/>
      <c r="J857" s="154"/>
      <c r="K857" s="242"/>
      <c r="L857" s="154"/>
      <c r="M857" s="154"/>
      <c r="N857" s="154"/>
      <c r="O857" s="154"/>
      <c r="P857" s="154"/>
      <c r="Q857" s="154"/>
      <c r="R857" s="154"/>
      <c r="S857" s="243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  <c r="AF857" s="154"/>
      <c r="AG857" s="244"/>
      <c r="AH857" s="154"/>
      <c r="AI857" s="154"/>
      <c r="AJ857" s="154"/>
      <c r="AK857" s="244"/>
      <c r="AL857" s="154"/>
      <c r="AM857" s="242"/>
      <c r="AN857" s="154"/>
      <c r="AO857" s="154"/>
      <c r="AP857" s="154"/>
    </row>
    <row r="858">
      <c r="A858" s="154"/>
      <c r="B858" s="154"/>
      <c r="C858" s="242"/>
      <c r="D858" s="154"/>
      <c r="E858" s="154"/>
      <c r="F858" s="154"/>
      <c r="G858" s="242"/>
      <c r="H858" s="154"/>
      <c r="I858" s="154"/>
      <c r="J858" s="154"/>
      <c r="K858" s="242"/>
      <c r="L858" s="154"/>
      <c r="M858" s="154"/>
      <c r="N858" s="154"/>
      <c r="O858" s="154"/>
      <c r="P858" s="154"/>
      <c r="Q858" s="154"/>
      <c r="R858" s="154"/>
      <c r="S858" s="243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  <c r="AF858" s="154"/>
      <c r="AG858" s="244"/>
      <c r="AH858" s="154"/>
      <c r="AI858" s="154"/>
      <c r="AJ858" s="154"/>
      <c r="AK858" s="244"/>
      <c r="AL858" s="154"/>
      <c r="AM858" s="242"/>
      <c r="AN858" s="154"/>
      <c r="AO858" s="154"/>
      <c r="AP858" s="154"/>
    </row>
    <row r="859">
      <c r="A859" s="154"/>
      <c r="B859" s="154"/>
      <c r="C859" s="242"/>
      <c r="D859" s="154"/>
      <c r="E859" s="154"/>
      <c r="F859" s="154"/>
      <c r="G859" s="242"/>
      <c r="H859" s="154"/>
      <c r="I859" s="154"/>
      <c r="J859" s="154"/>
      <c r="K859" s="242"/>
      <c r="L859" s="154"/>
      <c r="M859" s="154"/>
      <c r="N859" s="154"/>
      <c r="O859" s="154"/>
      <c r="P859" s="154"/>
      <c r="Q859" s="154"/>
      <c r="R859" s="154"/>
      <c r="S859" s="243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  <c r="AF859" s="154"/>
      <c r="AG859" s="244"/>
      <c r="AH859" s="154"/>
      <c r="AI859" s="154"/>
      <c r="AJ859" s="154"/>
      <c r="AK859" s="244"/>
      <c r="AL859" s="154"/>
      <c r="AM859" s="242"/>
      <c r="AN859" s="154"/>
      <c r="AO859" s="154"/>
      <c r="AP859" s="154"/>
    </row>
    <row r="860">
      <c r="A860" s="154"/>
      <c r="B860" s="154"/>
      <c r="C860" s="242"/>
      <c r="D860" s="154"/>
      <c r="E860" s="154"/>
      <c r="F860" s="154"/>
      <c r="G860" s="242"/>
      <c r="H860" s="154"/>
      <c r="I860" s="154"/>
      <c r="J860" s="154"/>
      <c r="K860" s="242"/>
      <c r="L860" s="154"/>
      <c r="M860" s="154"/>
      <c r="N860" s="154"/>
      <c r="O860" s="154"/>
      <c r="P860" s="154"/>
      <c r="Q860" s="154"/>
      <c r="R860" s="154"/>
      <c r="S860" s="243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  <c r="AF860" s="154"/>
      <c r="AG860" s="244"/>
      <c r="AH860" s="154"/>
      <c r="AI860" s="154"/>
      <c r="AJ860" s="154"/>
      <c r="AK860" s="244"/>
      <c r="AL860" s="154"/>
      <c r="AM860" s="242"/>
      <c r="AN860" s="154"/>
      <c r="AO860" s="154"/>
      <c r="AP860" s="154"/>
    </row>
    <row r="861">
      <c r="A861" s="154"/>
      <c r="B861" s="154"/>
      <c r="C861" s="242"/>
      <c r="D861" s="154"/>
      <c r="E861" s="154"/>
      <c r="F861" s="154"/>
      <c r="G861" s="242"/>
      <c r="H861" s="154"/>
      <c r="I861" s="154"/>
      <c r="J861" s="154"/>
      <c r="K861" s="242"/>
      <c r="L861" s="154"/>
      <c r="M861" s="154"/>
      <c r="N861" s="154"/>
      <c r="O861" s="154"/>
      <c r="P861" s="154"/>
      <c r="Q861" s="154"/>
      <c r="R861" s="154"/>
      <c r="S861" s="243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  <c r="AF861" s="154"/>
      <c r="AG861" s="244"/>
      <c r="AH861" s="154"/>
      <c r="AI861" s="154"/>
      <c r="AJ861" s="154"/>
      <c r="AK861" s="244"/>
      <c r="AL861" s="154"/>
      <c r="AM861" s="242"/>
      <c r="AN861" s="154"/>
      <c r="AO861" s="154"/>
      <c r="AP861" s="154"/>
    </row>
    <row r="862">
      <c r="A862" s="154"/>
      <c r="B862" s="154"/>
      <c r="C862" s="242"/>
      <c r="D862" s="154"/>
      <c r="E862" s="154"/>
      <c r="F862" s="154"/>
      <c r="G862" s="242"/>
      <c r="H862" s="154"/>
      <c r="I862" s="154"/>
      <c r="J862" s="154"/>
      <c r="K862" s="242"/>
      <c r="L862" s="154"/>
      <c r="M862" s="154"/>
      <c r="N862" s="154"/>
      <c r="O862" s="154"/>
      <c r="P862" s="154"/>
      <c r="Q862" s="154"/>
      <c r="R862" s="154"/>
      <c r="S862" s="243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  <c r="AF862" s="154"/>
      <c r="AG862" s="244"/>
      <c r="AH862" s="154"/>
      <c r="AI862" s="154"/>
      <c r="AJ862" s="154"/>
      <c r="AK862" s="244"/>
      <c r="AL862" s="154"/>
      <c r="AM862" s="242"/>
      <c r="AN862" s="154"/>
      <c r="AO862" s="154"/>
      <c r="AP862" s="154"/>
    </row>
    <row r="863">
      <c r="A863" s="154"/>
      <c r="B863" s="154"/>
      <c r="C863" s="242"/>
      <c r="D863" s="154"/>
      <c r="E863" s="154"/>
      <c r="F863" s="154"/>
      <c r="G863" s="242"/>
      <c r="H863" s="154"/>
      <c r="I863" s="154"/>
      <c r="J863" s="154"/>
      <c r="K863" s="242"/>
      <c r="L863" s="154"/>
      <c r="M863" s="154"/>
      <c r="N863" s="154"/>
      <c r="O863" s="154"/>
      <c r="P863" s="154"/>
      <c r="Q863" s="154"/>
      <c r="R863" s="154"/>
      <c r="S863" s="243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  <c r="AF863" s="154"/>
      <c r="AG863" s="244"/>
      <c r="AH863" s="154"/>
      <c r="AI863" s="154"/>
      <c r="AJ863" s="154"/>
      <c r="AK863" s="244"/>
      <c r="AL863" s="154"/>
      <c r="AM863" s="242"/>
      <c r="AN863" s="154"/>
      <c r="AO863" s="154"/>
      <c r="AP863" s="154"/>
    </row>
    <row r="864">
      <c r="A864" s="154"/>
      <c r="B864" s="154"/>
      <c r="C864" s="242"/>
      <c r="D864" s="154"/>
      <c r="E864" s="154"/>
      <c r="F864" s="154"/>
      <c r="G864" s="242"/>
      <c r="H864" s="154"/>
      <c r="I864" s="154"/>
      <c r="J864" s="154"/>
      <c r="K864" s="242"/>
      <c r="L864" s="154"/>
      <c r="M864" s="154"/>
      <c r="N864" s="154"/>
      <c r="O864" s="154"/>
      <c r="P864" s="154"/>
      <c r="Q864" s="154"/>
      <c r="R864" s="154"/>
      <c r="S864" s="243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  <c r="AF864" s="154"/>
      <c r="AG864" s="244"/>
      <c r="AH864" s="154"/>
      <c r="AI864" s="154"/>
      <c r="AJ864" s="154"/>
      <c r="AK864" s="244"/>
      <c r="AL864" s="154"/>
      <c r="AM864" s="242"/>
      <c r="AN864" s="154"/>
      <c r="AO864" s="154"/>
      <c r="AP864" s="154"/>
    </row>
    <row r="865">
      <c r="A865" s="154"/>
      <c r="B865" s="154"/>
      <c r="C865" s="242"/>
      <c r="D865" s="154"/>
      <c r="E865" s="154"/>
      <c r="F865" s="154"/>
      <c r="G865" s="242"/>
      <c r="H865" s="154"/>
      <c r="I865" s="154"/>
      <c r="J865" s="154"/>
      <c r="K865" s="242"/>
      <c r="L865" s="154"/>
      <c r="M865" s="154"/>
      <c r="N865" s="154"/>
      <c r="O865" s="154"/>
      <c r="P865" s="154"/>
      <c r="Q865" s="154"/>
      <c r="R865" s="154"/>
      <c r="S865" s="243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  <c r="AF865" s="154"/>
      <c r="AG865" s="244"/>
      <c r="AH865" s="154"/>
      <c r="AI865" s="154"/>
      <c r="AJ865" s="154"/>
      <c r="AK865" s="244"/>
      <c r="AL865" s="154"/>
      <c r="AM865" s="242"/>
      <c r="AN865" s="154"/>
      <c r="AO865" s="154"/>
      <c r="AP865" s="154"/>
    </row>
    <row r="866">
      <c r="A866" s="154"/>
      <c r="B866" s="154"/>
      <c r="C866" s="242"/>
      <c r="D866" s="154"/>
      <c r="E866" s="154"/>
      <c r="F866" s="154"/>
      <c r="G866" s="242"/>
      <c r="H866" s="154"/>
      <c r="I866" s="154"/>
      <c r="J866" s="154"/>
      <c r="K866" s="242"/>
      <c r="L866" s="154"/>
      <c r="M866" s="154"/>
      <c r="N866" s="154"/>
      <c r="O866" s="154"/>
      <c r="P866" s="154"/>
      <c r="Q866" s="154"/>
      <c r="R866" s="154"/>
      <c r="S866" s="243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  <c r="AF866" s="154"/>
      <c r="AG866" s="244"/>
      <c r="AH866" s="154"/>
      <c r="AI866" s="154"/>
      <c r="AJ866" s="154"/>
      <c r="AK866" s="244"/>
      <c r="AL866" s="154"/>
      <c r="AM866" s="242"/>
      <c r="AN866" s="154"/>
      <c r="AO866" s="154"/>
      <c r="AP866" s="154"/>
    </row>
    <row r="867">
      <c r="A867" s="154"/>
      <c r="B867" s="154"/>
      <c r="C867" s="242"/>
      <c r="D867" s="154"/>
      <c r="E867" s="154"/>
      <c r="F867" s="154"/>
      <c r="G867" s="242"/>
      <c r="H867" s="154"/>
      <c r="I867" s="154"/>
      <c r="J867" s="154"/>
      <c r="K867" s="242"/>
      <c r="L867" s="154"/>
      <c r="M867" s="154"/>
      <c r="N867" s="154"/>
      <c r="O867" s="154"/>
      <c r="P867" s="154"/>
      <c r="Q867" s="154"/>
      <c r="R867" s="154"/>
      <c r="S867" s="243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  <c r="AF867" s="154"/>
      <c r="AG867" s="244"/>
      <c r="AH867" s="154"/>
      <c r="AI867" s="154"/>
      <c r="AJ867" s="154"/>
      <c r="AK867" s="244"/>
      <c r="AL867" s="154"/>
      <c r="AM867" s="242"/>
      <c r="AN867" s="154"/>
      <c r="AO867" s="154"/>
      <c r="AP867" s="154"/>
    </row>
    <row r="868">
      <c r="A868" s="154"/>
      <c r="B868" s="154"/>
      <c r="C868" s="242"/>
      <c r="D868" s="154"/>
      <c r="E868" s="154"/>
      <c r="F868" s="154"/>
      <c r="G868" s="242"/>
      <c r="H868" s="154"/>
      <c r="I868" s="154"/>
      <c r="J868" s="154"/>
      <c r="K868" s="242"/>
      <c r="L868" s="154"/>
      <c r="M868" s="154"/>
      <c r="N868" s="154"/>
      <c r="O868" s="154"/>
      <c r="P868" s="154"/>
      <c r="Q868" s="154"/>
      <c r="R868" s="154"/>
      <c r="S868" s="243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  <c r="AF868" s="154"/>
      <c r="AG868" s="244"/>
      <c r="AH868" s="154"/>
      <c r="AI868" s="154"/>
      <c r="AJ868" s="154"/>
      <c r="AK868" s="244"/>
      <c r="AL868" s="154"/>
      <c r="AM868" s="242"/>
      <c r="AN868" s="154"/>
      <c r="AO868" s="154"/>
      <c r="AP868" s="154"/>
    </row>
    <row r="869">
      <c r="A869" s="154"/>
      <c r="B869" s="154"/>
      <c r="C869" s="242"/>
      <c r="D869" s="154"/>
      <c r="E869" s="154"/>
      <c r="F869" s="154"/>
      <c r="G869" s="242"/>
      <c r="H869" s="154"/>
      <c r="I869" s="154"/>
      <c r="J869" s="154"/>
      <c r="K869" s="242"/>
      <c r="L869" s="154"/>
      <c r="M869" s="154"/>
      <c r="N869" s="154"/>
      <c r="O869" s="154"/>
      <c r="P869" s="154"/>
      <c r="Q869" s="154"/>
      <c r="R869" s="154"/>
      <c r="S869" s="243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  <c r="AF869" s="154"/>
      <c r="AG869" s="244"/>
      <c r="AH869" s="154"/>
      <c r="AI869" s="154"/>
      <c r="AJ869" s="154"/>
      <c r="AK869" s="244"/>
      <c r="AL869" s="154"/>
      <c r="AM869" s="242"/>
      <c r="AN869" s="154"/>
      <c r="AO869" s="154"/>
      <c r="AP869" s="154"/>
    </row>
    <row r="870">
      <c r="A870" s="154"/>
      <c r="B870" s="154"/>
      <c r="C870" s="242"/>
      <c r="D870" s="154"/>
      <c r="E870" s="154"/>
      <c r="F870" s="154"/>
      <c r="G870" s="242"/>
      <c r="H870" s="154"/>
      <c r="I870" s="154"/>
      <c r="J870" s="154"/>
      <c r="K870" s="242"/>
      <c r="L870" s="154"/>
      <c r="M870" s="154"/>
      <c r="N870" s="154"/>
      <c r="O870" s="154"/>
      <c r="P870" s="154"/>
      <c r="Q870" s="154"/>
      <c r="R870" s="154"/>
      <c r="S870" s="243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  <c r="AF870" s="154"/>
      <c r="AG870" s="244"/>
      <c r="AH870" s="154"/>
      <c r="AI870" s="154"/>
      <c r="AJ870" s="154"/>
      <c r="AK870" s="244"/>
      <c r="AL870" s="154"/>
      <c r="AM870" s="242"/>
      <c r="AN870" s="154"/>
      <c r="AO870" s="154"/>
      <c r="AP870" s="154"/>
    </row>
    <row r="871">
      <c r="A871" s="154"/>
      <c r="B871" s="154"/>
      <c r="C871" s="242"/>
      <c r="D871" s="154"/>
      <c r="E871" s="154"/>
      <c r="F871" s="154"/>
      <c r="G871" s="242"/>
      <c r="H871" s="154"/>
      <c r="I871" s="154"/>
      <c r="J871" s="154"/>
      <c r="K871" s="242"/>
      <c r="L871" s="154"/>
      <c r="M871" s="154"/>
      <c r="N871" s="154"/>
      <c r="O871" s="154"/>
      <c r="P871" s="154"/>
      <c r="Q871" s="154"/>
      <c r="R871" s="154"/>
      <c r="S871" s="243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  <c r="AF871" s="154"/>
      <c r="AG871" s="244"/>
      <c r="AH871" s="154"/>
      <c r="AI871" s="154"/>
      <c r="AJ871" s="154"/>
      <c r="AK871" s="244"/>
      <c r="AL871" s="154"/>
      <c r="AM871" s="242"/>
      <c r="AN871" s="154"/>
      <c r="AO871" s="154"/>
      <c r="AP871" s="154"/>
    </row>
    <row r="872">
      <c r="A872" s="154"/>
      <c r="B872" s="154"/>
      <c r="C872" s="242"/>
      <c r="D872" s="154"/>
      <c r="E872" s="154"/>
      <c r="F872" s="154"/>
      <c r="G872" s="242"/>
      <c r="H872" s="154"/>
      <c r="I872" s="154"/>
      <c r="J872" s="154"/>
      <c r="K872" s="242"/>
      <c r="L872" s="154"/>
      <c r="M872" s="154"/>
      <c r="N872" s="154"/>
      <c r="O872" s="154"/>
      <c r="P872" s="154"/>
      <c r="Q872" s="154"/>
      <c r="R872" s="154"/>
      <c r="S872" s="243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  <c r="AF872" s="154"/>
      <c r="AG872" s="244"/>
      <c r="AH872" s="154"/>
      <c r="AI872" s="154"/>
      <c r="AJ872" s="154"/>
      <c r="AK872" s="244"/>
      <c r="AL872" s="154"/>
      <c r="AM872" s="242"/>
      <c r="AN872" s="154"/>
      <c r="AO872" s="154"/>
      <c r="AP872" s="154"/>
    </row>
    <row r="873">
      <c r="A873" s="154"/>
      <c r="B873" s="154"/>
      <c r="C873" s="242"/>
      <c r="D873" s="154"/>
      <c r="E873" s="154"/>
      <c r="F873" s="154"/>
      <c r="G873" s="242"/>
      <c r="H873" s="154"/>
      <c r="I873" s="154"/>
      <c r="J873" s="154"/>
      <c r="K873" s="242"/>
      <c r="L873" s="154"/>
      <c r="M873" s="154"/>
      <c r="N873" s="154"/>
      <c r="O873" s="154"/>
      <c r="P873" s="154"/>
      <c r="Q873" s="154"/>
      <c r="R873" s="154"/>
      <c r="S873" s="243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  <c r="AF873" s="154"/>
      <c r="AG873" s="244"/>
      <c r="AH873" s="154"/>
      <c r="AI873" s="154"/>
      <c r="AJ873" s="154"/>
      <c r="AK873" s="244"/>
      <c r="AL873" s="154"/>
      <c r="AM873" s="242"/>
      <c r="AN873" s="154"/>
      <c r="AO873" s="154"/>
      <c r="AP873" s="154"/>
    </row>
    <row r="874">
      <c r="A874" s="154"/>
      <c r="B874" s="154"/>
      <c r="C874" s="242"/>
      <c r="D874" s="154"/>
      <c r="E874" s="154"/>
      <c r="F874" s="154"/>
      <c r="G874" s="242"/>
      <c r="H874" s="154"/>
      <c r="I874" s="154"/>
      <c r="J874" s="154"/>
      <c r="K874" s="242"/>
      <c r="L874" s="154"/>
      <c r="M874" s="154"/>
      <c r="N874" s="154"/>
      <c r="O874" s="154"/>
      <c r="P874" s="154"/>
      <c r="Q874" s="154"/>
      <c r="R874" s="154"/>
      <c r="S874" s="243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  <c r="AF874" s="154"/>
      <c r="AG874" s="244"/>
      <c r="AH874" s="154"/>
      <c r="AI874" s="154"/>
      <c r="AJ874" s="154"/>
      <c r="AK874" s="244"/>
      <c r="AL874" s="154"/>
      <c r="AM874" s="242"/>
      <c r="AN874" s="154"/>
      <c r="AO874" s="154"/>
      <c r="AP874" s="154"/>
    </row>
    <row r="875">
      <c r="A875" s="154"/>
      <c r="B875" s="154"/>
      <c r="C875" s="242"/>
      <c r="D875" s="154"/>
      <c r="E875" s="154"/>
      <c r="F875" s="154"/>
      <c r="G875" s="242"/>
      <c r="H875" s="154"/>
      <c r="I875" s="154"/>
      <c r="J875" s="154"/>
      <c r="K875" s="242"/>
      <c r="L875" s="154"/>
      <c r="M875" s="154"/>
      <c r="N875" s="154"/>
      <c r="O875" s="154"/>
      <c r="P875" s="154"/>
      <c r="Q875" s="154"/>
      <c r="R875" s="154"/>
      <c r="S875" s="243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  <c r="AF875" s="154"/>
      <c r="AG875" s="244"/>
      <c r="AH875" s="154"/>
      <c r="AI875" s="154"/>
      <c r="AJ875" s="154"/>
      <c r="AK875" s="244"/>
      <c r="AL875" s="154"/>
      <c r="AM875" s="242"/>
      <c r="AN875" s="154"/>
      <c r="AO875" s="154"/>
      <c r="AP875" s="154"/>
    </row>
    <row r="876">
      <c r="A876" s="154"/>
      <c r="B876" s="154"/>
      <c r="C876" s="242"/>
      <c r="D876" s="154"/>
      <c r="E876" s="154"/>
      <c r="F876" s="154"/>
      <c r="G876" s="242"/>
      <c r="H876" s="154"/>
      <c r="I876" s="154"/>
      <c r="J876" s="154"/>
      <c r="K876" s="242"/>
      <c r="L876" s="154"/>
      <c r="M876" s="154"/>
      <c r="N876" s="154"/>
      <c r="O876" s="154"/>
      <c r="P876" s="154"/>
      <c r="Q876" s="154"/>
      <c r="R876" s="154"/>
      <c r="S876" s="243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  <c r="AF876" s="154"/>
      <c r="AG876" s="244"/>
      <c r="AH876" s="154"/>
      <c r="AI876" s="154"/>
      <c r="AJ876" s="154"/>
      <c r="AK876" s="244"/>
      <c r="AL876" s="154"/>
      <c r="AM876" s="242"/>
      <c r="AN876" s="154"/>
      <c r="AO876" s="154"/>
      <c r="AP876" s="154"/>
    </row>
    <row r="877">
      <c r="A877" s="154"/>
      <c r="B877" s="154"/>
      <c r="C877" s="242"/>
      <c r="D877" s="154"/>
      <c r="E877" s="154"/>
      <c r="F877" s="154"/>
      <c r="G877" s="242"/>
      <c r="H877" s="154"/>
      <c r="I877" s="154"/>
      <c r="J877" s="154"/>
      <c r="K877" s="242"/>
      <c r="L877" s="154"/>
      <c r="M877" s="154"/>
      <c r="N877" s="154"/>
      <c r="O877" s="154"/>
      <c r="P877" s="154"/>
      <c r="Q877" s="154"/>
      <c r="R877" s="154"/>
      <c r="S877" s="243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  <c r="AF877" s="154"/>
      <c r="AG877" s="244"/>
      <c r="AH877" s="154"/>
      <c r="AI877" s="154"/>
      <c r="AJ877" s="154"/>
      <c r="AK877" s="244"/>
      <c r="AL877" s="154"/>
      <c r="AM877" s="242"/>
      <c r="AN877" s="154"/>
      <c r="AO877" s="154"/>
      <c r="AP877" s="154"/>
    </row>
    <row r="878">
      <c r="A878" s="154"/>
      <c r="B878" s="154"/>
      <c r="C878" s="242"/>
      <c r="D878" s="154"/>
      <c r="E878" s="154"/>
      <c r="F878" s="154"/>
      <c r="G878" s="242"/>
      <c r="H878" s="154"/>
      <c r="I878" s="154"/>
      <c r="J878" s="154"/>
      <c r="K878" s="242"/>
      <c r="L878" s="154"/>
      <c r="M878" s="154"/>
      <c r="N878" s="154"/>
      <c r="O878" s="154"/>
      <c r="P878" s="154"/>
      <c r="Q878" s="154"/>
      <c r="R878" s="154"/>
      <c r="S878" s="243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  <c r="AF878" s="154"/>
      <c r="AG878" s="244"/>
      <c r="AH878" s="154"/>
      <c r="AI878" s="154"/>
      <c r="AJ878" s="154"/>
      <c r="AK878" s="244"/>
      <c r="AL878" s="154"/>
      <c r="AM878" s="242"/>
      <c r="AN878" s="154"/>
      <c r="AO878" s="154"/>
      <c r="AP878" s="154"/>
    </row>
    <row r="879">
      <c r="A879" s="154"/>
      <c r="B879" s="154"/>
      <c r="C879" s="242"/>
      <c r="D879" s="154"/>
      <c r="E879" s="154"/>
      <c r="F879" s="154"/>
      <c r="G879" s="242"/>
      <c r="H879" s="154"/>
      <c r="I879" s="154"/>
      <c r="J879" s="154"/>
      <c r="K879" s="242"/>
      <c r="L879" s="154"/>
      <c r="M879" s="154"/>
      <c r="N879" s="154"/>
      <c r="O879" s="154"/>
      <c r="P879" s="154"/>
      <c r="Q879" s="154"/>
      <c r="R879" s="154"/>
      <c r="S879" s="243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  <c r="AF879" s="154"/>
      <c r="AG879" s="244"/>
      <c r="AH879" s="154"/>
      <c r="AI879" s="154"/>
      <c r="AJ879" s="154"/>
      <c r="AK879" s="244"/>
      <c r="AL879" s="154"/>
      <c r="AM879" s="242"/>
      <c r="AN879" s="154"/>
      <c r="AO879" s="154"/>
      <c r="AP879" s="154"/>
    </row>
    <row r="880">
      <c r="A880" s="154"/>
      <c r="B880" s="154"/>
      <c r="C880" s="242"/>
      <c r="D880" s="154"/>
      <c r="E880" s="154"/>
      <c r="F880" s="154"/>
      <c r="G880" s="242"/>
      <c r="H880" s="154"/>
      <c r="I880" s="154"/>
      <c r="J880" s="154"/>
      <c r="K880" s="242"/>
      <c r="L880" s="154"/>
      <c r="M880" s="154"/>
      <c r="N880" s="154"/>
      <c r="O880" s="154"/>
      <c r="P880" s="154"/>
      <c r="Q880" s="154"/>
      <c r="R880" s="154"/>
      <c r="S880" s="243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  <c r="AF880" s="154"/>
      <c r="AG880" s="244"/>
      <c r="AH880" s="154"/>
      <c r="AI880" s="154"/>
      <c r="AJ880" s="154"/>
      <c r="AK880" s="244"/>
      <c r="AL880" s="154"/>
      <c r="AM880" s="242"/>
      <c r="AN880" s="154"/>
      <c r="AO880" s="154"/>
      <c r="AP880" s="154"/>
    </row>
    <row r="881">
      <c r="A881" s="154"/>
      <c r="B881" s="154"/>
      <c r="C881" s="242"/>
      <c r="D881" s="154"/>
      <c r="E881" s="154"/>
      <c r="F881" s="154"/>
      <c r="G881" s="242"/>
      <c r="H881" s="154"/>
      <c r="I881" s="154"/>
      <c r="J881" s="154"/>
      <c r="K881" s="242"/>
      <c r="L881" s="154"/>
      <c r="M881" s="154"/>
      <c r="N881" s="154"/>
      <c r="O881" s="154"/>
      <c r="P881" s="154"/>
      <c r="Q881" s="154"/>
      <c r="R881" s="154"/>
      <c r="S881" s="243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  <c r="AF881" s="154"/>
      <c r="AG881" s="244"/>
      <c r="AH881" s="154"/>
      <c r="AI881" s="154"/>
      <c r="AJ881" s="154"/>
      <c r="AK881" s="244"/>
      <c r="AL881" s="154"/>
      <c r="AM881" s="242"/>
      <c r="AN881" s="154"/>
      <c r="AO881" s="154"/>
      <c r="AP881" s="154"/>
    </row>
    <row r="882">
      <c r="A882" s="154"/>
      <c r="B882" s="154"/>
      <c r="C882" s="242"/>
      <c r="D882" s="154"/>
      <c r="E882" s="154"/>
      <c r="F882" s="154"/>
      <c r="G882" s="242"/>
      <c r="H882" s="154"/>
      <c r="I882" s="154"/>
      <c r="J882" s="154"/>
      <c r="K882" s="242"/>
      <c r="L882" s="154"/>
      <c r="M882" s="154"/>
      <c r="N882" s="154"/>
      <c r="O882" s="154"/>
      <c r="P882" s="154"/>
      <c r="Q882" s="154"/>
      <c r="R882" s="154"/>
      <c r="S882" s="243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  <c r="AF882" s="154"/>
      <c r="AG882" s="244"/>
      <c r="AH882" s="154"/>
      <c r="AI882" s="154"/>
      <c r="AJ882" s="154"/>
      <c r="AK882" s="244"/>
      <c r="AL882" s="154"/>
      <c r="AM882" s="242"/>
      <c r="AN882" s="154"/>
      <c r="AO882" s="154"/>
      <c r="AP882" s="154"/>
    </row>
    <row r="883">
      <c r="A883" s="154"/>
      <c r="B883" s="154"/>
      <c r="C883" s="242"/>
      <c r="D883" s="154"/>
      <c r="E883" s="154"/>
      <c r="F883" s="154"/>
      <c r="G883" s="242"/>
      <c r="H883" s="154"/>
      <c r="I883" s="154"/>
      <c r="J883" s="154"/>
      <c r="K883" s="242"/>
      <c r="L883" s="154"/>
      <c r="M883" s="154"/>
      <c r="N883" s="154"/>
      <c r="O883" s="154"/>
      <c r="P883" s="154"/>
      <c r="Q883" s="154"/>
      <c r="R883" s="154"/>
      <c r="S883" s="243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  <c r="AF883" s="154"/>
      <c r="AG883" s="244"/>
      <c r="AH883" s="154"/>
      <c r="AI883" s="154"/>
      <c r="AJ883" s="154"/>
      <c r="AK883" s="244"/>
      <c r="AL883" s="154"/>
      <c r="AM883" s="242"/>
      <c r="AN883" s="154"/>
      <c r="AO883" s="154"/>
      <c r="AP883" s="154"/>
    </row>
    <row r="884">
      <c r="A884" s="154"/>
      <c r="B884" s="154"/>
      <c r="C884" s="242"/>
      <c r="D884" s="154"/>
      <c r="E884" s="154"/>
      <c r="F884" s="154"/>
      <c r="G884" s="242"/>
      <c r="H884" s="154"/>
      <c r="I884" s="154"/>
      <c r="J884" s="154"/>
      <c r="K884" s="242"/>
      <c r="L884" s="154"/>
      <c r="M884" s="154"/>
      <c r="N884" s="154"/>
      <c r="O884" s="154"/>
      <c r="P884" s="154"/>
      <c r="Q884" s="154"/>
      <c r="R884" s="154"/>
      <c r="S884" s="243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  <c r="AF884" s="154"/>
      <c r="AG884" s="244"/>
      <c r="AH884" s="154"/>
      <c r="AI884" s="154"/>
      <c r="AJ884" s="154"/>
      <c r="AK884" s="244"/>
      <c r="AL884" s="154"/>
      <c r="AM884" s="242"/>
      <c r="AN884" s="154"/>
      <c r="AO884" s="154"/>
      <c r="AP884" s="154"/>
    </row>
    <row r="885">
      <c r="A885" s="154"/>
      <c r="B885" s="154"/>
      <c r="C885" s="242"/>
      <c r="D885" s="154"/>
      <c r="E885" s="154"/>
      <c r="F885" s="154"/>
      <c r="G885" s="242"/>
      <c r="H885" s="154"/>
      <c r="I885" s="154"/>
      <c r="J885" s="154"/>
      <c r="K885" s="242"/>
      <c r="L885" s="154"/>
      <c r="M885" s="154"/>
      <c r="N885" s="154"/>
      <c r="O885" s="154"/>
      <c r="P885" s="154"/>
      <c r="Q885" s="154"/>
      <c r="R885" s="154"/>
      <c r="S885" s="243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  <c r="AF885" s="154"/>
      <c r="AG885" s="244"/>
      <c r="AH885" s="154"/>
      <c r="AI885" s="154"/>
      <c r="AJ885" s="154"/>
      <c r="AK885" s="244"/>
      <c r="AL885" s="154"/>
      <c r="AM885" s="242"/>
      <c r="AN885" s="154"/>
      <c r="AO885" s="154"/>
      <c r="AP885" s="154"/>
    </row>
    <row r="886">
      <c r="A886" s="154"/>
      <c r="B886" s="154"/>
      <c r="C886" s="242"/>
      <c r="D886" s="154"/>
      <c r="E886" s="154"/>
      <c r="F886" s="154"/>
      <c r="G886" s="242"/>
      <c r="H886" s="154"/>
      <c r="I886" s="154"/>
      <c r="J886" s="154"/>
      <c r="K886" s="242"/>
      <c r="L886" s="154"/>
      <c r="M886" s="154"/>
      <c r="N886" s="154"/>
      <c r="O886" s="154"/>
      <c r="P886" s="154"/>
      <c r="Q886" s="154"/>
      <c r="R886" s="154"/>
      <c r="S886" s="243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  <c r="AF886" s="154"/>
      <c r="AG886" s="244"/>
      <c r="AH886" s="154"/>
      <c r="AI886" s="154"/>
      <c r="AJ886" s="154"/>
      <c r="AK886" s="244"/>
      <c r="AL886" s="154"/>
      <c r="AM886" s="242"/>
      <c r="AN886" s="154"/>
      <c r="AO886" s="154"/>
      <c r="AP886" s="154"/>
    </row>
    <row r="887">
      <c r="A887" s="154"/>
      <c r="B887" s="154"/>
      <c r="C887" s="242"/>
      <c r="D887" s="154"/>
      <c r="E887" s="154"/>
      <c r="F887" s="154"/>
      <c r="G887" s="242"/>
      <c r="H887" s="154"/>
      <c r="I887" s="154"/>
      <c r="J887" s="154"/>
      <c r="K887" s="242"/>
      <c r="L887" s="154"/>
      <c r="M887" s="154"/>
      <c r="N887" s="154"/>
      <c r="O887" s="154"/>
      <c r="P887" s="154"/>
      <c r="Q887" s="154"/>
      <c r="R887" s="154"/>
      <c r="S887" s="243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  <c r="AF887" s="154"/>
      <c r="AG887" s="244"/>
      <c r="AH887" s="154"/>
      <c r="AI887" s="154"/>
      <c r="AJ887" s="154"/>
      <c r="AK887" s="244"/>
      <c r="AL887" s="154"/>
      <c r="AM887" s="242"/>
      <c r="AN887" s="154"/>
      <c r="AO887" s="154"/>
      <c r="AP887" s="154"/>
    </row>
    <row r="888">
      <c r="A888" s="154"/>
      <c r="B888" s="154"/>
      <c r="C888" s="242"/>
      <c r="D888" s="154"/>
      <c r="E888" s="154"/>
      <c r="F888" s="154"/>
      <c r="G888" s="242"/>
      <c r="H888" s="154"/>
      <c r="I888" s="154"/>
      <c r="J888" s="154"/>
      <c r="K888" s="242"/>
      <c r="L888" s="154"/>
      <c r="M888" s="154"/>
      <c r="N888" s="154"/>
      <c r="O888" s="154"/>
      <c r="P888" s="154"/>
      <c r="Q888" s="154"/>
      <c r="R888" s="154"/>
      <c r="S888" s="243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  <c r="AF888" s="154"/>
      <c r="AG888" s="244"/>
      <c r="AH888" s="154"/>
      <c r="AI888" s="154"/>
      <c r="AJ888" s="154"/>
      <c r="AK888" s="244"/>
      <c r="AL888" s="154"/>
      <c r="AM888" s="242"/>
      <c r="AN888" s="154"/>
      <c r="AO888" s="154"/>
      <c r="AP888" s="154"/>
    </row>
    <row r="889">
      <c r="A889" s="154"/>
      <c r="B889" s="154"/>
      <c r="C889" s="242"/>
      <c r="D889" s="154"/>
      <c r="E889" s="154"/>
      <c r="F889" s="154"/>
      <c r="G889" s="242"/>
      <c r="H889" s="154"/>
      <c r="I889" s="154"/>
      <c r="J889" s="154"/>
      <c r="K889" s="242"/>
      <c r="L889" s="154"/>
      <c r="M889" s="154"/>
      <c r="N889" s="154"/>
      <c r="O889" s="154"/>
      <c r="P889" s="154"/>
      <c r="Q889" s="154"/>
      <c r="R889" s="154"/>
      <c r="S889" s="243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  <c r="AF889" s="154"/>
      <c r="AG889" s="244"/>
      <c r="AH889" s="154"/>
      <c r="AI889" s="154"/>
      <c r="AJ889" s="154"/>
      <c r="AK889" s="244"/>
      <c r="AL889" s="154"/>
      <c r="AM889" s="242"/>
      <c r="AN889" s="154"/>
      <c r="AO889" s="154"/>
      <c r="AP889" s="154"/>
    </row>
    <row r="890">
      <c r="A890" s="154"/>
      <c r="B890" s="154"/>
      <c r="C890" s="242"/>
      <c r="D890" s="154"/>
      <c r="E890" s="154"/>
      <c r="F890" s="154"/>
      <c r="G890" s="242"/>
      <c r="H890" s="154"/>
      <c r="I890" s="154"/>
      <c r="J890" s="154"/>
      <c r="K890" s="242"/>
      <c r="L890" s="154"/>
      <c r="M890" s="154"/>
      <c r="N890" s="154"/>
      <c r="O890" s="154"/>
      <c r="P890" s="154"/>
      <c r="Q890" s="154"/>
      <c r="R890" s="154"/>
      <c r="S890" s="243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  <c r="AF890" s="154"/>
      <c r="AG890" s="244"/>
      <c r="AH890" s="154"/>
      <c r="AI890" s="154"/>
      <c r="AJ890" s="154"/>
      <c r="AK890" s="244"/>
      <c r="AL890" s="154"/>
      <c r="AM890" s="242"/>
      <c r="AN890" s="154"/>
      <c r="AO890" s="154"/>
      <c r="AP890" s="154"/>
    </row>
    <row r="891">
      <c r="A891" s="154"/>
      <c r="B891" s="154"/>
      <c r="C891" s="242"/>
      <c r="D891" s="154"/>
      <c r="E891" s="154"/>
      <c r="F891" s="154"/>
      <c r="G891" s="242"/>
      <c r="H891" s="154"/>
      <c r="I891" s="154"/>
      <c r="J891" s="154"/>
      <c r="K891" s="242"/>
      <c r="L891" s="154"/>
      <c r="M891" s="154"/>
      <c r="N891" s="154"/>
      <c r="O891" s="154"/>
      <c r="P891" s="154"/>
      <c r="Q891" s="154"/>
      <c r="R891" s="154"/>
      <c r="S891" s="243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  <c r="AF891" s="154"/>
      <c r="AG891" s="244"/>
      <c r="AH891" s="154"/>
      <c r="AI891" s="154"/>
      <c r="AJ891" s="154"/>
      <c r="AK891" s="244"/>
      <c r="AL891" s="154"/>
      <c r="AM891" s="242"/>
      <c r="AN891" s="154"/>
      <c r="AO891" s="154"/>
      <c r="AP891" s="154"/>
    </row>
    <row r="892">
      <c r="A892" s="154"/>
      <c r="B892" s="154"/>
      <c r="C892" s="242"/>
      <c r="D892" s="154"/>
      <c r="E892" s="154"/>
      <c r="F892" s="154"/>
      <c r="G892" s="242"/>
      <c r="H892" s="154"/>
      <c r="I892" s="154"/>
      <c r="J892" s="154"/>
      <c r="K892" s="242"/>
      <c r="L892" s="154"/>
      <c r="M892" s="154"/>
      <c r="N892" s="154"/>
      <c r="O892" s="154"/>
      <c r="P892" s="154"/>
      <c r="Q892" s="154"/>
      <c r="R892" s="154"/>
      <c r="S892" s="243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  <c r="AF892" s="154"/>
      <c r="AG892" s="244"/>
      <c r="AH892" s="154"/>
      <c r="AI892" s="154"/>
      <c r="AJ892" s="154"/>
      <c r="AK892" s="244"/>
      <c r="AL892" s="154"/>
      <c r="AM892" s="242"/>
      <c r="AN892" s="154"/>
      <c r="AO892" s="154"/>
      <c r="AP892" s="154"/>
    </row>
    <row r="893">
      <c r="A893" s="154"/>
      <c r="B893" s="154"/>
      <c r="C893" s="242"/>
      <c r="D893" s="154"/>
      <c r="E893" s="154"/>
      <c r="F893" s="154"/>
      <c r="G893" s="242"/>
      <c r="H893" s="154"/>
      <c r="I893" s="154"/>
      <c r="J893" s="154"/>
      <c r="K893" s="242"/>
      <c r="L893" s="154"/>
      <c r="M893" s="154"/>
      <c r="N893" s="154"/>
      <c r="O893" s="154"/>
      <c r="P893" s="154"/>
      <c r="Q893" s="154"/>
      <c r="R893" s="154"/>
      <c r="S893" s="243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  <c r="AF893" s="154"/>
      <c r="AG893" s="244"/>
      <c r="AH893" s="154"/>
      <c r="AI893" s="154"/>
      <c r="AJ893" s="154"/>
      <c r="AK893" s="244"/>
      <c r="AL893" s="154"/>
      <c r="AM893" s="242"/>
      <c r="AN893" s="154"/>
      <c r="AO893" s="154"/>
      <c r="AP893" s="154"/>
    </row>
    <row r="894">
      <c r="A894" s="154"/>
      <c r="B894" s="154"/>
      <c r="C894" s="242"/>
      <c r="D894" s="154"/>
      <c r="E894" s="154"/>
      <c r="F894" s="154"/>
      <c r="G894" s="242"/>
      <c r="H894" s="154"/>
      <c r="I894" s="154"/>
      <c r="J894" s="154"/>
      <c r="K894" s="242"/>
      <c r="L894" s="154"/>
      <c r="M894" s="154"/>
      <c r="N894" s="154"/>
      <c r="O894" s="154"/>
      <c r="P894" s="154"/>
      <c r="Q894" s="154"/>
      <c r="R894" s="154"/>
      <c r="S894" s="243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  <c r="AF894" s="154"/>
      <c r="AG894" s="244"/>
      <c r="AH894" s="154"/>
      <c r="AI894" s="154"/>
      <c r="AJ894" s="154"/>
      <c r="AK894" s="244"/>
      <c r="AL894" s="154"/>
      <c r="AM894" s="242"/>
      <c r="AN894" s="154"/>
      <c r="AO894" s="154"/>
      <c r="AP894" s="154"/>
    </row>
    <row r="895">
      <c r="A895" s="154"/>
      <c r="B895" s="154"/>
      <c r="C895" s="242"/>
      <c r="D895" s="154"/>
      <c r="E895" s="154"/>
      <c r="F895" s="154"/>
      <c r="G895" s="242"/>
      <c r="H895" s="154"/>
      <c r="I895" s="154"/>
      <c r="J895" s="154"/>
      <c r="K895" s="242"/>
      <c r="L895" s="154"/>
      <c r="M895" s="154"/>
      <c r="N895" s="154"/>
      <c r="O895" s="154"/>
      <c r="P895" s="154"/>
      <c r="Q895" s="154"/>
      <c r="R895" s="154"/>
      <c r="S895" s="243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  <c r="AF895" s="154"/>
      <c r="AG895" s="244"/>
      <c r="AH895" s="154"/>
      <c r="AI895" s="154"/>
      <c r="AJ895" s="154"/>
      <c r="AK895" s="244"/>
      <c r="AL895" s="154"/>
      <c r="AM895" s="242"/>
      <c r="AN895" s="154"/>
      <c r="AO895" s="154"/>
      <c r="AP895" s="154"/>
    </row>
    <row r="896">
      <c r="A896" s="154"/>
      <c r="B896" s="154"/>
      <c r="C896" s="242"/>
      <c r="D896" s="154"/>
      <c r="E896" s="154"/>
      <c r="F896" s="154"/>
      <c r="G896" s="242"/>
      <c r="H896" s="154"/>
      <c r="I896" s="154"/>
      <c r="J896" s="154"/>
      <c r="K896" s="242"/>
      <c r="L896" s="154"/>
      <c r="M896" s="154"/>
      <c r="N896" s="154"/>
      <c r="O896" s="154"/>
      <c r="P896" s="154"/>
      <c r="Q896" s="154"/>
      <c r="R896" s="154"/>
      <c r="S896" s="243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  <c r="AF896" s="154"/>
      <c r="AG896" s="244"/>
      <c r="AH896" s="154"/>
      <c r="AI896" s="154"/>
      <c r="AJ896" s="154"/>
      <c r="AK896" s="244"/>
      <c r="AL896" s="154"/>
      <c r="AM896" s="242"/>
      <c r="AN896" s="154"/>
      <c r="AO896" s="154"/>
      <c r="AP896" s="154"/>
    </row>
    <row r="897">
      <c r="A897" s="154"/>
      <c r="B897" s="154"/>
      <c r="C897" s="242"/>
      <c r="D897" s="154"/>
      <c r="E897" s="154"/>
      <c r="F897" s="154"/>
      <c r="G897" s="242"/>
      <c r="H897" s="154"/>
      <c r="I897" s="154"/>
      <c r="J897" s="154"/>
      <c r="K897" s="242"/>
      <c r="L897" s="154"/>
      <c r="M897" s="154"/>
      <c r="N897" s="154"/>
      <c r="O897" s="154"/>
      <c r="P897" s="154"/>
      <c r="Q897" s="154"/>
      <c r="R897" s="154"/>
      <c r="S897" s="243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  <c r="AF897" s="154"/>
      <c r="AG897" s="244"/>
      <c r="AH897" s="154"/>
      <c r="AI897" s="154"/>
      <c r="AJ897" s="154"/>
      <c r="AK897" s="244"/>
      <c r="AL897" s="154"/>
      <c r="AM897" s="242"/>
      <c r="AN897" s="154"/>
      <c r="AO897" s="154"/>
      <c r="AP897" s="154"/>
    </row>
    <row r="898">
      <c r="A898" s="154"/>
      <c r="B898" s="154"/>
      <c r="C898" s="242"/>
      <c r="D898" s="154"/>
      <c r="E898" s="154"/>
      <c r="F898" s="154"/>
      <c r="G898" s="242"/>
      <c r="H898" s="154"/>
      <c r="I898" s="154"/>
      <c r="J898" s="154"/>
      <c r="K898" s="242"/>
      <c r="L898" s="154"/>
      <c r="M898" s="154"/>
      <c r="N898" s="154"/>
      <c r="O898" s="154"/>
      <c r="P898" s="154"/>
      <c r="Q898" s="154"/>
      <c r="R898" s="154"/>
      <c r="S898" s="243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  <c r="AF898" s="154"/>
      <c r="AG898" s="244"/>
      <c r="AH898" s="154"/>
      <c r="AI898" s="154"/>
      <c r="AJ898" s="154"/>
      <c r="AK898" s="244"/>
      <c r="AL898" s="154"/>
      <c r="AM898" s="242"/>
      <c r="AN898" s="154"/>
      <c r="AO898" s="154"/>
      <c r="AP898" s="154"/>
    </row>
    <row r="899">
      <c r="A899" s="154"/>
      <c r="B899" s="154"/>
      <c r="C899" s="242"/>
      <c r="D899" s="154"/>
      <c r="E899" s="154"/>
      <c r="F899" s="154"/>
      <c r="G899" s="242"/>
      <c r="H899" s="154"/>
      <c r="I899" s="154"/>
      <c r="J899" s="154"/>
      <c r="K899" s="242"/>
      <c r="L899" s="154"/>
      <c r="M899" s="154"/>
      <c r="N899" s="154"/>
      <c r="O899" s="154"/>
      <c r="P899" s="154"/>
      <c r="Q899" s="154"/>
      <c r="R899" s="154"/>
      <c r="S899" s="243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  <c r="AF899" s="154"/>
      <c r="AG899" s="244"/>
      <c r="AH899" s="154"/>
      <c r="AI899" s="154"/>
      <c r="AJ899" s="154"/>
      <c r="AK899" s="244"/>
      <c r="AL899" s="154"/>
      <c r="AM899" s="242"/>
      <c r="AN899" s="154"/>
      <c r="AO899" s="154"/>
      <c r="AP899" s="154"/>
    </row>
    <row r="900">
      <c r="A900" s="154"/>
      <c r="B900" s="154"/>
      <c r="C900" s="242"/>
      <c r="D900" s="154"/>
      <c r="E900" s="154"/>
      <c r="F900" s="154"/>
      <c r="G900" s="242"/>
      <c r="H900" s="154"/>
      <c r="I900" s="154"/>
      <c r="J900" s="154"/>
      <c r="K900" s="242"/>
      <c r="L900" s="154"/>
      <c r="M900" s="154"/>
      <c r="N900" s="154"/>
      <c r="O900" s="154"/>
      <c r="P900" s="154"/>
      <c r="Q900" s="154"/>
      <c r="R900" s="154"/>
      <c r="S900" s="243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  <c r="AF900" s="154"/>
      <c r="AG900" s="244"/>
      <c r="AH900" s="154"/>
      <c r="AI900" s="154"/>
      <c r="AJ900" s="154"/>
      <c r="AK900" s="244"/>
      <c r="AL900" s="154"/>
      <c r="AM900" s="242"/>
      <c r="AN900" s="154"/>
      <c r="AO900" s="154"/>
      <c r="AP900" s="154"/>
    </row>
    <row r="901">
      <c r="A901" s="154"/>
      <c r="B901" s="154"/>
      <c r="C901" s="242"/>
      <c r="D901" s="154"/>
      <c r="E901" s="154"/>
      <c r="F901" s="154"/>
      <c r="G901" s="242"/>
      <c r="H901" s="154"/>
      <c r="I901" s="154"/>
      <c r="J901" s="154"/>
      <c r="K901" s="242"/>
      <c r="L901" s="154"/>
      <c r="M901" s="154"/>
      <c r="N901" s="154"/>
      <c r="O901" s="154"/>
      <c r="P901" s="154"/>
      <c r="Q901" s="154"/>
      <c r="R901" s="154"/>
      <c r="S901" s="243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  <c r="AF901" s="154"/>
      <c r="AG901" s="244"/>
      <c r="AH901" s="154"/>
      <c r="AI901" s="154"/>
      <c r="AJ901" s="154"/>
      <c r="AK901" s="244"/>
      <c r="AL901" s="154"/>
      <c r="AM901" s="242"/>
      <c r="AN901" s="154"/>
      <c r="AO901" s="154"/>
      <c r="AP901" s="154"/>
    </row>
    <row r="902">
      <c r="A902" s="154"/>
      <c r="B902" s="154"/>
      <c r="C902" s="242"/>
      <c r="D902" s="154"/>
      <c r="E902" s="154"/>
      <c r="F902" s="154"/>
      <c r="G902" s="242"/>
      <c r="H902" s="154"/>
      <c r="I902" s="154"/>
      <c r="J902" s="154"/>
      <c r="K902" s="242"/>
      <c r="L902" s="154"/>
      <c r="M902" s="154"/>
      <c r="N902" s="154"/>
      <c r="O902" s="154"/>
      <c r="P902" s="154"/>
      <c r="Q902" s="154"/>
      <c r="R902" s="154"/>
      <c r="S902" s="243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  <c r="AF902" s="154"/>
      <c r="AG902" s="244"/>
      <c r="AH902" s="154"/>
      <c r="AI902" s="154"/>
      <c r="AJ902" s="154"/>
      <c r="AK902" s="244"/>
      <c r="AL902" s="154"/>
      <c r="AM902" s="242"/>
      <c r="AN902" s="154"/>
      <c r="AO902" s="154"/>
      <c r="AP902" s="154"/>
    </row>
    <row r="903">
      <c r="A903" s="154"/>
      <c r="B903" s="154"/>
      <c r="C903" s="242"/>
      <c r="D903" s="154"/>
      <c r="E903" s="154"/>
      <c r="F903" s="154"/>
      <c r="G903" s="242"/>
      <c r="H903" s="154"/>
      <c r="I903" s="154"/>
      <c r="J903" s="154"/>
      <c r="K903" s="242"/>
      <c r="L903" s="154"/>
      <c r="M903" s="154"/>
      <c r="N903" s="154"/>
      <c r="O903" s="154"/>
      <c r="P903" s="154"/>
      <c r="Q903" s="154"/>
      <c r="R903" s="154"/>
      <c r="S903" s="243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  <c r="AF903" s="154"/>
      <c r="AG903" s="244"/>
      <c r="AH903" s="154"/>
      <c r="AI903" s="154"/>
      <c r="AJ903" s="154"/>
      <c r="AK903" s="244"/>
      <c r="AL903" s="154"/>
      <c r="AM903" s="242"/>
      <c r="AN903" s="154"/>
      <c r="AO903" s="154"/>
      <c r="AP903" s="154"/>
    </row>
    <row r="904">
      <c r="A904" s="154"/>
      <c r="B904" s="154"/>
      <c r="C904" s="242"/>
      <c r="D904" s="154"/>
      <c r="E904" s="154"/>
      <c r="F904" s="154"/>
      <c r="G904" s="242"/>
      <c r="H904" s="154"/>
      <c r="I904" s="154"/>
      <c r="J904" s="154"/>
      <c r="K904" s="242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  <c r="AF904" s="154"/>
      <c r="AG904" s="244"/>
      <c r="AH904" s="154"/>
      <c r="AI904" s="154"/>
      <c r="AJ904" s="154"/>
      <c r="AK904" s="244"/>
      <c r="AL904" s="154"/>
      <c r="AM904" s="242"/>
      <c r="AN904" s="154"/>
      <c r="AO904" s="154"/>
      <c r="AP904" s="154"/>
    </row>
    <row r="905">
      <c r="A905" s="154"/>
      <c r="B905" s="154"/>
      <c r="C905" s="242"/>
      <c r="D905" s="154"/>
      <c r="E905" s="154"/>
      <c r="F905" s="154"/>
      <c r="G905" s="242"/>
      <c r="H905" s="154"/>
      <c r="I905" s="154"/>
      <c r="J905" s="154"/>
      <c r="K905" s="242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  <c r="AF905" s="154"/>
      <c r="AG905" s="244"/>
      <c r="AH905" s="154"/>
      <c r="AI905" s="154"/>
      <c r="AJ905" s="154"/>
      <c r="AK905" s="244"/>
      <c r="AL905" s="154"/>
      <c r="AM905" s="242"/>
      <c r="AN905" s="154"/>
      <c r="AO905" s="154"/>
      <c r="AP905" s="154"/>
    </row>
    <row r="906">
      <c r="A906" s="154"/>
      <c r="B906" s="154"/>
      <c r="C906" s="242"/>
      <c r="D906" s="154"/>
      <c r="E906" s="154"/>
      <c r="F906" s="154"/>
      <c r="G906" s="242"/>
      <c r="H906" s="154"/>
      <c r="I906" s="154"/>
      <c r="J906" s="154"/>
      <c r="K906" s="242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  <c r="AF906" s="154"/>
      <c r="AG906" s="244"/>
      <c r="AH906" s="154"/>
      <c r="AI906" s="154"/>
      <c r="AJ906" s="154"/>
      <c r="AK906" s="244"/>
      <c r="AL906" s="154"/>
      <c r="AM906" s="242"/>
      <c r="AN906" s="154"/>
      <c r="AO906" s="154"/>
      <c r="AP906" s="154"/>
    </row>
    <row r="907">
      <c r="A907" s="154"/>
      <c r="B907" s="154"/>
      <c r="C907" s="242"/>
      <c r="D907" s="154"/>
      <c r="E907" s="154"/>
      <c r="F907" s="154"/>
      <c r="G907" s="242"/>
      <c r="H907" s="154"/>
      <c r="I907" s="154"/>
      <c r="J907" s="154"/>
      <c r="K907" s="242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  <c r="AF907" s="154"/>
      <c r="AG907" s="244"/>
      <c r="AH907" s="154"/>
      <c r="AI907" s="154"/>
      <c r="AJ907" s="154"/>
      <c r="AK907" s="244"/>
      <c r="AL907" s="154"/>
      <c r="AM907" s="242"/>
      <c r="AN907" s="154"/>
      <c r="AO907" s="154"/>
      <c r="AP907" s="154"/>
    </row>
    <row r="908">
      <c r="A908" s="154"/>
      <c r="B908" s="154"/>
      <c r="C908" s="242"/>
      <c r="D908" s="154"/>
      <c r="E908" s="154"/>
      <c r="F908" s="154"/>
      <c r="G908" s="242"/>
      <c r="H908" s="154"/>
      <c r="I908" s="154"/>
      <c r="J908" s="154"/>
      <c r="K908" s="242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  <c r="AF908" s="154"/>
      <c r="AG908" s="244"/>
      <c r="AH908" s="154"/>
      <c r="AI908" s="154"/>
      <c r="AJ908" s="154"/>
      <c r="AK908" s="244"/>
      <c r="AL908" s="154"/>
      <c r="AM908" s="242"/>
      <c r="AN908" s="154"/>
      <c r="AO908" s="154"/>
      <c r="AP908" s="154"/>
    </row>
    <row r="909">
      <c r="A909" s="154"/>
      <c r="B909" s="154"/>
      <c r="C909" s="242"/>
      <c r="D909" s="154"/>
      <c r="E909" s="154"/>
      <c r="F909" s="154"/>
      <c r="G909" s="242"/>
      <c r="H909" s="154"/>
      <c r="I909" s="154"/>
      <c r="J909" s="154"/>
      <c r="K909" s="242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  <c r="AF909" s="154"/>
      <c r="AG909" s="244"/>
      <c r="AH909" s="154"/>
      <c r="AI909" s="154"/>
      <c r="AJ909" s="154"/>
      <c r="AK909" s="244"/>
      <c r="AL909" s="154"/>
      <c r="AM909" s="242"/>
      <c r="AN909" s="154"/>
      <c r="AO909" s="154"/>
      <c r="AP909" s="154"/>
    </row>
    <row r="910">
      <c r="A910" s="154"/>
      <c r="B910" s="154"/>
      <c r="C910" s="242"/>
      <c r="D910" s="154"/>
      <c r="E910" s="154"/>
      <c r="F910" s="154"/>
      <c r="G910" s="242"/>
      <c r="H910" s="154"/>
      <c r="I910" s="154"/>
      <c r="J910" s="154"/>
      <c r="K910" s="242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  <c r="AF910" s="154"/>
      <c r="AG910" s="244"/>
      <c r="AH910" s="154"/>
      <c r="AI910" s="154"/>
      <c r="AJ910" s="154"/>
      <c r="AK910" s="244"/>
      <c r="AL910" s="154"/>
      <c r="AM910" s="242"/>
      <c r="AN910" s="154"/>
      <c r="AO910" s="154"/>
      <c r="AP910" s="154"/>
    </row>
    <row r="911">
      <c r="A911" s="154"/>
      <c r="B911" s="154"/>
      <c r="C911" s="242"/>
      <c r="D911" s="154"/>
      <c r="E911" s="154"/>
      <c r="F911" s="154"/>
      <c r="G911" s="242"/>
      <c r="H911" s="154"/>
      <c r="I911" s="154"/>
      <c r="J911" s="154"/>
      <c r="K911" s="242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  <c r="AF911" s="154"/>
      <c r="AG911" s="244"/>
      <c r="AH911" s="154"/>
      <c r="AI911" s="154"/>
      <c r="AJ911" s="154"/>
      <c r="AK911" s="244"/>
      <c r="AL911" s="154"/>
      <c r="AM911" s="242"/>
      <c r="AN911" s="154"/>
      <c r="AO911" s="154"/>
      <c r="AP911" s="154"/>
    </row>
    <row r="912">
      <c r="A912" s="154"/>
      <c r="B912" s="154"/>
      <c r="C912" s="242"/>
      <c r="D912" s="154"/>
      <c r="E912" s="154"/>
      <c r="F912" s="154"/>
      <c r="G912" s="242"/>
      <c r="H912" s="154"/>
      <c r="I912" s="154"/>
      <c r="J912" s="154"/>
      <c r="K912" s="242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  <c r="AF912" s="154"/>
      <c r="AG912" s="244"/>
      <c r="AH912" s="154"/>
      <c r="AI912" s="154"/>
      <c r="AJ912" s="154"/>
      <c r="AK912" s="244"/>
      <c r="AL912" s="154"/>
      <c r="AM912" s="242"/>
      <c r="AN912" s="154"/>
      <c r="AO912" s="154"/>
      <c r="AP912" s="154"/>
    </row>
    <row r="913">
      <c r="A913" s="154"/>
      <c r="B913" s="154"/>
      <c r="C913" s="242"/>
      <c r="D913" s="154"/>
      <c r="E913" s="154"/>
      <c r="F913" s="154"/>
      <c r="G913" s="242"/>
      <c r="H913" s="154"/>
      <c r="I913" s="154"/>
      <c r="J913" s="154"/>
      <c r="K913" s="242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  <c r="AF913" s="154"/>
      <c r="AG913" s="244"/>
      <c r="AH913" s="154"/>
      <c r="AI913" s="154"/>
      <c r="AJ913" s="154"/>
      <c r="AK913" s="244"/>
      <c r="AL913" s="154"/>
      <c r="AM913" s="242"/>
      <c r="AN913" s="154"/>
      <c r="AO913" s="154"/>
      <c r="AP913" s="154"/>
    </row>
    <row r="914">
      <c r="A914" s="154"/>
      <c r="B914" s="154"/>
      <c r="C914" s="242"/>
      <c r="D914" s="154"/>
      <c r="E914" s="154"/>
      <c r="F914" s="154"/>
      <c r="G914" s="242"/>
      <c r="H914" s="154"/>
      <c r="I914" s="154"/>
      <c r="J914" s="154"/>
      <c r="K914" s="242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  <c r="AF914" s="154"/>
      <c r="AG914" s="244"/>
      <c r="AH914" s="154"/>
      <c r="AI914" s="154"/>
      <c r="AJ914" s="154"/>
      <c r="AK914" s="244"/>
      <c r="AL914" s="154"/>
      <c r="AM914" s="242"/>
      <c r="AN914" s="154"/>
      <c r="AO914" s="154"/>
      <c r="AP914" s="154"/>
    </row>
    <row r="915">
      <c r="A915" s="154"/>
      <c r="B915" s="154"/>
      <c r="C915" s="242"/>
      <c r="D915" s="154"/>
      <c r="E915" s="154"/>
      <c r="F915" s="154"/>
      <c r="G915" s="242"/>
      <c r="H915" s="154"/>
      <c r="I915" s="154"/>
      <c r="J915" s="154"/>
      <c r="K915" s="242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  <c r="AF915" s="154"/>
      <c r="AG915" s="244"/>
      <c r="AH915" s="154"/>
      <c r="AI915" s="154"/>
      <c r="AJ915" s="154"/>
      <c r="AK915" s="244"/>
      <c r="AL915" s="154"/>
      <c r="AM915" s="242"/>
      <c r="AN915" s="154"/>
      <c r="AO915" s="154"/>
      <c r="AP915" s="154"/>
    </row>
    <row r="916">
      <c r="A916" s="154"/>
      <c r="B916" s="154"/>
      <c r="C916" s="242"/>
      <c r="D916" s="154"/>
      <c r="E916" s="154"/>
      <c r="F916" s="154"/>
      <c r="G916" s="242"/>
      <c r="H916" s="154"/>
      <c r="I916" s="154"/>
      <c r="J916" s="154"/>
      <c r="K916" s="242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  <c r="AF916" s="154"/>
      <c r="AG916" s="244"/>
      <c r="AH916" s="154"/>
      <c r="AI916" s="154"/>
      <c r="AJ916" s="154"/>
      <c r="AK916" s="244"/>
      <c r="AL916" s="154"/>
      <c r="AM916" s="242"/>
      <c r="AN916" s="154"/>
      <c r="AO916" s="154"/>
      <c r="AP916" s="154"/>
    </row>
    <row r="917">
      <c r="A917" s="154"/>
      <c r="B917" s="154"/>
      <c r="C917" s="242"/>
      <c r="D917" s="154"/>
      <c r="E917" s="154"/>
      <c r="F917" s="154"/>
      <c r="G917" s="242"/>
      <c r="H917" s="154"/>
      <c r="I917" s="154"/>
      <c r="J917" s="154"/>
      <c r="K917" s="242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  <c r="AF917" s="154"/>
      <c r="AG917" s="244"/>
      <c r="AH917" s="154"/>
      <c r="AI917" s="154"/>
      <c r="AJ917" s="154"/>
      <c r="AK917" s="244"/>
      <c r="AL917" s="154"/>
      <c r="AM917" s="242"/>
      <c r="AN917" s="154"/>
      <c r="AO917" s="154"/>
      <c r="AP917" s="154"/>
    </row>
    <row r="918">
      <c r="A918" s="154"/>
      <c r="B918" s="154"/>
      <c r="C918" s="242"/>
      <c r="D918" s="154"/>
      <c r="E918" s="154"/>
      <c r="F918" s="154"/>
      <c r="G918" s="242"/>
      <c r="H918" s="154"/>
      <c r="I918" s="154"/>
      <c r="J918" s="154"/>
      <c r="K918" s="242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  <c r="AF918" s="154"/>
      <c r="AG918" s="244"/>
      <c r="AH918" s="154"/>
      <c r="AI918" s="154"/>
      <c r="AJ918" s="154"/>
      <c r="AK918" s="244"/>
      <c r="AL918" s="154"/>
      <c r="AM918" s="242"/>
      <c r="AN918" s="154"/>
      <c r="AO918" s="154"/>
      <c r="AP918" s="154"/>
    </row>
    <row r="919">
      <c r="A919" s="154"/>
      <c r="B919" s="154"/>
      <c r="C919" s="242"/>
      <c r="D919" s="154"/>
      <c r="E919" s="154"/>
      <c r="F919" s="154"/>
      <c r="G919" s="242"/>
      <c r="H919" s="154"/>
      <c r="I919" s="154"/>
      <c r="J919" s="154"/>
      <c r="K919" s="242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  <c r="AF919" s="154"/>
      <c r="AG919" s="244"/>
      <c r="AH919" s="154"/>
      <c r="AI919" s="154"/>
      <c r="AJ919" s="154"/>
      <c r="AK919" s="244"/>
      <c r="AL919" s="154"/>
      <c r="AM919" s="242"/>
      <c r="AN919" s="154"/>
      <c r="AO919" s="154"/>
      <c r="AP919" s="154"/>
    </row>
    <row r="920">
      <c r="A920" s="154"/>
      <c r="B920" s="154"/>
      <c r="C920" s="242"/>
      <c r="D920" s="154"/>
      <c r="E920" s="154"/>
      <c r="F920" s="154"/>
      <c r="G920" s="242"/>
      <c r="H920" s="154"/>
      <c r="I920" s="154"/>
      <c r="J920" s="154"/>
      <c r="K920" s="242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  <c r="AF920" s="154"/>
      <c r="AG920" s="244"/>
      <c r="AH920" s="154"/>
      <c r="AI920" s="154"/>
      <c r="AJ920" s="154"/>
      <c r="AK920" s="244"/>
      <c r="AL920" s="154"/>
      <c r="AM920" s="242"/>
      <c r="AN920" s="154"/>
      <c r="AO920" s="154"/>
      <c r="AP920" s="154"/>
    </row>
    <row r="921">
      <c r="A921" s="154"/>
      <c r="B921" s="154"/>
      <c r="C921" s="242"/>
      <c r="D921" s="154"/>
      <c r="E921" s="154"/>
      <c r="F921" s="154"/>
      <c r="G921" s="242"/>
      <c r="H921" s="154"/>
      <c r="I921" s="154"/>
      <c r="J921" s="154"/>
      <c r="K921" s="242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  <c r="AF921" s="154"/>
      <c r="AG921" s="244"/>
      <c r="AH921" s="154"/>
      <c r="AI921" s="154"/>
      <c r="AJ921" s="154"/>
      <c r="AK921" s="244"/>
      <c r="AL921" s="154"/>
      <c r="AM921" s="242"/>
      <c r="AN921" s="154"/>
      <c r="AO921" s="154"/>
      <c r="AP921" s="154"/>
    </row>
    <row r="922">
      <c r="A922" s="154"/>
      <c r="B922" s="154"/>
      <c r="C922" s="242"/>
      <c r="D922" s="154"/>
      <c r="E922" s="154"/>
      <c r="F922" s="154"/>
      <c r="G922" s="242"/>
      <c r="H922" s="154"/>
      <c r="I922" s="154"/>
      <c r="J922" s="154"/>
      <c r="K922" s="242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  <c r="AF922" s="154"/>
      <c r="AG922" s="244"/>
      <c r="AH922" s="154"/>
      <c r="AI922" s="154"/>
      <c r="AJ922" s="154"/>
      <c r="AK922" s="244"/>
      <c r="AL922" s="154"/>
      <c r="AM922" s="242"/>
      <c r="AN922" s="154"/>
      <c r="AO922" s="154"/>
      <c r="AP922" s="154"/>
    </row>
    <row r="923">
      <c r="A923" s="154"/>
      <c r="B923" s="154"/>
      <c r="C923" s="242"/>
      <c r="D923" s="154"/>
      <c r="E923" s="154"/>
      <c r="F923" s="154"/>
      <c r="G923" s="242"/>
      <c r="H923" s="154"/>
      <c r="I923" s="154"/>
      <c r="J923" s="154"/>
      <c r="K923" s="242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  <c r="AF923" s="154"/>
      <c r="AG923" s="244"/>
      <c r="AH923" s="154"/>
      <c r="AI923" s="154"/>
      <c r="AJ923" s="154"/>
      <c r="AK923" s="244"/>
      <c r="AL923" s="154"/>
      <c r="AM923" s="242"/>
      <c r="AN923" s="154"/>
      <c r="AO923" s="154"/>
      <c r="AP923" s="154"/>
    </row>
    <row r="924">
      <c r="A924" s="154"/>
      <c r="B924" s="154"/>
      <c r="C924" s="242"/>
      <c r="D924" s="154"/>
      <c r="E924" s="154"/>
      <c r="F924" s="154"/>
      <c r="G924" s="242"/>
      <c r="H924" s="154"/>
      <c r="I924" s="154"/>
      <c r="J924" s="154"/>
      <c r="K924" s="242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  <c r="AF924" s="154"/>
      <c r="AG924" s="244"/>
      <c r="AH924" s="154"/>
      <c r="AI924" s="154"/>
      <c r="AJ924" s="154"/>
      <c r="AK924" s="244"/>
      <c r="AL924" s="154"/>
      <c r="AM924" s="242"/>
      <c r="AN924" s="154"/>
      <c r="AO924" s="154"/>
      <c r="AP924" s="154"/>
    </row>
    <row r="925">
      <c r="A925" s="154"/>
      <c r="B925" s="154"/>
      <c r="C925" s="242"/>
      <c r="D925" s="154"/>
      <c r="E925" s="154"/>
      <c r="F925" s="154"/>
      <c r="G925" s="242"/>
      <c r="H925" s="154"/>
      <c r="I925" s="154"/>
      <c r="J925" s="154"/>
      <c r="K925" s="242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  <c r="AF925" s="154"/>
      <c r="AG925" s="244"/>
      <c r="AH925" s="154"/>
      <c r="AI925" s="154"/>
      <c r="AJ925" s="154"/>
      <c r="AK925" s="244"/>
      <c r="AL925" s="154"/>
      <c r="AM925" s="242"/>
      <c r="AN925" s="154"/>
      <c r="AO925" s="154"/>
      <c r="AP925" s="154"/>
    </row>
    <row r="926">
      <c r="A926" s="154"/>
      <c r="B926" s="154"/>
      <c r="C926" s="242"/>
      <c r="D926" s="154"/>
      <c r="E926" s="154"/>
      <c r="F926" s="154"/>
      <c r="G926" s="242"/>
      <c r="H926" s="154"/>
      <c r="I926" s="154"/>
      <c r="J926" s="154"/>
      <c r="K926" s="242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  <c r="AF926" s="154"/>
      <c r="AG926" s="244"/>
      <c r="AH926" s="154"/>
      <c r="AI926" s="154"/>
      <c r="AJ926" s="154"/>
      <c r="AK926" s="244"/>
      <c r="AL926" s="154"/>
      <c r="AM926" s="242"/>
      <c r="AN926" s="154"/>
      <c r="AO926" s="154"/>
      <c r="AP926" s="154"/>
    </row>
    <row r="927">
      <c r="A927" s="154"/>
      <c r="B927" s="154"/>
      <c r="C927" s="242"/>
      <c r="D927" s="154"/>
      <c r="E927" s="154"/>
      <c r="F927" s="154"/>
      <c r="G927" s="242"/>
      <c r="H927" s="154"/>
      <c r="I927" s="154"/>
      <c r="J927" s="154"/>
      <c r="K927" s="242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  <c r="AF927" s="154"/>
      <c r="AG927" s="244"/>
      <c r="AH927" s="154"/>
      <c r="AI927" s="154"/>
      <c r="AJ927" s="154"/>
      <c r="AK927" s="244"/>
      <c r="AL927" s="154"/>
      <c r="AM927" s="242"/>
      <c r="AN927" s="154"/>
      <c r="AO927" s="154"/>
      <c r="AP927" s="154"/>
    </row>
    <row r="928">
      <c r="A928" s="154"/>
      <c r="B928" s="154"/>
      <c r="C928" s="242"/>
      <c r="D928" s="154"/>
      <c r="E928" s="154"/>
      <c r="F928" s="154"/>
      <c r="G928" s="242"/>
      <c r="H928" s="154"/>
      <c r="I928" s="154"/>
      <c r="J928" s="154"/>
      <c r="K928" s="242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  <c r="AF928" s="154"/>
      <c r="AG928" s="244"/>
      <c r="AH928" s="154"/>
      <c r="AI928" s="154"/>
      <c r="AJ928" s="154"/>
      <c r="AK928" s="244"/>
      <c r="AL928" s="154"/>
      <c r="AM928" s="242"/>
      <c r="AN928" s="154"/>
      <c r="AO928" s="154"/>
      <c r="AP928" s="154"/>
    </row>
    <row r="929">
      <c r="A929" s="154"/>
      <c r="B929" s="154"/>
      <c r="C929" s="242"/>
      <c r="D929" s="154"/>
      <c r="E929" s="154"/>
      <c r="F929" s="154"/>
      <c r="G929" s="242"/>
      <c r="H929" s="154"/>
      <c r="I929" s="154"/>
      <c r="J929" s="154"/>
      <c r="K929" s="242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  <c r="AF929" s="154"/>
      <c r="AG929" s="244"/>
      <c r="AH929" s="154"/>
      <c r="AI929" s="154"/>
      <c r="AJ929" s="154"/>
      <c r="AK929" s="244"/>
      <c r="AL929" s="154"/>
      <c r="AM929" s="242"/>
      <c r="AN929" s="154"/>
      <c r="AO929" s="154"/>
      <c r="AP929" s="154"/>
    </row>
    <row r="930">
      <c r="A930" s="154"/>
      <c r="B930" s="154"/>
      <c r="C930" s="242"/>
      <c r="D930" s="154"/>
      <c r="E930" s="154"/>
      <c r="F930" s="154"/>
      <c r="G930" s="242"/>
      <c r="H930" s="154"/>
      <c r="I930" s="154"/>
      <c r="J930" s="154"/>
      <c r="K930" s="242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  <c r="AF930" s="154"/>
      <c r="AG930" s="244"/>
      <c r="AH930" s="154"/>
      <c r="AI930" s="154"/>
      <c r="AJ930" s="154"/>
      <c r="AK930" s="244"/>
      <c r="AL930" s="154"/>
      <c r="AM930" s="242"/>
      <c r="AN930" s="154"/>
      <c r="AO930" s="154"/>
      <c r="AP930" s="154"/>
    </row>
    <row r="931">
      <c r="A931" s="154"/>
      <c r="B931" s="154"/>
      <c r="C931" s="242"/>
      <c r="D931" s="154"/>
      <c r="E931" s="154"/>
      <c r="F931" s="154"/>
      <c r="G931" s="242"/>
      <c r="H931" s="154"/>
      <c r="I931" s="154"/>
      <c r="J931" s="154"/>
      <c r="K931" s="242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  <c r="AF931" s="154"/>
      <c r="AG931" s="244"/>
      <c r="AH931" s="154"/>
      <c r="AI931" s="154"/>
      <c r="AJ931" s="154"/>
      <c r="AK931" s="244"/>
      <c r="AL931" s="154"/>
      <c r="AM931" s="242"/>
      <c r="AN931" s="154"/>
      <c r="AO931" s="154"/>
      <c r="AP931" s="154"/>
    </row>
    <row r="932">
      <c r="A932" s="154"/>
      <c r="B932" s="154"/>
      <c r="C932" s="242"/>
      <c r="D932" s="154"/>
      <c r="E932" s="154"/>
      <c r="F932" s="154"/>
      <c r="G932" s="242"/>
      <c r="H932" s="154"/>
      <c r="I932" s="154"/>
      <c r="J932" s="154"/>
      <c r="K932" s="242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  <c r="AF932" s="154"/>
      <c r="AG932" s="244"/>
      <c r="AH932" s="154"/>
      <c r="AI932" s="154"/>
      <c r="AJ932" s="154"/>
      <c r="AK932" s="244"/>
      <c r="AL932" s="154"/>
      <c r="AM932" s="242"/>
      <c r="AN932" s="154"/>
      <c r="AO932" s="154"/>
      <c r="AP932" s="154"/>
    </row>
    <row r="933">
      <c r="A933" s="154"/>
      <c r="B933" s="154"/>
      <c r="C933" s="242"/>
      <c r="D933" s="154"/>
      <c r="E933" s="154"/>
      <c r="F933" s="154"/>
      <c r="G933" s="242"/>
      <c r="H933" s="154"/>
      <c r="I933" s="154"/>
      <c r="J933" s="154"/>
      <c r="K933" s="242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  <c r="AF933" s="154"/>
      <c r="AG933" s="244"/>
      <c r="AH933" s="154"/>
      <c r="AI933" s="154"/>
      <c r="AJ933" s="154"/>
      <c r="AK933" s="244"/>
      <c r="AL933" s="154"/>
      <c r="AM933" s="242"/>
      <c r="AN933" s="154"/>
      <c r="AO933" s="154"/>
      <c r="AP933" s="154"/>
    </row>
    <row r="934">
      <c r="A934" s="154"/>
      <c r="B934" s="154"/>
      <c r="C934" s="242"/>
      <c r="D934" s="154"/>
      <c r="E934" s="154"/>
      <c r="F934" s="154"/>
      <c r="G934" s="242"/>
      <c r="H934" s="154"/>
      <c r="I934" s="154"/>
      <c r="J934" s="154"/>
      <c r="K934" s="242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  <c r="AF934" s="154"/>
      <c r="AG934" s="244"/>
      <c r="AH934" s="154"/>
      <c r="AI934" s="154"/>
      <c r="AJ934" s="154"/>
      <c r="AK934" s="244"/>
      <c r="AL934" s="154"/>
      <c r="AM934" s="242"/>
      <c r="AN934" s="154"/>
      <c r="AO934" s="154"/>
      <c r="AP934" s="154"/>
    </row>
    <row r="935">
      <c r="A935" s="154"/>
      <c r="B935" s="154"/>
      <c r="C935" s="242"/>
      <c r="D935" s="154"/>
      <c r="E935" s="154"/>
      <c r="F935" s="154"/>
      <c r="G935" s="242"/>
      <c r="H935" s="154"/>
      <c r="I935" s="154"/>
      <c r="J935" s="154"/>
      <c r="K935" s="242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  <c r="AF935" s="154"/>
      <c r="AG935" s="244"/>
      <c r="AH935" s="154"/>
      <c r="AI935" s="154"/>
      <c r="AJ935" s="154"/>
      <c r="AK935" s="244"/>
      <c r="AL935" s="154"/>
      <c r="AM935" s="242"/>
      <c r="AN935" s="154"/>
      <c r="AO935" s="154"/>
      <c r="AP935" s="154"/>
    </row>
    <row r="936">
      <c r="A936" s="154"/>
      <c r="B936" s="154"/>
      <c r="C936" s="242"/>
      <c r="D936" s="154"/>
      <c r="E936" s="154"/>
      <c r="F936" s="154"/>
      <c r="G936" s="242"/>
      <c r="H936" s="154"/>
      <c r="I936" s="154"/>
      <c r="J936" s="154"/>
      <c r="K936" s="242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  <c r="AF936" s="154"/>
      <c r="AG936" s="244"/>
      <c r="AH936" s="154"/>
      <c r="AI936" s="154"/>
      <c r="AJ936" s="154"/>
      <c r="AK936" s="244"/>
      <c r="AL936" s="154"/>
      <c r="AM936" s="242"/>
      <c r="AN936" s="154"/>
      <c r="AO936" s="154"/>
      <c r="AP936" s="154"/>
    </row>
    <row r="937">
      <c r="A937" s="154"/>
      <c r="B937" s="154"/>
      <c r="C937" s="242"/>
      <c r="D937" s="154"/>
      <c r="E937" s="154"/>
      <c r="F937" s="154"/>
      <c r="G937" s="242"/>
      <c r="H937" s="154"/>
      <c r="I937" s="154"/>
      <c r="J937" s="154"/>
      <c r="K937" s="242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  <c r="AF937" s="154"/>
      <c r="AG937" s="244"/>
      <c r="AH937" s="154"/>
      <c r="AI937" s="154"/>
      <c r="AJ937" s="154"/>
      <c r="AK937" s="244"/>
      <c r="AL937" s="154"/>
      <c r="AM937" s="242"/>
      <c r="AN937" s="154"/>
      <c r="AO937" s="154"/>
      <c r="AP937" s="154"/>
    </row>
    <row r="938">
      <c r="A938" s="154"/>
      <c r="B938" s="154"/>
      <c r="C938" s="242"/>
      <c r="D938" s="154"/>
      <c r="E938" s="154"/>
      <c r="F938" s="154"/>
      <c r="G938" s="242"/>
      <c r="H938" s="154"/>
      <c r="I938" s="154"/>
      <c r="J938" s="154"/>
      <c r="K938" s="242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  <c r="AF938" s="154"/>
      <c r="AG938" s="244"/>
      <c r="AH938" s="154"/>
      <c r="AI938" s="154"/>
      <c r="AJ938" s="154"/>
      <c r="AK938" s="244"/>
      <c r="AL938" s="154"/>
      <c r="AM938" s="242"/>
      <c r="AN938" s="154"/>
      <c r="AO938" s="154"/>
      <c r="AP938" s="154"/>
    </row>
    <row r="939">
      <c r="A939" s="154"/>
      <c r="B939" s="154"/>
      <c r="C939" s="242"/>
      <c r="D939" s="154"/>
      <c r="E939" s="154"/>
      <c r="F939" s="154"/>
      <c r="G939" s="242"/>
      <c r="H939" s="154"/>
      <c r="I939" s="154"/>
      <c r="J939" s="154"/>
      <c r="K939" s="242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  <c r="AF939" s="154"/>
      <c r="AG939" s="244"/>
      <c r="AH939" s="154"/>
      <c r="AI939" s="154"/>
      <c r="AJ939" s="154"/>
      <c r="AK939" s="244"/>
      <c r="AL939" s="154"/>
      <c r="AM939" s="242"/>
      <c r="AN939" s="154"/>
      <c r="AO939" s="154"/>
      <c r="AP939" s="154"/>
    </row>
    <row r="940">
      <c r="A940" s="154"/>
      <c r="B940" s="154"/>
      <c r="C940" s="242"/>
      <c r="D940" s="154"/>
      <c r="E940" s="154"/>
      <c r="F940" s="154"/>
      <c r="G940" s="242"/>
      <c r="H940" s="154"/>
      <c r="I940" s="154"/>
      <c r="J940" s="154"/>
      <c r="K940" s="242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  <c r="AF940" s="154"/>
      <c r="AG940" s="244"/>
      <c r="AH940" s="154"/>
      <c r="AI940" s="154"/>
      <c r="AJ940" s="154"/>
      <c r="AK940" s="244"/>
      <c r="AL940" s="154"/>
      <c r="AM940" s="242"/>
      <c r="AN940" s="154"/>
      <c r="AO940" s="154"/>
      <c r="AP940" s="154"/>
    </row>
    <row r="941">
      <c r="A941" s="154"/>
      <c r="B941" s="154"/>
      <c r="C941" s="242"/>
      <c r="D941" s="154"/>
      <c r="E941" s="154"/>
      <c r="F941" s="154"/>
      <c r="G941" s="242"/>
      <c r="H941" s="154"/>
      <c r="I941" s="154"/>
      <c r="J941" s="154"/>
      <c r="K941" s="242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  <c r="AF941" s="154"/>
      <c r="AG941" s="244"/>
      <c r="AH941" s="154"/>
      <c r="AI941" s="154"/>
      <c r="AJ941" s="154"/>
      <c r="AK941" s="244"/>
      <c r="AL941" s="154"/>
      <c r="AM941" s="242"/>
      <c r="AN941" s="154"/>
      <c r="AO941" s="154"/>
      <c r="AP941" s="154"/>
    </row>
    <row r="942">
      <c r="A942" s="154"/>
      <c r="B942" s="154"/>
      <c r="C942" s="242"/>
      <c r="D942" s="154"/>
      <c r="E942" s="154"/>
      <c r="F942" s="154"/>
      <c r="G942" s="242"/>
      <c r="H942" s="154"/>
      <c r="I942" s="154"/>
      <c r="J942" s="154"/>
      <c r="K942" s="242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  <c r="AF942" s="154"/>
      <c r="AG942" s="244"/>
      <c r="AH942" s="154"/>
      <c r="AI942" s="154"/>
      <c r="AJ942" s="154"/>
      <c r="AK942" s="244"/>
      <c r="AL942" s="154"/>
      <c r="AM942" s="242"/>
      <c r="AN942" s="154"/>
      <c r="AO942" s="154"/>
      <c r="AP942" s="154"/>
    </row>
    <row r="943">
      <c r="A943" s="154"/>
      <c r="B943" s="154"/>
      <c r="C943" s="242"/>
      <c r="D943" s="154"/>
      <c r="E943" s="154"/>
      <c r="F943" s="154"/>
      <c r="G943" s="242"/>
      <c r="H943" s="154"/>
      <c r="I943" s="154"/>
      <c r="J943" s="154"/>
      <c r="K943" s="242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  <c r="AF943" s="154"/>
      <c r="AG943" s="244"/>
      <c r="AH943" s="154"/>
      <c r="AI943" s="154"/>
      <c r="AJ943" s="154"/>
      <c r="AK943" s="244"/>
      <c r="AL943" s="154"/>
      <c r="AM943" s="242"/>
      <c r="AN943" s="154"/>
      <c r="AO943" s="154"/>
      <c r="AP943" s="154"/>
    </row>
    <row r="944">
      <c r="A944" s="154"/>
      <c r="B944" s="154"/>
      <c r="C944" s="242"/>
      <c r="D944" s="154"/>
      <c r="E944" s="154"/>
      <c r="F944" s="154"/>
      <c r="G944" s="242"/>
      <c r="H944" s="154"/>
      <c r="I944" s="154"/>
      <c r="J944" s="154"/>
      <c r="K944" s="242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  <c r="AF944" s="154"/>
      <c r="AG944" s="244"/>
      <c r="AH944" s="154"/>
      <c r="AI944" s="154"/>
      <c r="AJ944" s="154"/>
      <c r="AK944" s="244"/>
      <c r="AL944" s="154"/>
      <c r="AM944" s="242"/>
      <c r="AN944" s="154"/>
      <c r="AO944" s="154"/>
      <c r="AP944" s="154"/>
    </row>
    <row r="945">
      <c r="A945" s="154"/>
      <c r="B945" s="154"/>
      <c r="C945" s="242"/>
      <c r="D945" s="154"/>
      <c r="E945" s="154"/>
      <c r="F945" s="154"/>
      <c r="G945" s="242"/>
      <c r="H945" s="154"/>
      <c r="I945" s="154"/>
      <c r="J945" s="154"/>
      <c r="K945" s="242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  <c r="AF945" s="154"/>
      <c r="AG945" s="244"/>
      <c r="AH945" s="154"/>
      <c r="AI945" s="154"/>
      <c r="AJ945" s="154"/>
      <c r="AK945" s="244"/>
      <c r="AL945" s="154"/>
      <c r="AM945" s="242"/>
      <c r="AN945" s="154"/>
      <c r="AO945" s="154"/>
      <c r="AP945" s="154"/>
    </row>
    <row r="946">
      <c r="A946" s="154"/>
      <c r="B946" s="154"/>
      <c r="C946" s="242"/>
      <c r="D946" s="154"/>
      <c r="E946" s="154"/>
      <c r="F946" s="154"/>
      <c r="G946" s="242"/>
      <c r="H946" s="154"/>
      <c r="I946" s="154"/>
      <c r="J946" s="154"/>
      <c r="K946" s="242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  <c r="AF946" s="154"/>
      <c r="AG946" s="244"/>
      <c r="AH946" s="154"/>
      <c r="AI946" s="154"/>
      <c r="AJ946" s="154"/>
      <c r="AK946" s="244"/>
      <c r="AL946" s="154"/>
      <c r="AM946" s="242"/>
      <c r="AN946" s="154"/>
      <c r="AO946" s="154"/>
      <c r="AP946" s="154"/>
    </row>
    <row r="947">
      <c r="A947" s="154"/>
      <c r="B947" s="154"/>
      <c r="C947" s="242"/>
      <c r="D947" s="154"/>
      <c r="E947" s="154"/>
      <c r="F947" s="154"/>
      <c r="G947" s="242"/>
      <c r="H947" s="154"/>
      <c r="I947" s="154"/>
      <c r="J947" s="154"/>
      <c r="K947" s="242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  <c r="AF947" s="154"/>
      <c r="AG947" s="244"/>
      <c r="AH947" s="154"/>
      <c r="AI947" s="154"/>
      <c r="AJ947" s="154"/>
      <c r="AK947" s="244"/>
      <c r="AL947" s="154"/>
      <c r="AM947" s="242"/>
      <c r="AN947" s="154"/>
      <c r="AO947" s="154"/>
      <c r="AP947" s="154"/>
    </row>
    <row r="948">
      <c r="A948" s="154"/>
      <c r="B948" s="154"/>
      <c r="C948" s="242"/>
      <c r="D948" s="154"/>
      <c r="E948" s="154"/>
      <c r="F948" s="154"/>
      <c r="G948" s="242"/>
      <c r="H948" s="154"/>
      <c r="I948" s="154"/>
      <c r="J948" s="154"/>
      <c r="K948" s="242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  <c r="AF948" s="154"/>
      <c r="AG948" s="244"/>
      <c r="AH948" s="154"/>
      <c r="AI948" s="154"/>
      <c r="AJ948" s="154"/>
      <c r="AK948" s="244"/>
      <c r="AL948" s="154"/>
      <c r="AM948" s="242"/>
      <c r="AN948" s="154"/>
      <c r="AO948" s="154"/>
      <c r="AP948" s="154"/>
    </row>
    <row r="949">
      <c r="A949" s="154"/>
      <c r="B949" s="154"/>
      <c r="C949" s="242"/>
      <c r="D949" s="154"/>
      <c r="E949" s="154"/>
      <c r="F949" s="154"/>
      <c r="G949" s="242"/>
      <c r="H949" s="154"/>
      <c r="I949" s="154"/>
      <c r="J949" s="154"/>
      <c r="K949" s="242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  <c r="AF949" s="154"/>
      <c r="AG949" s="244"/>
      <c r="AH949" s="154"/>
      <c r="AI949" s="154"/>
      <c r="AJ949" s="154"/>
      <c r="AK949" s="244"/>
      <c r="AL949" s="154"/>
      <c r="AM949" s="242"/>
      <c r="AN949" s="154"/>
      <c r="AO949" s="154"/>
      <c r="AP949" s="154"/>
    </row>
    <row r="950">
      <c r="A950" s="154"/>
      <c r="B950" s="154"/>
      <c r="C950" s="242"/>
      <c r="D950" s="154"/>
      <c r="E950" s="154"/>
      <c r="F950" s="154"/>
      <c r="G950" s="242"/>
      <c r="H950" s="154"/>
      <c r="I950" s="154"/>
      <c r="J950" s="154"/>
      <c r="K950" s="242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  <c r="AF950" s="154"/>
      <c r="AG950" s="244"/>
      <c r="AH950" s="154"/>
      <c r="AI950" s="154"/>
      <c r="AJ950" s="154"/>
      <c r="AK950" s="244"/>
      <c r="AL950" s="154"/>
      <c r="AM950" s="242"/>
      <c r="AN950" s="154"/>
      <c r="AO950" s="154"/>
      <c r="AP950" s="154"/>
    </row>
    <row r="951">
      <c r="A951" s="154"/>
      <c r="B951" s="154"/>
      <c r="C951" s="242"/>
      <c r="D951" s="154"/>
      <c r="E951" s="154"/>
      <c r="F951" s="154"/>
      <c r="G951" s="242"/>
      <c r="H951" s="154"/>
      <c r="I951" s="154"/>
      <c r="J951" s="154"/>
      <c r="K951" s="242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  <c r="AF951" s="154"/>
      <c r="AG951" s="244"/>
      <c r="AH951" s="154"/>
      <c r="AI951" s="154"/>
      <c r="AJ951" s="154"/>
      <c r="AK951" s="244"/>
      <c r="AL951" s="154"/>
      <c r="AM951" s="242"/>
      <c r="AN951" s="154"/>
      <c r="AO951" s="154"/>
      <c r="AP951" s="154"/>
    </row>
    <row r="952">
      <c r="A952" s="154"/>
      <c r="B952" s="154"/>
      <c r="C952" s="242"/>
      <c r="D952" s="154"/>
      <c r="E952" s="154"/>
      <c r="F952" s="154"/>
      <c r="G952" s="242"/>
      <c r="H952" s="154"/>
      <c r="I952" s="154"/>
      <c r="J952" s="154"/>
      <c r="K952" s="242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  <c r="AF952" s="154"/>
      <c r="AG952" s="244"/>
      <c r="AH952" s="154"/>
      <c r="AI952" s="154"/>
      <c r="AJ952" s="154"/>
      <c r="AK952" s="244"/>
      <c r="AL952" s="154"/>
      <c r="AM952" s="242"/>
      <c r="AN952" s="154"/>
      <c r="AO952" s="154"/>
      <c r="AP952" s="154"/>
    </row>
    <row r="953">
      <c r="A953" s="154"/>
      <c r="B953" s="154"/>
      <c r="C953" s="242"/>
      <c r="D953" s="154"/>
      <c r="E953" s="154"/>
      <c r="F953" s="154"/>
      <c r="G953" s="242"/>
      <c r="H953" s="154"/>
      <c r="I953" s="154"/>
      <c r="J953" s="154"/>
      <c r="K953" s="242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  <c r="AF953" s="154"/>
      <c r="AG953" s="244"/>
      <c r="AH953" s="154"/>
      <c r="AI953" s="154"/>
      <c r="AJ953" s="154"/>
      <c r="AK953" s="244"/>
      <c r="AL953" s="154"/>
      <c r="AM953" s="242"/>
      <c r="AN953" s="154"/>
      <c r="AO953" s="154"/>
      <c r="AP953" s="154"/>
    </row>
    <row r="954">
      <c r="A954" s="154"/>
      <c r="B954" s="154"/>
      <c r="C954" s="242"/>
      <c r="D954" s="154"/>
      <c r="E954" s="154"/>
      <c r="F954" s="154"/>
      <c r="G954" s="242"/>
      <c r="H954" s="154"/>
      <c r="I954" s="154"/>
      <c r="J954" s="154"/>
      <c r="K954" s="242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  <c r="AF954" s="154"/>
      <c r="AG954" s="244"/>
      <c r="AH954" s="154"/>
      <c r="AI954" s="154"/>
      <c r="AJ954" s="154"/>
      <c r="AK954" s="244"/>
      <c r="AL954" s="154"/>
      <c r="AM954" s="242"/>
      <c r="AN954" s="154"/>
      <c r="AO954" s="154"/>
      <c r="AP954" s="154"/>
    </row>
    <row r="955">
      <c r="A955" s="154"/>
      <c r="B955" s="154"/>
      <c r="C955" s="242"/>
      <c r="D955" s="154"/>
      <c r="E955" s="154"/>
      <c r="F955" s="154"/>
      <c r="G955" s="242"/>
      <c r="H955" s="154"/>
      <c r="I955" s="154"/>
      <c r="J955" s="154"/>
      <c r="K955" s="242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  <c r="AF955" s="154"/>
      <c r="AG955" s="244"/>
      <c r="AH955" s="154"/>
      <c r="AI955" s="154"/>
      <c r="AJ955" s="154"/>
      <c r="AK955" s="244"/>
      <c r="AL955" s="154"/>
      <c r="AM955" s="242"/>
      <c r="AN955" s="154"/>
      <c r="AO955" s="154"/>
      <c r="AP955" s="154"/>
    </row>
    <row r="956">
      <c r="A956" s="154"/>
      <c r="B956" s="154"/>
      <c r="C956" s="242"/>
      <c r="D956" s="154"/>
      <c r="E956" s="154"/>
      <c r="F956" s="154"/>
      <c r="G956" s="242"/>
      <c r="H956" s="154"/>
      <c r="I956" s="154"/>
      <c r="J956" s="154"/>
      <c r="K956" s="242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  <c r="AF956" s="154"/>
      <c r="AG956" s="244"/>
      <c r="AH956" s="154"/>
      <c r="AI956" s="154"/>
      <c r="AJ956" s="154"/>
      <c r="AK956" s="244"/>
      <c r="AL956" s="154"/>
      <c r="AM956" s="242"/>
      <c r="AN956" s="154"/>
      <c r="AO956" s="154"/>
      <c r="AP956" s="154"/>
    </row>
    <row r="957">
      <c r="A957" s="154"/>
      <c r="B957" s="154"/>
      <c r="C957" s="242"/>
      <c r="D957" s="154"/>
      <c r="E957" s="154"/>
      <c r="F957" s="154"/>
      <c r="G957" s="242"/>
      <c r="H957" s="154"/>
      <c r="I957" s="154"/>
      <c r="J957" s="154"/>
      <c r="K957" s="242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  <c r="AF957" s="154"/>
      <c r="AG957" s="244"/>
      <c r="AH957" s="154"/>
      <c r="AI957" s="154"/>
      <c r="AJ957" s="154"/>
      <c r="AK957" s="244"/>
      <c r="AL957" s="154"/>
      <c r="AM957" s="242"/>
      <c r="AN957" s="154"/>
      <c r="AO957" s="154"/>
      <c r="AP957" s="154"/>
    </row>
    <row r="958">
      <c r="A958" s="154"/>
      <c r="B958" s="154"/>
      <c r="C958" s="242"/>
      <c r="D958" s="154"/>
      <c r="E958" s="154"/>
      <c r="F958" s="154"/>
      <c r="G958" s="242"/>
      <c r="H958" s="154"/>
      <c r="I958" s="154"/>
      <c r="J958" s="154"/>
      <c r="K958" s="242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  <c r="AF958" s="154"/>
      <c r="AG958" s="244"/>
      <c r="AH958" s="154"/>
      <c r="AI958" s="154"/>
      <c r="AJ958" s="154"/>
      <c r="AK958" s="244"/>
      <c r="AL958" s="154"/>
      <c r="AM958" s="242"/>
      <c r="AN958" s="154"/>
      <c r="AO958" s="154"/>
      <c r="AP958" s="154"/>
    </row>
    <row r="959">
      <c r="A959" s="154"/>
      <c r="B959" s="154"/>
      <c r="C959" s="242"/>
      <c r="D959" s="154"/>
      <c r="E959" s="154"/>
      <c r="F959" s="154"/>
      <c r="G959" s="242"/>
      <c r="H959" s="154"/>
      <c r="I959" s="154"/>
      <c r="J959" s="154"/>
      <c r="K959" s="242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  <c r="AF959" s="154"/>
      <c r="AG959" s="244"/>
      <c r="AH959" s="154"/>
      <c r="AI959" s="154"/>
      <c r="AJ959" s="154"/>
      <c r="AK959" s="244"/>
      <c r="AL959" s="154"/>
      <c r="AM959" s="242"/>
      <c r="AN959" s="154"/>
      <c r="AO959" s="154"/>
      <c r="AP959" s="154"/>
    </row>
    <row r="960">
      <c r="A960" s="154"/>
      <c r="B960" s="154"/>
      <c r="C960" s="242"/>
      <c r="D960" s="154"/>
      <c r="E960" s="154"/>
      <c r="F960" s="154"/>
      <c r="G960" s="242"/>
      <c r="H960" s="154"/>
      <c r="I960" s="154"/>
      <c r="J960" s="154"/>
      <c r="K960" s="242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  <c r="AF960" s="154"/>
      <c r="AG960" s="244"/>
      <c r="AH960" s="154"/>
      <c r="AI960" s="154"/>
      <c r="AJ960" s="154"/>
      <c r="AK960" s="244"/>
      <c r="AL960" s="154"/>
      <c r="AM960" s="242"/>
      <c r="AN960" s="154"/>
      <c r="AO960" s="154"/>
      <c r="AP960" s="154"/>
    </row>
    <row r="961">
      <c r="A961" s="154"/>
      <c r="B961" s="154"/>
      <c r="C961" s="242"/>
      <c r="D961" s="154"/>
      <c r="E961" s="154"/>
      <c r="F961" s="154"/>
      <c r="G961" s="242"/>
      <c r="H961" s="154"/>
      <c r="I961" s="154"/>
      <c r="J961" s="154"/>
      <c r="K961" s="242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  <c r="AF961" s="154"/>
      <c r="AG961" s="244"/>
      <c r="AH961" s="154"/>
      <c r="AI961" s="154"/>
      <c r="AJ961" s="154"/>
      <c r="AK961" s="244"/>
      <c r="AL961" s="154"/>
      <c r="AM961" s="242"/>
      <c r="AN961" s="154"/>
      <c r="AO961" s="154"/>
      <c r="AP961" s="154"/>
    </row>
    <row r="962">
      <c r="A962" s="154"/>
      <c r="B962" s="154"/>
      <c r="C962" s="242"/>
      <c r="D962" s="154"/>
      <c r="E962" s="154"/>
      <c r="F962" s="154"/>
      <c r="G962" s="242"/>
      <c r="H962" s="154"/>
      <c r="I962" s="154"/>
      <c r="J962" s="154"/>
      <c r="K962" s="242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  <c r="AF962" s="154"/>
      <c r="AG962" s="244"/>
      <c r="AH962" s="154"/>
      <c r="AI962" s="154"/>
      <c r="AJ962" s="154"/>
      <c r="AK962" s="244"/>
      <c r="AL962" s="154"/>
      <c r="AM962" s="242"/>
      <c r="AN962" s="154"/>
      <c r="AO962" s="154"/>
      <c r="AP962" s="154"/>
    </row>
    <row r="963">
      <c r="A963" s="154"/>
      <c r="B963" s="154"/>
      <c r="C963" s="242"/>
      <c r="D963" s="154"/>
      <c r="E963" s="154"/>
      <c r="F963" s="154"/>
      <c r="G963" s="242"/>
      <c r="H963" s="154"/>
      <c r="I963" s="154"/>
      <c r="J963" s="154"/>
      <c r="K963" s="242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  <c r="AF963" s="154"/>
      <c r="AG963" s="244"/>
      <c r="AH963" s="154"/>
      <c r="AI963" s="154"/>
      <c r="AJ963" s="154"/>
      <c r="AK963" s="244"/>
      <c r="AL963" s="154"/>
      <c r="AM963" s="242"/>
      <c r="AN963" s="154"/>
      <c r="AO963" s="154"/>
      <c r="AP963" s="154"/>
    </row>
    <row r="964">
      <c r="A964" s="154"/>
      <c r="B964" s="154"/>
      <c r="C964" s="242"/>
      <c r="D964" s="154"/>
      <c r="E964" s="154"/>
      <c r="F964" s="154"/>
      <c r="G964" s="242"/>
      <c r="H964" s="154"/>
      <c r="I964" s="154"/>
      <c r="J964" s="154"/>
      <c r="K964" s="242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  <c r="AF964" s="154"/>
      <c r="AG964" s="244"/>
      <c r="AH964" s="154"/>
      <c r="AI964" s="154"/>
      <c r="AJ964" s="154"/>
      <c r="AK964" s="244"/>
      <c r="AL964" s="154"/>
      <c r="AM964" s="242"/>
      <c r="AN964" s="154"/>
      <c r="AO964" s="154"/>
      <c r="AP964" s="154"/>
    </row>
    <row r="965">
      <c r="A965" s="154"/>
      <c r="B965" s="154"/>
      <c r="C965" s="242"/>
      <c r="D965" s="154"/>
      <c r="E965" s="154"/>
      <c r="F965" s="154"/>
      <c r="G965" s="242"/>
      <c r="H965" s="154"/>
      <c r="I965" s="154"/>
      <c r="J965" s="154"/>
      <c r="K965" s="242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  <c r="AF965" s="154"/>
      <c r="AG965" s="244"/>
      <c r="AH965" s="154"/>
      <c r="AI965" s="154"/>
      <c r="AJ965" s="154"/>
      <c r="AK965" s="244"/>
      <c r="AL965" s="154"/>
      <c r="AM965" s="242"/>
      <c r="AN965" s="154"/>
      <c r="AO965" s="154"/>
      <c r="AP965" s="154"/>
    </row>
    <row r="966">
      <c r="A966" s="154"/>
      <c r="B966" s="154"/>
      <c r="C966" s="242"/>
      <c r="D966" s="154"/>
      <c r="E966" s="154"/>
      <c r="F966" s="154"/>
      <c r="G966" s="242"/>
      <c r="H966" s="154"/>
      <c r="I966" s="154"/>
      <c r="J966" s="154"/>
      <c r="K966" s="242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  <c r="AF966" s="154"/>
      <c r="AG966" s="244"/>
      <c r="AH966" s="154"/>
      <c r="AI966" s="154"/>
      <c r="AJ966" s="154"/>
      <c r="AK966" s="244"/>
      <c r="AL966" s="154"/>
      <c r="AM966" s="242"/>
      <c r="AN966" s="154"/>
      <c r="AO966" s="154"/>
      <c r="AP966" s="154"/>
    </row>
    <row r="967">
      <c r="A967" s="154"/>
      <c r="B967" s="154"/>
      <c r="C967" s="242"/>
      <c r="D967" s="154"/>
      <c r="E967" s="154"/>
      <c r="F967" s="154"/>
      <c r="G967" s="242"/>
      <c r="H967" s="154"/>
      <c r="I967" s="154"/>
      <c r="J967" s="154"/>
      <c r="K967" s="242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  <c r="AF967" s="154"/>
      <c r="AG967" s="244"/>
      <c r="AH967" s="154"/>
      <c r="AI967" s="154"/>
      <c r="AJ967" s="154"/>
      <c r="AK967" s="244"/>
      <c r="AL967" s="154"/>
      <c r="AM967" s="242"/>
      <c r="AN967" s="154"/>
      <c r="AO967" s="154"/>
      <c r="AP967" s="154"/>
    </row>
    <row r="968">
      <c r="A968" s="154"/>
      <c r="B968" s="154"/>
      <c r="C968" s="242"/>
      <c r="D968" s="154"/>
      <c r="E968" s="154"/>
      <c r="F968" s="154"/>
      <c r="G968" s="242"/>
      <c r="H968" s="154"/>
      <c r="I968" s="154"/>
      <c r="J968" s="154"/>
      <c r="K968" s="242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  <c r="AF968" s="154"/>
      <c r="AG968" s="244"/>
      <c r="AH968" s="154"/>
      <c r="AI968" s="154"/>
      <c r="AJ968" s="154"/>
      <c r="AK968" s="244"/>
      <c r="AL968" s="154"/>
      <c r="AM968" s="242"/>
      <c r="AN968" s="154"/>
      <c r="AO968" s="154"/>
      <c r="AP968" s="154"/>
    </row>
    <row r="969">
      <c r="A969" s="154"/>
      <c r="B969" s="154"/>
      <c r="C969" s="242"/>
      <c r="D969" s="154"/>
      <c r="E969" s="154"/>
      <c r="F969" s="154"/>
      <c r="G969" s="242"/>
      <c r="H969" s="154"/>
      <c r="I969" s="154"/>
      <c r="J969" s="154"/>
      <c r="K969" s="242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  <c r="AF969" s="154"/>
      <c r="AG969" s="244"/>
      <c r="AH969" s="154"/>
      <c r="AI969" s="154"/>
      <c r="AJ969" s="154"/>
      <c r="AK969" s="244"/>
      <c r="AL969" s="154"/>
      <c r="AM969" s="242"/>
      <c r="AN969" s="154"/>
      <c r="AO969" s="154"/>
      <c r="AP969" s="154"/>
    </row>
    <row r="970">
      <c r="A970" s="154"/>
      <c r="B970" s="154"/>
      <c r="C970" s="242"/>
      <c r="D970" s="154"/>
      <c r="E970" s="154"/>
      <c r="F970" s="154"/>
      <c r="G970" s="242"/>
      <c r="H970" s="154"/>
      <c r="I970" s="154"/>
      <c r="J970" s="154"/>
      <c r="K970" s="242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  <c r="AF970" s="154"/>
      <c r="AG970" s="244"/>
      <c r="AH970" s="154"/>
      <c r="AI970" s="154"/>
      <c r="AJ970" s="154"/>
      <c r="AK970" s="244"/>
      <c r="AL970" s="154"/>
      <c r="AM970" s="242"/>
      <c r="AN970" s="154"/>
      <c r="AO970" s="154"/>
      <c r="AP970" s="154"/>
    </row>
    <row r="971">
      <c r="A971" s="154"/>
      <c r="B971" s="154"/>
      <c r="C971" s="242"/>
      <c r="D971" s="154"/>
      <c r="E971" s="154"/>
      <c r="F971" s="154"/>
      <c r="G971" s="242"/>
      <c r="H971" s="154"/>
      <c r="I971" s="154"/>
      <c r="J971" s="154"/>
      <c r="K971" s="242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  <c r="AF971" s="154"/>
      <c r="AG971" s="244"/>
      <c r="AH971" s="154"/>
      <c r="AI971" s="154"/>
      <c r="AJ971" s="154"/>
      <c r="AK971" s="244"/>
      <c r="AL971" s="154"/>
      <c r="AM971" s="242"/>
      <c r="AN971" s="154"/>
      <c r="AO971" s="154"/>
      <c r="AP971" s="154"/>
    </row>
    <row r="972">
      <c r="A972" s="154"/>
      <c r="B972" s="154"/>
      <c r="C972" s="242"/>
      <c r="D972" s="154"/>
      <c r="E972" s="154"/>
      <c r="F972" s="154"/>
      <c r="G972" s="242"/>
      <c r="H972" s="154"/>
      <c r="I972" s="154"/>
      <c r="J972" s="154"/>
      <c r="K972" s="242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  <c r="AF972" s="154"/>
      <c r="AG972" s="244"/>
      <c r="AH972" s="154"/>
      <c r="AI972" s="154"/>
      <c r="AJ972" s="154"/>
      <c r="AK972" s="244"/>
      <c r="AL972" s="154"/>
      <c r="AM972" s="242"/>
      <c r="AN972" s="154"/>
      <c r="AO972" s="154"/>
      <c r="AP972" s="154"/>
    </row>
    <row r="973">
      <c r="A973" s="154"/>
      <c r="B973" s="154"/>
      <c r="C973" s="242"/>
      <c r="D973" s="154"/>
      <c r="E973" s="154"/>
      <c r="F973" s="154"/>
      <c r="G973" s="242"/>
      <c r="H973" s="154"/>
      <c r="I973" s="154"/>
      <c r="J973" s="154"/>
      <c r="K973" s="242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  <c r="AF973" s="154"/>
      <c r="AG973" s="244"/>
      <c r="AH973" s="154"/>
      <c r="AI973" s="154"/>
      <c r="AJ973" s="154"/>
      <c r="AK973" s="244"/>
      <c r="AL973" s="154"/>
      <c r="AM973" s="242"/>
      <c r="AN973" s="154"/>
      <c r="AO973" s="154"/>
      <c r="AP973" s="154"/>
    </row>
    <row r="974">
      <c r="A974" s="154"/>
      <c r="B974" s="154"/>
      <c r="C974" s="242"/>
      <c r="D974" s="154"/>
      <c r="E974" s="154"/>
      <c r="F974" s="154"/>
      <c r="G974" s="242"/>
      <c r="H974" s="154"/>
      <c r="I974" s="154"/>
      <c r="J974" s="154"/>
      <c r="K974" s="242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  <c r="AF974" s="154"/>
      <c r="AG974" s="244"/>
      <c r="AH974" s="154"/>
      <c r="AI974" s="154"/>
      <c r="AJ974" s="154"/>
      <c r="AK974" s="244"/>
      <c r="AL974" s="154"/>
      <c r="AM974" s="242"/>
      <c r="AN974" s="154"/>
      <c r="AO974" s="154"/>
      <c r="AP974" s="154"/>
    </row>
    <row r="975">
      <c r="A975" s="154"/>
      <c r="B975" s="154"/>
      <c r="C975" s="242"/>
      <c r="D975" s="154"/>
      <c r="E975" s="154"/>
      <c r="F975" s="154"/>
      <c r="G975" s="242"/>
      <c r="H975" s="154"/>
      <c r="I975" s="154"/>
      <c r="J975" s="154"/>
      <c r="K975" s="242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  <c r="AF975" s="154"/>
      <c r="AG975" s="244"/>
      <c r="AH975" s="154"/>
      <c r="AI975" s="154"/>
      <c r="AJ975" s="154"/>
      <c r="AK975" s="244"/>
      <c r="AL975" s="154"/>
      <c r="AM975" s="242"/>
      <c r="AN975" s="154"/>
      <c r="AO975" s="154"/>
      <c r="AP975" s="154"/>
    </row>
    <row r="976">
      <c r="A976" s="154"/>
      <c r="B976" s="154"/>
      <c r="C976" s="242"/>
      <c r="D976" s="154"/>
      <c r="E976" s="154"/>
      <c r="F976" s="154"/>
      <c r="G976" s="242"/>
      <c r="H976" s="154"/>
      <c r="I976" s="154"/>
      <c r="J976" s="154"/>
      <c r="K976" s="242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  <c r="AF976" s="154"/>
      <c r="AG976" s="244"/>
      <c r="AH976" s="154"/>
      <c r="AI976" s="154"/>
      <c r="AJ976" s="154"/>
      <c r="AK976" s="244"/>
      <c r="AL976" s="154"/>
      <c r="AM976" s="242"/>
      <c r="AN976" s="154"/>
      <c r="AO976" s="154"/>
      <c r="AP976" s="154"/>
    </row>
    <row r="977">
      <c r="A977" s="154"/>
      <c r="B977" s="154"/>
      <c r="C977" s="242"/>
      <c r="D977" s="154"/>
      <c r="E977" s="154"/>
      <c r="F977" s="154"/>
      <c r="G977" s="242"/>
      <c r="H977" s="154"/>
      <c r="I977" s="154"/>
      <c r="J977" s="154"/>
      <c r="K977" s="242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  <c r="AF977" s="154"/>
      <c r="AG977" s="244"/>
      <c r="AH977" s="154"/>
      <c r="AI977" s="154"/>
      <c r="AJ977" s="154"/>
      <c r="AK977" s="244"/>
      <c r="AL977" s="154"/>
      <c r="AM977" s="242"/>
      <c r="AN977" s="154"/>
      <c r="AO977" s="154"/>
      <c r="AP977" s="154"/>
    </row>
    <row r="978">
      <c r="A978" s="154"/>
      <c r="B978" s="154"/>
      <c r="C978" s="242"/>
      <c r="D978" s="154"/>
      <c r="E978" s="154"/>
      <c r="F978" s="154"/>
      <c r="G978" s="242"/>
      <c r="H978" s="154"/>
      <c r="I978" s="154"/>
      <c r="J978" s="154"/>
      <c r="K978" s="242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  <c r="AA978" s="154"/>
      <c r="AB978" s="154"/>
      <c r="AC978" s="154"/>
      <c r="AD978" s="154"/>
      <c r="AE978" s="154"/>
      <c r="AF978" s="154"/>
      <c r="AG978" s="244"/>
      <c r="AH978" s="154"/>
      <c r="AI978" s="154"/>
      <c r="AJ978" s="154"/>
      <c r="AK978" s="244"/>
      <c r="AL978" s="154"/>
      <c r="AM978" s="242"/>
      <c r="AN978" s="154"/>
      <c r="AO978" s="154"/>
      <c r="AP978" s="154"/>
    </row>
    <row r="979">
      <c r="A979" s="154"/>
      <c r="B979" s="154"/>
      <c r="C979" s="242"/>
      <c r="D979" s="154"/>
      <c r="E979" s="154"/>
      <c r="F979" s="154"/>
      <c r="G979" s="242"/>
      <c r="H979" s="154"/>
      <c r="I979" s="154"/>
      <c r="J979" s="154"/>
      <c r="K979" s="242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  <c r="AA979" s="154"/>
      <c r="AB979" s="154"/>
      <c r="AC979" s="154"/>
      <c r="AD979" s="154"/>
      <c r="AE979" s="154"/>
      <c r="AF979" s="154"/>
      <c r="AG979" s="244"/>
      <c r="AH979" s="154"/>
      <c r="AI979" s="154"/>
      <c r="AJ979" s="154"/>
      <c r="AK979" s="244"/>
      <c r="AL979" s="154"/>
      <c r="AM979" s="242"/>
      <c r="AN979" s="154"/>
      <c r="AO979" s="154"/>
      <c r="AP979" s="154"/>
    </row>
    <row r="980">
      <c r="A980" s="154"/>
      <c r="B980" s="154"/>
      <c r="C980" s="242"/>
      <c r="D980" s="154"/>
      <c r="E980" s="154"/>
      <c r="F980" s="154"/>
      <c r="G980" s="242"/>
      <c r="H980" s="154"/>
      <c r="I980" s="154"/>
      <c r="J980" s="154"/>
      <c r="K980" s="242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  <c r="AA980" s="154"/>
      <c r="AB980" s="154"/>
      <c r="AC980" s="154"/>
      <c r="AD980" s="154"/>
      <c r="AE980" s="154"/>
      <c r="AF980" s="154"/>
      <c r="AG980" s="244"/>
      <c r="AH980" s="154"/>
      <c r="AI980" s="154"/>
      <c r="AJ980" s="154"/>
      <c r="AK980" s="244"/>
      <c r="AL980" s="154"/>
      <c r="AM980" s="242"/>
      <c r="AN980" s="154"/>
      <c r="AO980" s="154"/>
      <c r="AP980" s="154"/>
    </row>
    <row r="981">
      <c r="A981" s="154"/>
      <c r="B981" s="154"/>
      <c r="C981" s="242"/>
      <c r="D981" s="154"/>
      <c r="E981" s="154"/>
      <c r="F981" s="154"/>
      <c r="G981" s="242"/>
      <c r="H981" s="154"/>
      <c r="I981" s="154"/>
      <c r="J981" s="154"/>
      <c r="K981" s="242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  <c r="AA981" s="154"/>
      <c r="AB981" s="154"/>
      <c r="AC981" s="154"/>
      <c r="AD981" s="154"/>
      <c r="AE981" s="154"/>
      <c r="AF981" s="154"/>
      <c r="AG981" s="244"/>
      <c r="AH981" s="154"/>
      <c r="AI981" s="154"/>
      <c r="AJ981" s="154"/>
      <c r="AK981" s="244"/>
      <c r="AL981" s="154"/>
      <c r="AM981" s="242"/>
      <c r="AN981" s="154"/>
      <c r="AO981" s="154"/>
      <c r="AP981" s="154"/>
    </row>
    <row r="982">
      <c r="A982" s="154"/>
      <c r="B982" s="154"/>
      <c r="C982" s="242"/>
      <c r="D982" s="154"/>
      <c r="E982" s="154"/>
      <c r="F982" s="154"/>
      <c r="G982" s="242"/>
      <c r="H982" s="154"/>
      <c r="I982" s="154"/>
      <c r="J982" s="154"/>
      <c r="K982" s="242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  <c r="AA982" s="154"/>
      <c r="AB982" s="154"/>
      <c r="AC982" s="154"/>
      <c r="AD982" s="154"/>
      <c r="AE982" s="154"/>
      <c r="AF982" s="154"/>
      <c r="AG982" s="244"/>
      <c r="AH982" s="154"/>
      <c r="AI982" s="154"/>
      <c r="AJ982" s="154"/>
      <c r="AK982" s="244"/>
      <c r="AL982" s="154"/>
      <c r="AM982" s="242"/>
      <c r="AN982" s="154"/>
      <c r="AO982" s="154"/>
      <c r="AP982" s="154"/>
    </row>
    <row r="983">
      <c r="A983" s="154"/>
      <c r="B983" s="154"/>
      <c r="C983" s="242"/>
      <c r="D983" s="154"/>
      <c r="E983" s="154"/>
      <c r="F983" s="154"/>
      <c r="G983" s="242"/>
      <c r="H983" s="154"/>
      <c r="I983" s="154"/>
      <c r="J983" s="154"/>
      <c r="K983" s="242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  <c r="AA983" s="154"/>
      <c r="AB983" s="154"/>
      <c r="AC983" s="154"/>
      <c r="AD983" s="154"/>
      <c r="AE983" s="154"/>
      <c r="AF983" s="154"/>
      <c r="AG983" s="244"/>
      <c r="AH983" s="154"/>
      <c r="AI983" s="154"/>
      <c r="AJ983" s="154"/>
      <c r="AK983" s="244"/>
      <c r="AL983" s="154"/>
      <c r="AM983" s="242"/>
      <c r="AN983" s="154"/>
      <c r="AO983" s="154"/>
      <c r="AP983" s="154"/>
    </row>
    <row r="984">
      <c r="A984" s="154"/>
      <c r="B984" s="154"/>
      <c r="C984" s="242"/>
      <c r="D984" s="154"/>
      <c r="E984" s="154"/>
      <c r="F984" s="154"/>
      <c r="G984" s="242"/>
      <c r="H984" s="154"/>
      <c r="I984" s="154"/>
      <c r="J984" s="154"/>
      <c r="K984" s="242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  <c r="AA984" s="154"/>
      <c r="AB984" s="154"/>
      <c r="AC984" s="154"/>
      <c r="AD984" s="154"/>
      <c r="AE984" s="154"/>
      <c r="AF984" s="154"/>
      <c r="AG984" s="244"/>
      <c r="AH984" s="154"/>
      <c r="AI984" s="154"/>
      <c r="AJ984" s="154"/>
      <c r="AK984" s="244"/>
      <c r="AL984" s="154"/>
      <c r="AM984" s="242"/>
      <c r="AN984" s="154"/>
      <c r="AO984" s="154"/>
      <c r="AP984" s="154"/>
    </row>
    <row r="985">
      <c r="A985" s="154"/>
      <c r="B985" s="154"/>
      <c r="C985" s="242"/>
      <c r="D985" s="154"/>
      <c r="E985" s="154"/>
      <c r="F985" s="154"/>
      <c r="G985" s="242"/>
      <c r="H985" s="154"/>
      <c r="I985" s="154"/>
      <c r="J985" s="154"/>
      <c r="K985" s="242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  <c r="AA985" s="154"/>
      <c r="AB985" s="154"/>
      <c r="AC985" s="154"/>
      <c r="AD985" s="154"/>
      <c r="AE985" s="154"/>
      <c r="AF985" s="154"/>
      <c r="AG985" s="244"/>
      <c r="AH985" s="154"/>
      <c r="AI985" s="154"/>
      <c r="AJ985" s="154"/>
      <c r="AK985" s="244"/>
      <c r="AL985" s="154"/>
      <c r="AM985" s="242"/>
      <c r="AN985" s="154"/>
      <c r="AO985" s="154"/>
      <c r="AP985" s="154"/>
    </row>
    <row r="986">
      <c r="A986" s="154"/>
      <c r="B986" s="154"/>
      <c r="C986" s="242"/>
      <c r="D986" s="154"/>
      <c r="E986" s="154"/>
      <c r="F986" s="154"/>
      <c r="G986" s="242"/>
      <c r="H986" s="154"/>
      <c r="I986" s="154"/>
      <c r="J986" s="154"/>
      <c r="K986" s="242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  <c r="AA986" s="154"/>
      <c r="AB986" s="154"/>
      <c r="AC986" s="154"/>
      <c r="AD986" s="154"/>
      <c r="AE986" s="154"/>
      <c r="AF986" s="154"/>
      <c r="AG986" s="244"/>
      <c r="AH986" s="154"/>
      <c r="AI986" s="154"/>
      <c r="AJ986" s="154"/>
      <c r="AK986" s="244"/>
      <c r="AL986" s="154"/>
      <c r="AM986" s="242"/>
      <c r="AN986" s="154"/>
      <c r="AO986" s="154"/>
      <c r="AP986" s="154"/>
    </row>
    <row r="987">
      <c r="A987" s="154"/>
      <c r="B987" s="154"/>
      <c r="C987" s="242"/>
      <c r="D987" s="154"/>
      <c r="E987" s="154"/>
      <c r="F987" s="154"/>
      <c r="G987" s="242"/>
      <c r="H987" s="154"/>
      <c r="I987" s="154"/>
      <c r="J987" s="154"/>
      <c r="K987" s="242"/>
      <c r="L987" s="154"/>
      <c r="M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  <c r="AA987" s="154"/>
      <c r="AB987" s="154"/>
      <c r="AC987" s="154"/>
      <c r="AD987" s="154"/>
      <c r="AE987" s="154"/>
      <c r="AF987" s="154"/>
      <c r="AG987" s="244"/>
      <c r="AH987" s="154"/>
      <c r="AI987" s="154"/>
      <c r="AJ987" s="154"/>
      <c r="AK987" s="244"/>
      <c r="AL987" s="154"/>
      <c r="AM987" s="242"/>
      <c r="AN987" s="154"/>
      <c r="AO987" s="154"/>
      <c r="AP987" s="154"/>
    </row>
    <row r="988">
      <c r="A988" s="154"/>
      <c r="B988" s="154"/>
      <c r="C988" s="242"/>
      <c r="D988" s="154"/>
      <c r="E988" s="154"/>
      <c r="F988" s="154"/>
      <c r="G988" s="242"/>
      <c r="H988" s="154"/>
      <c r="I988" s="154"/>
      <c r="J988" s="154"/>
      <c r="K988" s="242"/>
      <c r="L988" s="154"/>
      <c r="M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  <c r="AA988" s="154"/>
      <c r="AB988" s="154"/>
      <c r="AC988" s="154"/>
      <c r="AD988" s="154"/>
      <c r="AE988" s="154"/>
      <c r="AF988" s="154"/>
      <c r="AG988" s="244"/>
      <c r="AH988" s="154"/>
      <c r="AI988" s="154"/>
      <c r="AJ988" s="154"/>
      <c r="AK988" s="244"/>
      <c r="AL988" s="154"/>
      <c r="AM988" s="242"/>
      <c r="AN988" s="154"/>
      <c r="AO988" s="154"/>
      <c r="AP988" s="154"/>
    </row>
    <row r="989">
      <c r="A989" s="154"/>
      <c r="B989" s="154"/>
      <c r="C989" s="242"/>
      <c r="D989" s="154"/>
      <c r="E989" s="154"/>
      <c r="F989" s="154"/>
      <c r="G989" s="242"/>
      <c r="H989" s="154"/>
      <c r="I989" s="154"/>
      <c r="J989" s="154"/>
      <c r="K989" s="242"/>
      <c r="L989" s="154"/>
      <c r="M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  <c r="AA989" s="154"/>
      <c r="AB989" s="154"/>
      <c r="AC989" s="154"/>
      <c r="AD989" s="154"/>
      <c r="AE989" s="154"/>
      <c r="AF989" s="154"/>
      <c r="AG989" s="244"/>
      <c r="AH989" s="154"/>
      <c r="AI989" s="154"/>
      <c r="AJ989" s="154"/>
      <c r="AK989" s="244"/>
      <c r="AL989" s="154"/>
      <c r="AM989" s="242"/>
      <c r="AN989" s="154"/>
      <c r="AO989" s="154"/>
      <c r="AP989" s="154"/>
    </row>
    <row r="990">
      <c r="A990" s="154"/>
      <c r="B990" s="154"/>
      <c r="C990" s="242"/>
      <c r="D990" s="154"/>
      <c r="E990" s="154"/>
      <c r="F990" s="154"/>
      <c r="G990" s="242"/>
      <c r="H990" s="154"/>
      <c r="I990" s="154"/>
      <c r="J990" s="154"/>
      <c r="K990" s="242"/>
      <c r="L990" s="154"/>
      <c r="M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  <c r="AA990" s="154"/>
      <c r="AB990" s="154"/>
      <c r="AC990" s="154"/>
      <c r="AD990" s="154"/>
      <c r="AE990" s="154"/>
      <c r="AF990" s="154"/>
      <c r="AG990" s="244"/>
      <c r="AH990" s="154"/>
      <c r="AI990" s="154"/>
      <c r="AJ990" s="154"/>
      <c r="AK990" s="244"/>
      <c r="AL990" s="154"/>
      <c r="AM990" s="242"/>
      <c r="AN990" s="154"/>
      <c r="AO990" s="154"/>
      <c r="AP990" s="154"/>
    </row>
    <row r="991">
      <c r="A991" s="154"/>
      <c r="B991" s="154"/>
      <c r="C991" s="242"/>
      <c r="D991" s="154"/>
      <c r="E991" s="154"/>
      <c r="I991" s="154"/>
      <c r="J991" s="154"/>
      <c r="K991" s="242"/>
      <c r="L991" s="154"/>
      <c r="M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  <c r="AA991" s="154"/>
      <c r="AB991" s="154"/>
      <c r="AC991" s="154"/>
      <c r="AD991" s="154"/>
      <c r="AE991" s="154"/>
      <c r="AF991" s="154"/>
      <c r="AG991" s="244"/>
      <c r="AH991" s="154"/>
      <c r="AI991" s="154"/>
      <c r="AJ991" s="154"/>
      <c r="AK991" s="244"/>
      <c r="AL991" s="154"/>
      <c r="AM991" s="242"/>
      <c r="AN991" s="154"/>
      <c r="AO991" s="154"/>
      <c r="AP991" s="154"/>
    </row>
    <row r="992">
      <c r="A992" s="154"/>
      <c r="B992" s="154"/>
      <c r="C992" s="242"/>
      <c r="D992" s="154"/>
      <c r="E992" s="154"/>
      <c r="I992" s="154"/>
      <c r="J992" s="154"/>
      <c r="K992" s="242"/>
      <c r="L992" s="154"/>
      <c r="M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  <c r="AA992" s="154"/>
      <c r="AB992" s="154"/>
      <c r="AC992" s="154"/>
      <c r="AD992" s="154"/>
      <c r="AE992" s="154"/>
      <c r="AF992" s="154"/>
      <c r="AG992" s="244"/>
      <c r="AH992" s="154"/>
      <c r="AI992" s="154"/>
      <c r="AJ992" s="154"/>
      <c r="AK992" s="244"/>
      <c r="AL992" s="154"/>
      <c r="AM992" s="242"/>
      <c r="AN992" s="154"/>
      <c r="AO992" s="154"/>
      <c r="AP992" s="154"/>
    </row>
    <row r="993">
      <c r="A993" s="154"/>
      <c r="B993" s="154"/>
      <c r="C993" s="242"/>
      <c r="D993" s="154"/>
      <c r="E993" s="154"/>
      <c r="I993" s="154"/>
      <c r="J993" s="154"/>
      <c r="K993" s="242"/>
      <c r="L993" s="154"/>
      <c r="M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  <c r="AA993" s="154"/>
      <c r="AB993" s="154"/>
      <c r="AC993" s="154"/>
      <c r="AD993" s="154"/>
      <c r="AE993" s="154"/>
      <c r="AF993" s="154"/>
      <c r="AG993" s="244"/>
      <c r="AH993" s="154"/>
      <c r="AI993" s="154"/>
      <c r="AJ993" s="154"/>
      <c r="AK993" s="244"/>
      <c r="AL993" s="154"/>
      <c r="AM993" s="242"/>
      <c r="AN993" s="154"/>
      <c r="AO993" s="154"/>
      <c r="AP993" s="154"/>
    </row>
    <row r="994">
      <c r="A994" s="154"/>
      <c r="B994" s="154"/>
      <c r="C994" s="242"/>
      <c r="D994" s="154"/>
      <c r="E994" s="154"/>
      <c r="I994" s="154"/>
      <c r="J994" s="154"/>
      <c r="K994" s="242"/>
      <c r="L994" s="154"/>
      <c r="M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  <c r="AA994" s="154"/>
      <c r="AB994" s="154"/>
      <c r="AC994" s="154"/>
      <c r="AD994" s="154"/>
      <c r="AE994" s="154"/>
      <c r="AF994" s="154"/>
      <c r="AG994" s="244"/>
      <c r="AH994" s="154"/>
      <c r="AI994" s="154"/>
      <c r="AJ994" s="154"/>
      <c r="AK994" s="244"/>
      <c r="AL994" s="154"/>
      <c r="AM994" s="242"/>
      <c r="AN994" s="154"/>
      <c r="AO994" s="154"/>
      <c r="AP994" s="154"/>
    </row>
    <row r="995">
      <c r="A995" s="154"/>
      <c r="B995" s="154"/>
      <c r="C995" s="242"/>
      <c r="D995" s="154"/>
      <c r="E995" s="154"/>
      <c r="I995" s="154"/>
      <c r="J995" s="154"/>
      <c r="K995" s="242"/>
      <c r="L995" s="154"/>
      <c r="M995" s="154"/>
      <c r="Q995" s="154"/>
      <c r="R995" s="154"/>
      <c r="S995" s="154"/>
      <c r="T995" s="154"/>
      <c r="U995" s="154"/>
      <c r="AC995" s="154"/>
      <c r="AD995" s="154"/>
      <c r="AE995" s="154"/>
      <c r="AF995" s="154"/>
      <c r="AG995" s="244"/>
      <c r="AH995" s="154"/>
      <c r="AI995" s="154"/>
      <c r="AJ995" s="154"/>
      <c r="AK995" s="244"/>
      <c r="AL995" s="154"/>
      <c r="AM995" s="242"/>
      <c r="AN995" s="154"/>
      <c r="AO995" s="154"/>
      <c r="AP995" s="154"/>
    </row>
    <row r="996">
      <c r="A996" s="154"/>
      <c r="B996" s="154"/>
      <c r="C996" s="242"/>
      <c r="D996" s="154"/>
      <c r="E996" s="154"/>
      <c r="I996" s="154"/>
      <c r="J996" s="154"/>
      <c r="K996" s="242"/>
      <c r="L996" s="154"/>
      <c r="M996" s="154"/>
      <c r="Q996" s="154"/>
      <c r="R996" s="154"/>
      <c r="S996" s="154"/>
      <c r="T996" s="154"/>
      <c r="U996" s="154"/>
      <c r="AC996" s="154"/>
      <c r="AD996" s="154"/>
      <c r="AE996" s="154"/>
      <c r="AF996" s="154"/>
      <c r="AG996" s="244"/>
      <c r="AH996" s="154"/>
      <c r="AI996" s="154"/>
      <c r="AJ996" s="154"/>
      <c r="AK996" s="244"/>
      <c r="AL996" s="154"/>
      <c r="AM996" s="242"/>
      <c r="AN996" s="154"/>
      <c r="AO996" s="154"/>
      <c r="AP996" s="154"/>
    </row>
    <row r="997">
      <c r="A997" s="154"/>
      <c r="B997" s="154"/>
      <c r="C997" s="242"/>
      <c r="D997" s="154"/>
      <c r="E997" s="154"/>
      <c r="I997" s="154"/>
      <c r="J997" s="154"/>
      <c r="K997" s="242"/>
      <c r="L997" s="154"/>
      <c r="M997" s="154"/>
      <c r="Q997" s="154"/>
      <c r="R997" s="154"/>
      <c r="S997" s="154"/>
      <c r="T997" s="154"/>
      <c r="U997" s="154"/>
      <c r="AC997" s="154"/>
      <c r="AD997" s="154"/>
      <c r="AE997" s="154"/>
      <c r="AF997" s="154"/>
      <c r="AG997" s="244"/>
      <c r="AK997" s="244"/>
      <c r="AL997" s="154"/>
      <c r="AM997" s="242"/>
      <c r="AN997" s="154"/>
      <c r="AO997" s="154"/>
      <c r="AP997" s="154"/>
    </row>
    <row r="998">
      <c r="A998" s="154"/>
      <c r="B998" s="154"/>
      <c r="C998" s="242"/>
      <c r="D998" s="154"/>
      <c r="E998" s="154"/>
      <c r="I998" s="154"/>
      <c r="J998" s="154"/>
      <c r="K998" s="242"/>
      <c r="L998" s="154"/>
      <c r="M998" s="154"/>
      <c r="Q998" s="154"/>
      <c r="R998" s="154"/>
      <c r="S998" s="154"/>
      <c r="T998" s="154"/>
      <c r="U998" s="154"/>
      <c r="AC998" s="154"/>
      <c r="AD998" s="154"/>
      <c r="AE998" s="154"/>
      <c r="AF998" s="154"/>
      <c r="AG998" s="244"/>
      <c r="AK998" s="244"/>
      <c r="AL998" s="154"/>
      <c r="AM998" s="242"/>
      <c r="AN998" s="154"/>
      <c r="AO998" s="154"/>
      <c r="AP998" s="154"/>
    </row>
    <row r="999">
      <c r="A999" s="154"/>
      <c r="B999" s="154"/>
      <c r="C999" s="242"/>
      <c r="D999" s="154"/>
      <c r="E999" s="154"/>
      <c r="I999" s="154"/>
      <c r="J999" s="154"/>
      <c r="K999" s="242"/>
      <c r="L999" s="154"/>
      <c r="M999" s="154"/>
      <c r="Q999" s="154"/>
      <c r="R999" s="154"/>
      <c r="S999" s="154"/>
      <c r="T999" s="154"/>
      <c r="U999" s="154"/>
      <c r="AP999" s="154"/>
    </row>
    <row r="1000">
      <c r="A1000" s="154"/>
      <c r="B1000" s="154"/>
      <c r="C1000" s="242"/>
      <c r="D1000" s="154"/>
      <c r="E1000" s="154"/>
      <c r="I1000" s="154"/>
      <c r="J1000" s="154"/>
      <c r="K1000" s="242"/>
      <c r="L1000" s="154"/>
      <c r="M1000" s="154"/>
      <c r="Q1000" s="154"/>
      <c r="R1000" s="154"/>
      <c r="S1000" s="154"/>
      <c r="T1000" s="154"/>
      <c r="U1000" s="154"/>
      <c r="AP1000" s="154"/>
    </row>
    <row r="1001">
      <c r="A1001" s="154"/>
      <c r="B1001" s="154"/>
      <c r="C1001" s="242"/>
      <c r="D1001" s="154"/>
      <c r="E1001" s="154"/>
      <c r="I1001" s="154"/>
      <c r="J1001" s="154"/>
      <c r="K1001" s="242"/>
      <c r="L1001" s="154"/>
      <c r="M1001" s="154"/>
      <c r="Q1001" s="154"/>
      <c r="R1001" s="154"/>
      <c r="S1001" s="154"/>
      <c r="T1001" s="154"/>
      <c r="U1001" s="154"/>
      <c r="AP1001" s="154"/>
    </row>
    <row r="1002">
      <c r="A1002" s="154"/>
      <c r="B1002" s="154"/>
      <c r="C1002" s="242"/>
      <c r="D1002" s="154"/>
      <c r="E1002" s="154"/>
      <c r="I1002" s="154"/>
      <c r="J1002" s="154"/>
      <c r="K1002" s="242"/>
      <c r="L1002" s="154"/>
      <c r="M1002" s="154"/>
      <c r="Q1002" s="154"/>
      <c r="R1002" s="154"/>
      <c r="S1002" s="154"/>
      <c r="T1002" s="154"/>
      <c r="U1002" s="154"/>
      <c r="AP1002" s="154"/>
    </row>
    <row r="1003">
      <c r="A1003" s="154"/>
      <c r="B1003" s="154"/>
      <c r="C1003" s="242"/>
      <c r="D1003" s="154"/>
      <c r="E1003" s="154"/>
      <c r="I1003" s="154"/>
      <c r="J1003" s="154"/>
      <c r="K1003" s="242"/>
      <c r="L1003" s="154"/>
      <c r="M1003" s="154"/>
      <c r="Q1003" s="154"/>
      <c r="R1003" s="154"/>
      <c r="S1003" s="154"/>
      <c r="T1003" s="154"/>
      <c r="U1003" s="154"/>
      <c r="AP1003" s="154"/>
    </row>
  </sheetData>
  <mergeCells count="10">
    <mergeCell ref="AD6:AF6"/>
    <mergeCell ref="AH6:AJ6"/>
    <mergeCell ref="AL6:AN6"/>
    <mergeCell ref="B6:D6"/>
    <mergeCell ref="F6:H6"/>
    <mergeCell ref="J6:L6"/>
    <mergeCell ref="N6:P6"/>
    <mergeCell ref="R6:T6"/>
    <mergeCell ref="V6:X6"/>
    <mergeCell ref="Z6:AB6"/>
  </mergeCells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42.0"/>
    <col customWidth="1" min="3" max="4" width="15.0"/>
    <col customWidth="1" min="5" max="5" width="21.43"/>
    <col customWidth="1" min="6" max="6" width="24.71"/>
    <col customWidth="1" min="7" max="26" width="8.71"/>
  </cols>
  <sheetData>
    <row r="1" ht="15.0" customHeight="1">
      <c r="A1" s="89"/>
      <c r="B1" s="268" t="s">
        <v>291</v>
      </c>
    </row>
    <row r="2" ht="15.0" customHeight="1">
      <c r="A2" s="89"/>
      <c r="B2" s="8" t="s">
        <v>292</v>
      </c>
    </row>
    <row r="3" ht="15.0" customHeight="1">
      <c r="A3" s="89"/>
      <c r="B3" s="131" t="s">
        <v>293</v>
      </c>
      <c r="C3" s="8" t="s">
        <v>294</v>
      </c>
      <c r="D3" s="8" t="s">
        <v>5</v>
      </c>
      <c r="E3" s="8" t="s">
        <v>6</v>
      </c>
      <c r="F3" s="269" t="s">
        <v>295</v>
      </c>
    </row>
    <row r="4" ht="15.0" customHeight="1">
      <c r="A4" s="89"/>
      <c r="B4" s="10" t="s">
        <v>296</v>
      </c>
      <c r="C4" s="10"/>
      <c r="D4" s="10"/>
      <c r="E4" s="10"/>
      <c r="F4" s="10"/>
    </row>
    <row r="5" ht="15.0" customHeight="1">
      <c r="A5" s="89"/>
      <c r="B5" s="9" t="s">
        <v>131</v>
      </c>
      <c r="C5" s="93">
        <v>6263.0</v>
      </c>
      <c r="D5" s="93">
        <v>6403.0</v>
      </c>
      <c r="E5" s="93">
        <v>6216.0</v>
      </c>
      <c r="F5" s="105"/>
    </row>
    <row r="6" ht="15.0" customHeight="1">
      <c r="A6" s="89"/>
      <c r="B6" s="13" t="s">
        <v>17</v>
      </c>
      <c r="C6" s="93">
        <v>1702.0</v>
      </c>
      <c r="D6" s="93">
        <v>1777.0</v>
      </c>
      <c r="E6" s="93">
        <v>1752.0</v>
      </c>
      <c r="F6" s="105"/>
    </row>
    <row r="7" ht="15.0" customHeight="1">
      <c r="A7" s="89"/>
      <c r="B7" s="13" t="s">
        <v>18</v>
      </c>
      <c r="C7" s="93">
        <v>593.0</v>
      </c>
      <c r="D7" s="93">
        <v>662.0</v>
      </c>
      <c r="E7" s="93">
        <v>691.0</v>
      </c>
      <c r="F7" s="105"/>
    </row>
    <row r="8" ht="15.0" customHeight="1">
      <c r="A8" s="89"/>
      <c r="B8" s="13" t="s">
        <v>19</v>
      </c>
      <c r="C8" s="93">
        <v>3847.0</v>
      </c>
      <c r="D8" s="93">
        <v>3849.0</v>
      </c>
      <c r="E8" s="93">
        <v>3691.0</v>
      </c>
      <c r="F8" s="105"/>
    </row>
    <row r="9" ht="15.0" customHeight="1">
      <c r="A9" s="89"/>
      <c r="B9" s="13" t="s">
        <v>20</v>
      </c>
      <c r="C9" s="93">
        <v>121.0</v>
      </c>
      <c r="D9" s="93">
        <v>115.0</v>
      </c>
      <c r="E9" s="93">
        <v>82.0</v>
      </c>
      <c r="F9" s="105"/>
    </row>
    <row r="10" ht="18.75" customHeight="1">
      <c r="A10" s="89"/>
      <c r="B10" s="9" t="s">
        <v>297</v>
      </c>
      <c r="C10" s="93">
        <v>2515.0</v>
      </c>
      <c r="D10" s="93">
        <v>2688.0</v>
      </c>
      <c r="E10" s="93">
        <v>2903.0</v>
      </c>
      <c r="F10" s="105"/>
    </row>
    <row r="11" ht="15.0" customHeight="1">
      <c r="A11" s="89"/>
      <c r="B11" s="21" t="s">
        <v>26</v>
      </c>
      <c r="C11" s="270">
        <f t="shared" ref="C11:E11" si="1">C5-C10</f>
        <v>3748</v>
      </c>
      <c r="D11" s="270">
        <f t="shared" si="1"/>
        <v>3715</v>
      </c>
      <c r="E11" s="270">
        <f t="shared" si="1"/>
        <v>3313</v>
      </c>
      <c r="F11" s="271"/>
    </row>
    <row r="12" ht="15.0" customHeight="1">
      <c r="A12" s="89"/>
      <c r="B12" s="13" t="s">
        <v>23</v>
      </c>
      <c r="C12" s="20">
        <f t="shared" ref="C12:E12" si="2">C11/C5</f>
        <v>0.5984352547</v>
      </c>
      <c r="D12" s="20">
        <f t="shared" si="2"/>
        <v>0.5801967828</v>
      </c>
      <c r="E12" s="20">
        <f t="shared" si="2"/>
        <v>0.532979408</v>
      </c>
      <c r="F12" s="20">
        <f>AVERAGE(C12:E12)</f>
        <v>0.5705371485</v>
      </c>
    </row>
    <row r="13" ht="15.0" customHeight="1">
      <c r="A13" s="89"/>
      <c r="B13" s="13" t="s">
        <v>298</v>
      </c>
      <c r="C13" s="93">
        <v>1893.0</v>
      </c>
      <c r="D13" s="93">
        <v>1760.0</v>
      </c>
      <c r="E13" s="93">
        <v>1721.0</v>
      </c>
      <c r="F13" s="20">
        <f>((C13/$C$5)+(D13/$D$5)+(E13/$E$5))/3</f>
        <v>0.2846628744</v>
      </c>
    </row>
    <row r="14" ht="15.0" customHeight="1">
      <c r="A14" s="89"/>
      <c r="B14" s="13" t="s">
        <v>299</v>
      </c>
      <c r="C14" s="93">
        <v>528.0</v>
      </c>
      <c r="D14" s="93">
        <v>469.0</v>
      </c>
      <c r="E14" s="93">
        <v>366.0</v>
      </c>
      <c r="F14" s="105"/>
    </row>
    <row r="15" ht="15.0" customHeight="1">
      <c r="A15" s="89"/>
      <c r="B15" s="13" t="s">
        <v>300</v>
      </c>
      <c r="C15" s="93">
        <v>8.0</v>
      </c>
      <c r="D15" s="93">
        <v>81.0</v>
      </c>
      <c r="E15" s="93">
        <v>6.0</v>
      </c>
      <c r="F15" s="105" t="s">
        <v>301</v>
      </c>
    </row>
    <row r="16" ht="18.75" customHeight="1">
      <c r="A16" s="89"/>
      <c r="B16" s="13" t="s">
        <v>302</v>
      </c>
      <c r="C16" s="93">
        <v>0.0</v>
      </c>
      <c r="D16" s="93">
        <v>0.0</v>
      </c>
      <c r="E16" s="93">
        <v>301.0</v>
      </c>
      <c r="F16" s="105" t="s">
        <v>303</v>
      </c>
    </row>
    <row r="17" ht="15.0" customHeight="1">
      <c r="A17" s="89"/>
      <c r="B17" s="13" t="s">
        <v>304</v>
      </c>
      <c r="C17" s="93">
        <v>62.0</v>
      </c>
      <c r="D17" s="93">
        <v>31.0</v>
      </c>
      <c r="E17" s="93">
        <v>95.0</v>
      </c>
      <c r="F17" s="105" t="s">
        <v>301</v>
      </c>
    </row>
    <row r="18" ht="15.0" customHeight="1">
      <c r="A18" s="89"/>
      <c r="B18" s="24" t="s">
        <v>305</v>
      </c>
      <c r="C18" s="16">
        <f t="shared" ref="C18:E18" si="3">C11-C13-C14-C15-C16-C17</f>
        <v>1257</v>
      </c>
      <c r="D18" s="16">
        <f t="shared" si="3"/>
        <v>1374</v>
      </c>
      <c r="E18" s="16">
        <f t="shared" si="3"/>
        <v>824</v>
      </c>
      <c r="F18" s="272">
        <f>AVERAGE(C18:E18)</f>
        <v>1151.666667</v>
      </c>
    </row>
    <row r="19" ht="15.75" customHeight="1">
      <c r="A19" s="89"/>
      <c r="B19" s="13" t="s">
        <v>306</v>
      </c>
      <c r="C19" s="93">
        <v>236.0</v>
      </c>
      <c r="D19" s="93">
        <v>277.0</v>
      </c>
      <c r="E19" s="93">
        <v>361.0</v>
      </c>
      <c r="F19" s="105"/>
    </row>
    <row r="20" ht="15.0" customHeight="1">
      <c r="A20" s="89"/>
      <c r="B20" s="24" t="s">
        <v>307</v>
      </c>
      <c r="C20" s="16">
        <f t="shared" ref="C20:E20" si="4">C18+C19</f>
        <v>1493</v>
      </c>
      <c r="D20" s="16">
        <f t="shared" si="4"/>
        <v>1651</v>
      </c>
      <c r="E20" s="16">
        <f t="shared" si="4"/>
        <v>1185</v>
      </c>
      <c r="F20" s="273"/>
    </row>
    <row r="21" ht="15.0" customHeight="1">
      <c r="A21" s="89"/>
      <c r="B21" s="13" t="s">
        <v>308</v>
      </c>
      <c r="C21" s="93">
        <v>0.0</v>
      </c>
      <c r="D21" s="93">
        <v>0.0</v>
      </c>
      <c r="E21" s="93">
        <v>301.0</v>
      </c>
      <c r="F21" s="105" t="s">
        <v>309</v>
      </c>
    </row>
    <row r="22" ht="18.75" customHeight="1">
      <c r="A22" s="89"/>
      <c r="B22" s="13" t="s">
        <v>310</v>
      </c>
      <c r="C22" s="93">
        <v>62.0</v>
      </c>
      <c r="D22" s="93">
        <v>31.0</v>
      </c>
      <c r="E22" s="93">
        <v>95.0</v>
      </c>
      <c r="F22" s="105" t="s">
        <v>311</v>
      </c>
    </row>
    <row r="23" ht="15.0" customHeight="1">
      <c r="A23" s="89"/>
      <c r="B23" s="13" t="s">
        <v>312</v>
      </c>
      <c r="C23" s="93">
        <v>8.0</v>
      </c>
      <c r="D23" s="93">
        <v>81.0</v>
      </c>
      <c r="E23" s="93">
        <v>6.0</v>
      </c>
      <c r="F23" s="105" t="s">
        <v>313</v>
      </c>
    </row>
    <row r="24" ht="18.75" customHeight="1">
      <c r="A24" s="89"/>
      <c r="B24" s="13" t="s">
        <v>314</v>
      </c>
      <c r="C24" s="93">
        <v>0.0</v>
      </c>
      <c r="D24" s="93">
        <v>0.0</v>
      </c>
      <c r="E24" s="93">
        <v>-49.0</v>
      </c>
      <c r="F24" s="105" t="s">
        <v>315</v>
      </c>
    </row>
    <row r="25" ht="15.75" customHeight="1">
      <c r="A25" s="89"/>
      <c r="B25" s="13" t="s">
        <v>316</v>
      </c>
      <c r="C25" s="93">
        <v>0.0</v>
      </c>
      <c r="D25" s="93">
        <v>0.0</v>
      </c>
      <c r="E25" s="93">
        <v>-73.0</v>
      </c>
      <c r="F25" s="200" t="s">
        <v>317</v>
      </c>
    </row>
    <row r="26" ht="15.0" customHeight="1">
      <c r="A26" s="89"/>
      <c r="B26" s="21" t="s">
        <v>134</v>
      </c>
      <c r="C26" s="22">
        <f t="shared" ref="C26:E26" si="5">C20+C21+C22+C23+C24+C25</f>
        <v>1563</v>
      </c>
      <c r="D26" s="22">
        <f t="shared" si="5"/>
        <v>1763</v>
      </c>
      <c r="E26" s="22">
        <f t="shared" si="5"/>
        <v>1465</v>
      </c>
      <c r="F26" s="270">
        <f t="shared" ref="F26:F27" si="7">AVERAGE(C26:E26)</f>
        <v>1597</v>
      </c>
    </row>
    <row r="27" ht="15.0" customHeight="1">
      <c r="A27" s="89"/>
      <c r="B27" s="13" t="s">
        <v>318</v>
      </c>
      <c r="C27" s="20">
        <f t="shared" ref="C27:E27" si="6">C26/C5</f>
        <v>0.2495609133</v>
      </c>
      <c r="D27" s="20">
        <f t="shared" si="6"/>
        <v>0.2753396845</v>
      </c>
      <c r="E27" s="20">
        <f t="shared" si="6"/>
        <v>0.2356821107</v>
      </c>
      <c r="F27" s="20">
        <f t="shared" si="7"/>
        <v>0.2535275695</v>
      </c>
    </row>
    <row r="28" ht="18.75" customHeight="1">
      <c r="A28" s="89"/>
      <c r="B28" s="13" t="s">
        <v>319</v>
      </c>
      <c r="C28" s="93">
        <v>527.0</v>
      </c>
      <c r="D28" s="93">
        <v>520.0</v>
      </c>
      <c r="E28" s="93">
        <v>504.0</v>
      </c>
      <c r="F28" s="105" t="s">
        <v>320</v>
      </c>
    </row>
    <row r="29" ht="18.75" customHeight="1">
      <c r="A29" s="89"/>
      <c r="B29" s="13" t="s">
        <v>321</v>
      </c>
      <c r="C29" s="93">
        <v>-15.0</v>
      </c>
      <c r="D29" s="93">
        <v>-21.0</v>
      </c>
      <c r="E29" s="93">
        <v>119.0</v>
      </c>
      <c r="F29" s="105"/>
    </row>
    <row r="30" ht="15.0" customHeight="1">
      <c r="A30" s="89"/>
      <c r="B30" s="9" t="s">
        <v>322</v>
      </c>
      <c r="C30" s="93">
        <v>673.0</v>
      </c>
      <c r="D30" s="93">
        <v>807.0</v>
      </c>
      <c r="E30" s="93">
        <v>425.0</v>
      </c>
      <c r="F30" s="105"/>
    </row>
    <row r="31" ht="18.75" customHeight="1">
      <c r="A31" s="89"/>
      <c r="B31" s="13" t="s">
        <v>323</v>
      </c>
      <c r="C31" s="93">
        <v>350.0</v>
      </c>
      <c r="D31" s="93">
        <v>57.0</v>
      </c>
      <c r="E31" s="93">
        <v>-238.0</v>
      </c>
      <c r="F31" s="105"/>
    </row>
    <row r="32" ht="15.0" customHeight="1">
      <c r="A32" s="89"/>
      <c r="B32" s="21" t="s">
        <v>144</v>
      </c>
      <c r="C32" s="274">
        <v>1023.0</v>
      </c>
      <c r="D32" s="274">
        <v>864.0</v>
      </c>
      <c r="E32" s="274">
        <v>187.0</v>
      </c>
      <c r="F32" s="271"/>
    </row>
    <row r="33" ht="15.75" customHeight="1">
      <c r="A33" s="89"/>
      <c r="B33" s="13" t="s">
        <v>324</v>
      </c>
      <c r="C33" s="275">
        <f>(C32/256.3)</f>
        <v>3.991416309</v>
      </c>
      <c r="D33" s="275">
        <f>(D32/259.2)</f>
        <v>3.333333333</v>
      </c>
      <c r="E33" s="275">
        <f>(E32/260.8)</f>
        <v>0.7170245399</v>
      </c>
      <c r="F33" s="105"/>
    </row>
    <row r="34" ht="15.75" customHeight="1">
      <c r="A34" s="89"/>
      <c r="B34" s="89"/>
      <c r="C34" s="89"/>
      <c r="D34" s="89"/>
      <c r="E34" s="89"/>
      <c r="F34" s="89"/>
    </row>
    <row r="35" ht="15.0" customHeight="1">
      <c r="A35" s="89"/>
      <c r="B35" s="10" t="s">
        <v>325</v>
      </c>
      <c r="C35" s="10"/>
      <c r="D35" s="10"/>
      <c r="E35" s="10"/>
      <c r="F35" s="10"/>
    </row>
    <row r="36" ht="15.0" customHeight="1">
      <c r="A36" s="89"/>
      <c r="B36" s="13" t="s">
        <v>326</v>
      </c>
      <c r="C36" s="93"/>
      <c r="D36" s="93">
        <v>675.0</v>
      </c>
      <c r="E36" s="93">
        <v>574.0</v>
      </c>
      <c r="F36" s="89"/>
    </row>
    <row r="37" ht="15.0" customHeight="1">
      <c r="A37" s="89"/>
      <c r="B37" s="13" t="s">
        <v>327</v>
      </c>
      <c r="C37" s="89"/>
      <c r="D37" s="93">
        <v>1168.0</v>
      </c>
      <c r="E37" s="93">
        <v>1303.0</v>
      </c>
      <c r="F37" s="89"/>
    </row>
    <row r="38" ht="15.0" customHeight="1">
      <c r="A38" s="89"/>
      <c r="B38" s="13" t="s">
        <v>328</v>
      </c>
      <c r="C38" s="89"/>
      <c r="D38" s="93">
        <v>1414.0</v>
      </c>
      <c r="E38" s="93">
        <v>1130.0</v>
      </c>
      <c r="F38" s="89"/>
    </row>
    <row r="39" ht="15.0" customHeight="1">
      <c r="A39" s="89"/>
      <c r="B39" s="13" t="s">
        <v>329</v>
      </c>
      <c r="C39" s="89"/>
      <c r="D39" s="93">
        <v>4680.0</v>
      </c>
      <c r="E39" s="93">
        <v>4153.0</v>
      </c>
      <c r="F39" s="89"/>
    </row>
    <row r="40" ht="15.0" customHeight="1">
      <c r="A40" s="89"/>
      <c r="B40" s="15" t="s">
        <v>330</v>
      </c>
      <c r="C40" s="137"/>
      <c r="D40" s="276">
        <v>13101.0</v>
      </c>
      <c r="E40" s="276">
        <v>12867.0</v>
      </c>
      <c r="F40" s="137"/>
    </row>
    <row r="41" ht="15.0" customHeight="1">
      <c r="A41" s="89"/>
      <c r="B41" s="13" t="s">
        <v>331</v>
      </c>
      <c r="C41" s="89"/>
      <c r="D41" s="93">
        <v>8880.0</v>
      </c>
      <c r="E41" s="93">
        <v>8644.0</v>
      </c>
      <c r="F41" s="105"/>
    </row>
    <row r="42" ht="15.0" customHeight="1">
      <c r="A42" s="89"/>
      <c r="B42" s="9" t="s">
        <v>169</v>
      </c>
      <c r="C42" s="89"/>
      <c r="D42" s="33">
        <f t="shared" ref="D42:E42" si="8">D41-D36</f>
        <v>8205</v>
      </c>
      <c r="E42" s="33">
        <f t="shared" si="8"/>
        <v>8070</v>
      </c>
      <c r="F42" s="89"/>
    </row>
    <row r="43" ht="15.0" customHeight="1">
      <c r="A43" s="89"/>
      <c r="B43" s="15" t="s">
        <v>170</v>
      </c>
      <c r="C43" s="276"/>
      <c r="D43" s="276">
        <v>472.0</v>
      </c>
      <c r="E43" s="276">
        <v>752.0</v>
      </c>
      <c r="F43" s="137"/>
    </row>
    <row r="44" ht="15.0" customHeight="1">
      <c r="A44" s="89"/>
      <c r="B44" s="13" t="s">
        <v>332</v>
      </c>
      <c r="C44" s="93"/>
      <c r="D44" s="93">
        <v>257799.0</v>
      </c>
      <c r="E44" s="93">
        <v>260316.0</v>
      </c>
      <c r="F44" s="89"/>
    </row>
    <row r="45" ht="15.0" customHeight="1">
      <c r="A45" s="89"/>
      <c r="B45" s="9" t="s">
        <v>333</v>
      </c>
      <c r="C45" s="89"/>
      <c r="D45" s="199">
        <f t="shared" ref="D45:E45" si="9">D42/D26</f>
        <v>4.653998866</v>
      </c>
      <c r="E45" s="199">
        <f t="shared" si="9"/>
        <v>5.508532423</v>
      </c>
      <c r="F45" s="105"/>
    </row>
    <row r="46" ht="15.75" customHeight="1">
      <c r="A46" s="89"/>
      <c r="B46" s="89"/>
      <c r="C46" s="89"/>
      <c r="D46" s="89"/>
      <c r="E46" s="89"/>
      <c r="F46" s="89"/>
    </row>
    <row r="47" ht="15.0" customHeight="1">
      <c r="A47" s="89"/>
      <c r="B47" s="277" t="s">
        <v>334</v>
      </c>
      <c r="C47" s="277"/>
      <c r="D47" s="277"/>
      <c r="E47" s="277"/>
      <c r="F47" s="277"/>
    </row>
    <row r="48" ht="15.0" customHeight="1">
      <c r="A48" s="89"/>
      <c r="B48" s="13" t="s">
        <v>335</v>
      </c>
      <c r="C48" s="93">
        <v>799.0</v>
      </c>
      <c r="D48" s="93">
        <v>939.0</v>
      </c>
      <c r="E48" s="93">
        <v>700.0</v>
      </c>
      <c r="F48" s="89"/>
    </row>
    <row r="49" ht="15.0" customHeight="1">
      <c r="A49" s="89"/>
      <c r="B49" s="13" t="s">
        <v>336</v>
      </c>
      <c r="C49" s="93">
        <v>-251.0</v>
      </c>
      <c r="D49" s="93">
        <v>-175.0</v>
      </c>
      <c r="E49" s="93">
        <v>-162.0</v>
      </c>
      <c r="F49" s="20"/>
    </row>
    <row r="50" ht="15.0" customHeight="1">
      <c r="A50" s="89"/>
      <c r="B50" s="13" t="s">
        <v>337</v>
      </c>
      <c r="C50" s="93">
        <v>120.0</v>
      </c>
      <c r="D50" s="93">
        <v>132.0</v>
      </c>
      <c r="E50" s="93">
        <v>156.0</v>
      </c>
      <c r="F50" s="89"/>
    </row>
    <row r="51" ht="15.0" customHeight="1">
      <c r="A51" s="89"/>
      <c r="B51" s="13" t="s">
        <v>338</v>
      </c>
      <c r="C51" s="93">
        <v>116.0</v>
      </c>
      <c r="D51" s="93">
        <v>145.0</v>
      </c>
      <c r="E51" s="93">
        <v>205.0</v>
      </c>
      <c r="F51" s="89"/>
    </row>
    <row r="52" ht="18.75" customHeight="1">
      <c r="A52" s="89"/>
      <c r="B52" s="13" t="s">
        <v>339</v>
      </c>
      <c r="C52" s="14">
        <f t="shared" ref="C52:E52" si="10">C49+C50+C51</f>
        <v>-15</v>
      </c>
      <c r="D52" s="14">
        <f t="shared" si="10"/>
        <v>102</v>
      </c>
      <c r="E52" s="14">
        <f t="shared" si="10"/>
        <v>199</v>
      </c>
      <c r="F52" s="20">
        <f>((C52/$C$5)+(D52/$D$5)+(E52/$E$5))/3</f>
        <v>0.01518305715</v>
      </c>
    </row>
    <row r="53" ht="18.0" customHeight="1">
      <c r="A53" s="89"/>
      <c r="B53" s="13" t="s">
        <v>340</v>
      </c>
      <c r="C53" s="89"/>
      <c r="D53" s="93">
        <v>1630.0</v>
      </c>
      <c r="E53" s="93">
        <v>1960.0</v>
      </c>
      <c r="F53" s="20">
        <f>(((D53/$D$5)+(E53/$E$5))/2)</f>
        <v>0.2849417432</v>
      </c>
    </row>
    <row r="54" ht="15.0" customHeight="1">
      <c r="A54" s="89"/>
      <c r="B54" s="13" t="s">
        <v>341</v>
      </c>
      <c r="C54" s="89"/>
      <c r="D54" s="14">
        <f>D53-D53</f>
        <v>0</v>
      </c>
      <c r="E54" s="14">
        <f>E53-D53</f>
        <v>330</v>
      </c>
      <c r="F54" s="105"/>
    </row>
    <row r="55" ht="18.75" customHeight="1">
      <c r="A55" s="89"/>
      <c r="B55" s="19" t="s">
        <v>342</v>
      </c>
      <c r="C55" s="14">
        <f t="shared" ref="C55:E55" si="11">C18*(1-0.25)</f>
        <v>942.75</v>
      </c>
      <c r="D55" s="14">
        <f t="shared" si="11"/>
        <v>1030.5</v>
      </c>
      <c r="E55" s="14">
        <f t="shared" si="11"/>
        <v>618</v>
      </c>
      <c r="F55" s="200" t="s">
        <v>343</v>
      </c>
    </row>
    <row r="56" ht="15.0" customHeight="1">
      <c r="A56" s="89"/>
      <c r="B56" s="13" t="s">
        <v>344</v>
      </c>
      <c r="C56" s="14">
        <f>0</f>
        <v>0</v>
      </c>
      <c r="D56" s="14">
        <f t="shared" ref="D56:E56" si="12">D41+D43</f>
        <v>9352</v>
      </c>
      <c r="E56" s="14">
        <f t="shared" si="12"/>
        <v>9396</v>
      </c>
      <c r="F56" s="105" t="s">
        <v>345</v>
      </c>
    </row>
    <row r="57" ht="18.75" customHeight="1">
      <c r="A57" s="89"/>
      <c r="B57" s="9" t="s">
        <v>346</v>
      </c>
      <c r="C57" s="89"/>
      <c r="D57" s="144">
        <f t="shared" ref="D57:E57" si="13">IF(D56&lt;&gt;0,D55/D56,0)</f>
        <v>0.1101903336</v>
      </c>
      <c r="E57" s="144">
        <f t="shared" si="13"/>
        <v>0.06577266922</v>
      </c>
      <c r="F57" s="105"/>
    </row>
    <row r="58" ht="15.0" customHeight="1">
      <c r="A58" s="89"/>
      <c r="B58" s="278" t="s">
        <v>347</v>
      </c>
      <c r="C58" s="279">
        <f t="shared" ref="C58:E58" si="14">ABS(C49)/C5</f>
        <v>0.04007664059</v>
      </c>
      <c r="D58" s="279">
        <f t="shared" si="14"/>
        <v>0.02733093862</v>
      </c>
      <c r="E58" s="279">
        <f t="shared" si="14"/>
        <v>0.02606177606</v>
      </c>
      <c r="F58" s="280">
        <f t="shared" ref="F58:F59" si="16">AVERAGE(C58:E58)</f>
        <v>0.03115645176</v>
      </c>
    </row>
    <row r="59" ht="15.0" customHeight="1">
      <c r="A59" s="89"/>
      <c r="B59" s="278" t="s">
        <v>348</v>
      </c>
      <c r="C59" s="279">
        <f t="shared" ref="C59:E59" si="15">(C50+C51)/C5</f>
        <v>0.03768162223</v>
      </c>
      <c r="D59" s="279">
        <f t="shared" si="15"/>
        <v>0.04326097142</v>
      </c>
      <c r="E59" s="279">
        <f t="shared" si="15"/>
        <v>0.05807593308</v>
      </c>
      <c r="F59" s="280">
        <f t="shared" si="16"/>
        <v>0.04633950891</v>
      </c>
    </row>
    <row r="60" ht="15.75" customHeight="1">
      <c r="A60" s="89"/>
      <c r="B60" s="89"/>
      <c r="C60" s="89"/>
      <c r="D60" s="89"/>
      <c r="E60" s="89"/>
      <c r="F60" s="89"/>
    </row>
    <row r="61" ht="15.75" customHeight="1">
      <c r="A61" s="89"/>
      <c r="B61" s="89"/>
      <c r="C61" s="89"/>
      <c r="D61" s="89"/>
      <c r="E61" s="89"/>
      <c r="F61" s="89"/>
    </row>
    <row r="62" ht="15.75" customHeight="1">
      <c r="A62" s="89"/>
      <c r="B62" s="89"/>
      <c r="C62" s="89"/>
      <c r="D62" s="89"/>
      <c r="E62" s="89"/>
      <c r="F62" s="89"/>
    </row>
    <row r="63" ht="15.75" customHeight="1">
      <c r="A63" s="89"/>
      <c r="B63" s="89"/>
      <c r="C63" s="89"/>
      <c r="D63" s="89"/>
      <c r="E63" s="89"/>
      <c r="F63" s="89"/>
    </row>
    <row r="64" ht="15.75" customHeight="1">
      <c r="A64" s="89"/>
      <c r="B64" s="89"/>
      <c r="C64" s="89"/>
      <c r="D64" s="89"/>
      <c r="E64" s="89"/>
      <c r="F64" s="89"/>
    </row>
    <row r="65" ht="15.75" customHeight="1">
      <c r="A65" s="89"/>
      <c r="B65" s="89"/>
      <c r="C65" s="89"/>
      <c r="D65" s="89"/>
      <c r="E65" s="89"/>
      <c r="F65" s="89"/>
    </row>
    <row r="66" ht="15.75" customHeight="1">
      <c r="A66" s="89"/>
      <c r="B66" s="89"/>
      <c r="C66" s="89"/>
      <c r="D66" s="89"/>
      <c r="E66" s="89"/>
      <c r="F66" s="89"/>
    </row>
    <row r="67" ht="15.75" customHeight="1">
      <c r="A67" s="89"/>
      <c r="B67" s="89"/>
      <c r="C67" s="89"/>
      <c r="D67" s="89"/>
      <c r="E67" s="89"/>
      <c r="F67" s="89"/>
    </row>
    <row r="68" ht="15.75" customHeight="1">
      <c r="A68" s="89"/>
      <c r="B68" s="89"/>
      <c r="C68" s="89"/>
      <c r="D68" s="89"/>
      <c r="E68" s="89"/>
      <c r="F68" s="89"/>
    </row>
    <row r="69" ht="15.75" customHeight="1">
      <c r="A69" s="89"/>
      <c r="B69" s="89"/>
      <c r="C69" s="89"/>
      <c r="D69" s="89"/>
      <c r="E69" s="89"/>
      <c r="F69" s="89"/>
    </row>
    <row r="70" ht="15.75" customHeight="1">
      <c r="A70" s="89"/>
      <c r="B70" s="89"/>
      <c r="C70" s="89"/>
      <c r="D70" s="89"/>
      <c r="E70" s="89"/>
      <c r="F70" s="89"/>
    </row>
    <row r="71" ht="15.75" customHeight="1">
      <c r="A71" s="89"/>
      <c r="B71" s="89"/>
      <c r="C71" s="89"/>
      <c r="D71" s="89"/>
      <c r="E71" s="89"/>
      <c r="F71" s="89"/>
    </row>
    <row r="72" ht="15.75" customHeight="1">
      <c r="A72" s="89"/>
      <c r="B72" s="89"/>
      <c r="C72" s="89"/>
      <c r="D72" s="89"/>
      <c r="E72" s="89"/>
      <c r="F72" s="89"/>
    </row>
    <row r="73" ht="15.75" customHeight="1">
      <c r="A73" s="89"/>
      <c r="B73" s="89"/>
      <c r="C73" s="89"/>
      <c r="D73" s="89"/>
      <c r="E73" s="89"/>
      <c r="F73" s="89"/>
    </row>
    <row r="74" ht="15.75" customHeight="1">
      <c r="A74" s="89"/>
      <c r="B74" s="89"/>
      <c r="C74" s="89"/>
      <c r="D74" s="89"/>
      <c r="E74" s="89"/>
      <c r="F74" s="89"/>
    </row>
    <row r="75" ht="15.75" customHeight="1">
      <c r="A75" s="89"/>
      <c r="B75" s="89"/>
      <c r="C75" s="89"/>
      <c r="D75" s="89"/>
      <c r="E75" s="89"/>
      <c r="F75" s="89"/>
    </row>
    <row r="76" ht="15.75" customHeight="1">
      <c r="A76" s="89"/>
      <c r="B76" s="89"/>
      <c r="C76" s="89"/>
      <c r="D76" s="89"/>
      <c r="E76" s="89"/>
      <c r="F76" s="89"/>
    </row>
    <row r="77" ht="15.75" customHeight="1">
      <c r="A77" s="89"/>
      <c r="B77" s="89"/>
      <c r="C77" s="89"/>
      <c r="D77" s="89"/>
      <c r="E77" s="89"/>
      <c r="F77" s="89"/>
    </row>
    <row r="78" ht="15.75" customHeight="1">
      <c r="A78" s="89"/>
      <c r="B78" s="89"/>
      <c r="C78" s="89"/>
      <c r="D78" s="89"/>
      <c r="E78" s="89"/>
      <c r="F78" s="89"/>
    </row>
    <row r="79" ht="15.75" customHeight="1">
      <c r="A79" s="89"/>
      <c r="B79" s="89"/>
      <c r="C79" s="89"/>
      <c r="D79" s="89"/>
      <c r="E79" s="89"/>
      <c r="F79" s="89"/>
    </row>
    <row r="80" ht="15.75" customHeight="1">
      <c r="A80" s="89"/>
      <c r="B80" s="89"/>
      <c r="C80" s="89"/>
      <c r="D80" s="89"/>
      <c r="E80" s="89"/>
      <c r="F80" s="89"/>
    </row>
    <row r="81" ht="15.75" customHeight="1">
      <c r="A81" s="89"/>
      <c r="B81" s="89"/>
      <c r="C81" s="89"/>
      <c r="D81" s="89"/>
      <c r="E81" s="89"/>
      <c r="F81" s="89"/>
    </row>
    <row r="82" ht="15.75" customHeight="1">
      <c r="A82" s="89"/>
      <c r="B82" s="89"/>
      <c r="C82" s="89"/>
      <c r="D82" s="89"/>
      <c r="E82" s="89"/>
      <c r="F82" s="89"/>
    </row>
    <row r="83" ht="15.75" customHeight="1">
      <c r="A83" s="89"/>
      <c r="B83" s="89"/>
      <c r="C83" s="89"/>
      <c r="D83" s="89"/>
      <c r="E83" s="89"/>
      <c r="F83" s="89"/>
    </row>
    <row r="84" ht="15.75" customHeight="1">
      <c r="A84" s="89"/>
      <c r="B84" s="89"/>
      <c r="C84" s="89"/>
      <c r="D84" s="89"/>
      <c r="E84" s="89"/>
      <c r="F84" s="89"/>
    </row>
    <row r="85" ht="15.75" customHeight="1">
      <c r="A85" s="89"/>
      <c r="B85" s="89"/>
      <c r="C85" s="89"/>
      <c r="D85" s="89"/>
      <c r="E85" s="89"/>
      <c r="F85" s="89"/>
    </row>
    <row r="86" ht="15.75" customHeight="1">
      <c r="A86" s="89"/>
      <c r="B86" s="89"/>
      <c r="C86" s="89"/>
      <c r="D86" s="89"/>
      <c r="E86" s="89"/>
      <c r="F86" s="89"/>
    </row>
    <row r="87" ht="15.75" customHeight="1">
      <c r="A87" s="89"/>
      <c r="B87" s="89"/>
      <c r="C87" s="89"/>
      <c r="D87" s="89"/>
      <c r="E87" s="89"/>
      <c r="F87" s="89"/>
    </row>
    <row r="88" ht="15.75" customHeight="1">
      <c r="A88" s="89"/>
      <c r="B88" s="89"/>
      <c r="C88" s="89"/>
      <c r="D88" s="89"/>
      <c r="E88" s="89"/>
      <c r="F88" s="89"/>
    </row>
    <row r="89" ht="15.75" customHeight="1">
      <c r="A89" s="89"/>
      <c r="B89" s="89"/>
      <c r="C89" s="89"/>
      <c r="D89" s="89"/>
      <c r="E89" s="89"/>
      <c r="F89" s="89"/>
    </row>
    <row r="90" ht="15.75" customHeight="1">
      <c r="A90" s="89"/>
      <c r="B90" s="89"/>
      <c r="C90" s="89"/>
      <c r="D90" s="89"/>
      <c r="E90" s="89"/>
      <c r="F90" s="89"/>
    </row>
    <row r="91" ht="15.75" customHeight="1">
      <c r="A91" s="89"/>
      <c r="B91" s="89"/>
      <c r="C91" s="89"/>
      <c r="D91" s="89"/>
      <c r="E91" s="89"/>
      <c r="F91" s="89"/>
    </row>
    <row r="92" ht="15.75" customHeight="1">
      <c r="A92" s="89"/>
      <c r="B92" s="89"/>
      <c r="C92" s="89"/>
      <c r="D92" s="89"/>
      <c r="E92" s="89"/>
      <c r="F92" s="89"/>
    </row>
    <row r="93" ht="15.75" customHeight="1">
      <c r="A93" s="89"/>
      <c r="B93" s="89"/>
      <c r="C93" s="89"/>
      <c r="D93" s="89"/>
      <c r="E93" s="89"/>
      <c r="F93" s="89"/>
    </row>
    <row r="94" ht="15.75" customHeight="1">
      <c r="A94" s="89"/>
      <c r="B94" s="89"/>
      <c r="C94" s="89"/>
      <c r="D94" s="89"/>
      <c r="E94" s="89"/>
      <c r="F94" s="89"/>
    </row>
    <row r="95" ht="15.75" customHeight="1">
      <c r="A95" s="89"/>
      <c r="B95" s="89"/>
      <c r="C95" s="89"/>
      <c r="D95" s="89"/>
      <c r="E95" s="89"/>
      <c r="F95" s="89"/>
    </row>
    <row r="96" ht="15.75" customHeight="1">
      <c r="A96" s="89"/>
      <c r="B96" s="89"/>
      <c r="C96" s="89"/>
      <c r="D96" s="89"/>
      <c r="E96" s="89"/>
      <c r="F96" s="89"/>
    </row>
    <row r="97" ht="15.75" customHeight="1">
      <c r="A97" s="89"/>
      <c r="B97" s="89"/>
      <c r="C97" s="89"/>
      <c r="D97" s="89"/>
      <c r="E97" s="89"/>
      <c r="F97" s="89"/>
    </row>
    <row r="98" ht="15.75" customHeight="1">
      <c r="A98" s="89"/>
      <c r="B98" s="89"/>
      <c r="C98" s="89"/>
      <c r="D98" s="89"/>
      <c r="E98" s="89"/>
      <c r="F98" s="89"/>
    </row>
    <row r="99" ht="15.75" customHeight="1">
      <c r="A99" s="89"/>
      <c r="B99" s="89"/>
      <c r="C99" s="89"/>
      <c r="D99" s="89"/>
      <c r="E99" s="89"/>
      <c r="F99" s="89"/>
    </row>
    <row r="100" ht="15.75" customHeight="1">
      <c r="A100" s="89"/>
      <c r="B100" s="89"/>
      <c r="C100" s="89"/>
      <c r="D100" s="89"/>
      <c r="E100" s="89"/>
      <c r="F100" s="89"/>
    </row>
    <row r="101" ht="15.75" customHeight="1">
      <c r="A101" s="89"/>
      <c r="B101" s="89"/>
      <c r="C101" s="89"/>
      <c r="D101" s="89"/>
      <c r="E101" s="89"/>
      <c r="F101" s="89"/>
    </row>
    <row r="102" ht="15.75" customHeight="1">
      <c r="A102" s="89"/>
      <c r="B102" s="89"/>
      <c r="C102" s="89"/>
      <c r="D102" s="89"/>
      <c r="E102" s="89"/>
      <c r="F102" s="89"/>
    </row>
    <row r="103" ht="15.75" customHeight="1">
      <c r="A103" s="89"/>
      <c r="B103" s="89"/>
      <c r="C103" s="89"/>
      <c r="D103" s="89"/>
      <c r="E103" s="89"/>
      <c r="F103" s="89"/>
    </row>
    <row r="104" ht="15.75" customHeight="1">
      <c r="A104" s="89"/>
      <c r="B104" s="89"/>
      <c r="C104" s="89"/>
      <c r="D104" s="89"/>
      <c r="E104" s="89"/>
      <c r="F104" s="89"/>
    </row>
    <row r="105" ht="15.75" customHeight="1">
      <c r="A105" s="89"/>
      <c r="B105" s="89"/>
      <c r="C105" s="89"/>
      <c r="D105" s="89"/>
      <c r="E105" s="89"/>
      <c r="F105" s="89"/>
    </row>
    <row r="106" ht="15.75" customHeight="1">
      <c r="A106" s="89"/>
      <c r="B106" s="89"/>
      <c r="C106" s="89"/>
      <c r="D106" s="89"/>
      <c r="E106" s="89"/>
      <c r="F106" s="89"/>
    </row>
    <row r="107" ht="15.75" customHeight="1">
      <c r="A107" s="89"/>
      <c r="B107" s="89"/>
      <c r="C107" s="89"/>
      <c r="D107" s="89"/>
      <c r="E107" s="89"/>
      <c r="F107" s="89"/>
    </row>
    <row r="108" ht="15.75" customHeight="1">
      <c r="A108" s="89"/>
      <c r="B108" s="89"/>
      <c r="C108" s="89"/>
      <c r="D108" s="89"/>
      <c r="E108" s="89"/>
      <c r="F108" s="89"/>
    </row>
    <row r="109" ht="15.75" customHeight="1">
      <c r="A109" s="89"/>
      <c r="B109" s="89"/>
      <c r="C109" s="89"/>
      <c r="D109" s="89"/>
      <c r="E109" s="89"/>
      <c r="F109" s="89"/>
    </row>
    <row r="110" ht="15.75" customHeight="1">
      <c r="A110" s="89"/>
      <c r="B110" s="89"/>
      <c r="C110" s="89"/>
      <c r="D110" s="89"/>
      <c r="E110" s="89"/>
      <c r="F110" s="89"/>
    </row>
    <row r="111" ht="15.75" customHeight="1">
      <c r="A111" s="89"/>
      <c r="B111" s="89"/>
      <c r="C111" s="89"/>
      <c r="D111" s="89"/>
      <c r="E111" s="89"/>
      <c r="F111" s="89"/>
    </row>
    <row r="112" ht="15.75" customHeight="1">
      <c r="A112" s="89"/>
      <c r="B112" s="89"/>
      <c r="C112" s="89"/>
      <c r="D112" s="89"/>
      <c r="E112" s="89"/>
      <c r="F112" s="89"/>
    </row>
    <row r="113" ht="15.75" customHeight="1">
      <c r="A113" s="89"/>
      <c r="B113" s="89"/>
      <c r="C113" s="89"/>
      <c r="D113" s="89"/>
      <c r="E113" s="89"/>
      <c r="F113" s="89"/>
    </row>
    <row r="114" ht="15.75" customHeight="1">
      <c r="A114" s="89"/>
      <c r="B114" s="89"/>
      <c r="C114" s="89"/>
      <c r="D114" s="89"/>
      <c r="E114" s="89"/>
      <c r="F114" s="89"/>
    </row>
    <row r="115" ht="15.75" customHeight="1">
      <c r="A115" s="89"/>
      <c r="B115" s="89"/>
      <c r="C115" s="89"/>
      <c r="D115" s="89"/>
      <c r="E115" s="89"/>
      <c r="F115" s="89"/>
    </row>
    <row r="116" ht="15.75" customHeight="1">
      <c r="A116" s="89"/>
      <c r="B116" s="89"/>
      <c r="C116" s="89"/>
      <c r="D116" s="89"/>
      <c r="E116" s="89"/>
      <c r="F116" s="89"/>
    </row>
    <row r="117" ht="15.75" customHeight="1">
      <c r="A117" s="89"/>
      <c r="B117" s="89"/>
      <c r="C117" s="89"/>
      <c r="D117" s="89"/>
      <c r="E117" s="89"/>
      <c r="F117" s="89"/>
    </row>
    <row r="118" ht="15.75" customHeight="1">
      <c r="A118" s="89"/>
      <c r="B118" s="89"/>
      <c r="C118" s="89"/>
      <c r="D118" s="89"/>
      <c r="E118" s="89"/>
      <c r="F118" s="89"/>
    </row>
    <row r="119" ht="15.75" customHeight="1">
      <c r="A119" s="89"/>
      <c r="B119" s="89"/>
      <c r="C119" s="89"/>
      <c r="D119" s="89"/>
      <c r="E119" s="89"/>
      <c r="F119" s="89"/>
    </row>
    <row r="120" ht="15.75" customHeight="1">
      <c r="A120" s="89"/>
      <c r="B120" s="89"/>
      <c r="C120" s="89"/>
      <c r="D120" s="89"/>
      <c r="E120" s="89"/>
      <c r="F120" s="89"/>
    </row>
    <row r="121" ht="15.75" customHeight="1">
      <c r="A121" s="89"/>
      <c r="B121" s="89"/>
      <c r="C121" s="89"/>
      <c r="D121" s="89"/>
      <c r="E121" s="89"/>
      <c r="F121" s="89"/>
    </row>
    <row r="122" ht="15.75" customHeight="1">
      <c r="A122" s="89"/>
      <c r="B122" s="89"/>
      <c r="C122" s="89"/>
      <c r="D122" s="89"/>
      <c r="E122" s="89"/>
      <c r="F122" s="89"/>
    </row>
    <row r="123" ht="15.75" customHeight="1">
      <c r="A123" s="89"/>
      <c r="B123" s="89"/>
      <c r="C123" s="89"/>
      <c r="D123" s="89"/>
      <c r="E123" s="89"/>
      <c r="F123" s="89"/>
    </row>
    <row r="124" ht="15.75" customHeight="1">
      <c r="A124" s="89"/>
      <c r="B124" s="89"/>
      <c r="C124" s="89"/>
      <c r="D124" s="89"/>
      <c r="E124" s="89"/>
      <c r="F124" s="89"/>
    </row>
    <row r="125" ht="15.75" customHeight="1">
      <c r="A125" s="89"/>
      <c r="B125" s="89"/>
      <c r="C125" s="89"/>
      <c r="D125" s="89"/>
      <c r="E125" s="89"/>
      <c r="F125" s="89"/>
    </row>
    <row r="126" ht="15.75" customHeight="1">
      <c r="A126" s="89"/>
      <c r="B126" s="89"/>
      <c r="C126" s="89"/>
      <c r="D126" s="89"/>
      <c r="E126" s="89"/>
      <c r="F126" s="89"/>
    </row>
    <row r="127" ht="15.75" customHeight="1">
      <c r="A127" s="89"/>
      <c r="B127" s="89"/>
      <c r="C127" s="89"/>
      <c r="D127" s="89"/>
      <c r="E127" s="89"/>
      <c r="F127" s="89"/>
    </row>
    <row r="128" ht="15.75" customHeight="1">
      <c r="A128" s="89"/>
      <c r="B128" s="89"/>
      <c r="C128" s="89"/>
      <c r="D128" s="89"/>
      <c r="E128" s="89"/>
      <c r="F128" s="89"/>
    </row>
    <row r="129" ht="15.75" customHeight="1">
      <c r="A129" s="89"/>
      <c r="B129" s="89"/>
      <c r="C129" s="89"/>
      <c r="D129" s="89"/>
      <c r="E129" s="89"/>
      <c r="F129" s="89"/>
    </row>
    <row r="130" ht="15.75" customHeight="1">
      <c r="A130" s="89"/>
      <c r="B130" s="89"/>
      <c r="C130" s="89"/>
      <c r="D130" s="89"/>
      <c r="E130" s="89"/>
      <c r="F130" s="89"/>
    </row>
    <row r="131" ht="15.75" customHeight="1">
      <c r="A131" s="89"/>
      <c r="B131" s="89"/>
      <c r="C131" s="89"/>
      <c r="D131" s="89"/>
      <c r="E131" s="89"/>
      <c r="F131" s="89"/>
    </row>
    <row r="132" ht="15.75" customHeight="1">
      <c r="A132" s="89"/>
      <c r="B132" s="89"/>
      <c r="C132" s="89"/>
      <c r="D132" s="89"/>
      <c r="E132" s="89"/>
      <c r="F132" s="89"/>
    </row>
    <row r="133" ht="15.75" customHeight="1">
      <c r="A133" s="89"/>
      <c r="B133" s="89"/>
      <c r="C133" s="89"/>
      <c r="D133" s="89"/>
      <c r="E133" s="89"/>
      <c r="F133" s="89"/>
    </row>
    <row r="134" ht="15.75" customHeight="1">
      <c r="A134" s="89"/>
      <c r="B134" s="89"/>
      <c r="C134" s="89"/>
      <c r="D134" s="89"/>
      <c r="E134" s="89"/>
      <c r="F134" s="89"/>
    </row>
    <row r="135" ht="15.75" customHeight="1">
      <c r="A135" s="89"/>
      <c r="B135" s="89"/>
      <c r="C135" s="89"/>
      <c r="D135" s="89"/>
      <c r="E135" s="89"/>
      <c r="F135" s="89"/>
    </row>
    <row r="136" ht="15.75" customHeight="1">
      <c r="A136" s="89"/>
      <c r="B136" s="89"/>
      <c r="C136" s="89"/>
      <c r="D136" s="89"/>
      <c r="E136" s="89"/>
      <c r="F136" s="89"/>
    </row>
    <row r="137" ht="15.75" customHeight="1">
      <c r="A137" s="89"/>
      <c r="B137" s="89"/>
      <c r="C137" s="89"/>
      <c r="D137" s="89"/>
      <c r="E137" s="89"/>
      <c r="F137" s="89"/>
    </row>
    <row r="138" ht="15.75" customHeight="1">
      <c r="A138" s="89"/>
      <c r="B138" s="89"/>
      <c r="C138" s="89"/>
      <c r="D138" s="89"/>
      <c r="E138" s="89"/>
      <c r="F138" s="89"/>
    </row>
    <row r="139" ht="15.75" customHeight="1">
      <c r="A139" s="89"/>
      <c r="B139" s="89"/>
      <c r="C139" s="89"/>
      <c r="D139" s="89"/>
      <c r="E139" s="89"/>
      <c r="F139" s="89"/>
    </row>
    <row r="140" ht="15.75" customHeight="1">
      <c r="A140" s="89"/>
      <c r="B140" s="89"/>
      <c r="C140" s="89"/>
      <c r="D140" s="89"/>
      <c r="E140" s="89"/>
      <c r="F140" s="89"/>
    </row>
    <row r="141" ht="15.75" customHeight="1">
      <c r="A141" s="89"/>
      <c r="B141" s="89"/>
      <c r="C141" s="89"/>
      <c r="D141" s="89"/>
      <c r="E141" s="89"/>
      <c r="F141" s="89"/>
    </row>
    <row r="142" ht="15.75" customHeight="1">
      <c r="A142" s="89"/>
      <c r="B142" s="89"/>
      <c r="C142" s="89"/>
      <c r="D142" s="89"/>
      <c r="E142" s="89"/>
      <c r="F142" s="89"/>
    </row>
    <row r="143" ht="15.75" customHeight="1">
      <c r="A143" s="89"/>
      <c r="B143" s="89"/>
      <c r="C143" s="89"/>
      <c r="D143" s="89"/>
      <c r="E143" s="89"/>
      <c r="F143" s="89"/>
    </row>
    <row r="144" ht="15.75" customHeight="1">
      <c r="A144" s="89"/>
      <c r="B144" s="89"/>
      <c r="C144" s="89"/>
      <c r="D144" s="89"/>
      <c r="E144" s="89"/>
      <c r="F144" s="89"/>
    </row>
    <row r="145" ht="15.75" customHeight="1">
      <c r="A145" s="89"/>
      <c r="B145" s="89"/>
      <c r="C145" s="89"/>
      <c r="D145" s="89"/>
      <c r="E145" s="89"/>
      <c r="F145" s="89"/>
    </row>
    <row r="146" ht="15.75" customHeight="1">
      <c r="A146" s="89"/>
      <c r="B146" s="89"/>
      <c r="C146" s="89"/>
      <c r="D146" s="89"/>
      <c r="E146" s="89"/>
      <c r="F146" s="89"/>
    </row>
    <row r="147" ht="15.75" customHeight="1">
      <c r="A147" s="89"/>
      <c r="B147" s="89"/>
      <c r="C147" s="89"/>
      <c r="D147" s="89"/>
      <c r="E147" s="89"/>
      <c r="F147" s="89"/>
    </row>
    <row r="148" ht="15.75" customHeight="1">
      <c r="A148" s="89"/>
      <c r="B148" s="89"/>
      <c r="C148" s="89"/>
      <c r="D148" s="89"/>
      <c r="E148" s="89"/>
      <c r="F148" s="89"/>
    </row>
    <row r="149" ht="15.75" customHeight="1">
      <c r="A149" s="89"/>
      <c r="B149" s="89"/>
      <c r="C149" s="89"/>
      <c r="D149" s="89"/>
      <c r="E149" s="89"/>
      <c r="F149" s="89"/>
    </row>
    <row r="150" ht="15.75" customHeight="1">
      <c r="A150" s="89"/>
      <c r="B150" s="89"/>
      <c r="C150" s="89"/>
      <c r="D150" s="89"/>
      <c r="E150" s="89"/>
      <c r="F150" s="89"/>
    </row>
    <row r="151" ht="15.75" customHeight="1">
      <c r="A151" s="89"/>
      <c r="B151" s="89"/>
      <c r="C151" s="89"/>
      <c r="D151" s="89"/>
      <c r="E151" s="89"/>
      <c r="F151" s="89"/>
    </row>
    <row r="152" ht="15.75" customHeight="1">
      <c r="A152" s="89"/>
      <c r="B152" s="89"/>
      <c r="C152" s="89"/>
      <c r="D152" s="89"/>
      <c r="E152" s="89"/>
      <c r="F152" s="89"/>
    </row>
    <row r="153" ht="15.75" customHeight="1">
      <c r="A153" s="89"/>
      <c r="B153" s="89"/>
      <c r="C153" s="89"/>
      <c r="D153" s="89"/>
      <c r="E153" s="89"/>
      <c r="F153" s="89"/>
    </row>
    <row r="154" ht="15.75" customHeight="1">
      <c r="A154" s="89"/>
      <c r="B154" s="89"/>
      <c r="C154" s="89"/>
      <c r="D154" s="89"/>
      <c r="E154" s="89"/>
      <c r="F154" s="89"/>
    </row>
    <row r="155" ht="15.75" customHeight="1">
      <c r="A155" s="89"/>
      <c r="B155" s="89"/>
      <c r="C155" s="89"/>
      <c r="D155" s="89"/>
      <c r="E155" s="89"/>
      <c r="F155" s="89"/>
    </row>
    <row r="156" ht="15.75" customHeight="1">
      <c r="A156" s="89"/>
      <c r="B156" s="89"/>
      <c r="C156" s="89"/>
      <c r="D156" s="89"/>
      <c r="E156" s="89"/>
      <c r="F156" s="89"/>
    </row>
    <row r="157" ht="15.75" customHeight="1">
      <c r="A157" s="89"/>
      <c r="B157" s="89"/>
      <c r="C157" s="89"/>
      <c r="D157" s="89"/>
      <c r="E157" s="89"/>
      <c r="F157" s="89"/>
    </row>
    <row r="158" ht="15.75" customHeight="1">
      <c r="A158" s="89"/>
      <c r="B158" s="89"/>
      <c r="C158" s="89"/>
      <c r="D158" s="89"/>
      <c r="E158" s="89"/>
      <c r="F158" s="89"/>
    </row>
    <row r="159" ht="15.75" customHeight="1">
      <c r="A159" s="89"/>
      <c r="B159" s="89"/>
      <c r="C159" s="89"/>
      <c r="D159" s="89"/>
      <c r="E159" s="89"/>
      <c r="F159" s="89"/>
    </row>
    <row r="160" ht="15.75" customHeight="1">
      <c r="A160" s="89"/>
      <c r="B160" s="89"/>
      <c r="C160" s="89"/>
      <c r="D160" s="89"/>
      <c r="E160" s="89"/>
      <c r="F160" s="89"/>
    </row>
    <row r="161" ht="15.75" customHeight="1">
      <c r="A161" s="89"/>
      <c r="B161" s="89"/>
      <c r="C161" s="89"/>
      <c r="D161" s="89"/>
      <c r="E161" s="89"/>
      <c r="F161" s="89"/>
    </row>
    <row r="162" ht="15.75" customHeight="1">
      <c r="A162" s="89"/>
      <c r="B162" s="89"/>
      <c r="C162" s="89"/>
      <c r="D162" s="89"/>
      <c r="E162" s="89"/>
      <c r="F162" s="89"/>
    </row>
    <row r="163" ht="15.75" customHeight="1">
      <c r="A163" s="89"/>
      <c r="B163" s="89"/>
      <c r="C163" s="89"/>
      <c r="D163" s="89"/>
      <c r="E163" s="89"/>
      <c r="F163" s="89"/>
    </row>
    <row r="164" ht="15.75" customHeight="1">
      <c r="A164" s="89"/>
      <c r="B164" s="89"/>
      <c r="C164" s="89"/>
      <c r="D164" s="89"/>
      <c r="E164" s="89"/>
      <c r="F164" s="89"/>
    </row>
    <row r="165" ht="15.75" customHeight="1">
      <c r="A165" s="89"/>
      <c r="B165" s="89"/>
      <c r="C165" s="89"/>
      <c r="D165" s="89"/>
      <c r="E165" s="89"/>
      <c r="F165" s="89"/>
    </row>
    <row r="166" ht="15.75" customHeight="1">
      <c r="A166" s="89"/>
      <c r="B166" s="89"/>
      <c r="C166" s="89"/>
      <c r="D166" s="89"/>
      <c r="E166" s="89"/>
      <c r="F166" s="89"/>
    </row>
    <row r="167" ht="15.75" customHeight="1">
      <c r="A167" s="89"/>
      <c r="B167" s="89"/>
      <c r="C167" s="89"/>
      <c r="D167" s="89"/>
      <c r="E167" s="89"/>
      <c r="F167" s="89"/>
    </row>
    <row r="168" ht="15.75" customHeight="1">
      <c r="A168" s="89"/>
      <c r="B168" s="89"/>
      <c r="C168" s="89"/>
      <c r="D168" s="89"/>
      <c r="E168" s="89"/>
      <c r="F168" s="89"/>
    </row>
    <row r="169" ht="15.75" customHeight="1">
      <c r="A169" s="89"/>
      <c r="B169" s="89"/>
      <c r="C169" s="89"/>
      <c r="D169" s="89"/>
      <c r="E169" s="89"/>
      <c r="F169" s="89"/>
    </row>
    <row r="170" ht="15.75" customHeight="1">
      <c r="A170" s="89"/>
      <c r="B170" s="89"/>
      <c r="C170" s="89"/>
      <c r="D170" s="89"/>
      <c r="E170" s="89"/>
      <c r="F170" s="89"/>
    </row>
    <row r="171" ht="15.75" customHeight="1">
      <c r="A171" s="89"/>
      <c r="B171" s="89"/>
      <c r="C171" s="89"/>
      <c r="D171" s="89"/>
      <c r="E171" s="89"/>
      <c r="F171" s="89"/>
    </row>
    <row r="172" ht="15.75" customHeight="1">
      <c r="A172" s="89"/>
      <c r="B172" s="89"/>
      <c r="C172" s="89"/>
      <c r="D172" s="89"/>
      <c r="E172" s="89"/>
      <c r="F172" s="89"/>
    </row>
    <row r="173" ht="15.75" customHeight="1">
      <c r="A173" s="89"/>
      <c r="B173" s="89"/>
      <c r="C173" s="89"/>
      <c r="D173" s="89"/>
      <c r="E173" s="89"/>
      <c r="F173" s="89"/>
    </row>
    <row r="174" ht="15.75" customHeight="1">
      <c r="A174" s="89"/>
      <c r="B174" s="89"/>
      <c r="C174" s="89"/>
      <c r="D174" s="89"/>
      <c r="E174" s="89"/>
      <c r="F174" s="89"/>
    </row>
    <row r="175" ht="15.75" customHeight="1">
      <c r="A175" s="89"/>
      <c r="B175" s="89"/>
      <c r="C175" s="89"/>
      <c r="D175" s="89"/>
      <c r="E175" s="89"/>
      <c r="F175" s="89"/>
    </row>
    <row r="176" ht="15.75" customHeight="1">
      <c r="A176" s="89"/>
      <c r="B176" s="89"/>
      <c r="C176" s="89"/>
      <c r="D176" s="89"/>
      <c r="E176" s="89"/>
      <c r="F176" s="89"/>
    </row>
    <row r="177" ht="15.75" customHeight="1">
      <c r="A177" s="89"/>
      <c r="B177" s="89"/>
      <c r="C177" s="89"/>
      <c r="D177" s="89"/>
      <c r="E177" s="89"/>
      <c r="F177" s="89"/>
    </row>
    <row r="178" ht="15.75" customHeight="1">
      <c r="A178" s="89"/>
      <c r="B178" s="89"/>
      <c r="C178" s="89"/>
      <c r="D178" s="89"/>
      <c r="E178" s="89"/>
      <c r="F178" s="89"/>
    </row>
    <row r="179" ht="15.75" customHeight="1">
      <c r="A179" s="89"/>
      <c r="B179" s="89"/>
      <c r="C179" s="89"/>
      <c r="D179" s="89"/>
      <c r="E179" s="89"/>
      <c r="F179" s="89"/>
    </row>
    <row r="180" ht="15.75" customHeight="1">
      <c r="A180" s="89"/>
      <c r="B180" s="89"/>
      <c r="C180" s="89"/>
      <c r="D180" s="89"/>
      <c r="E180" s="89"/>
      <c r="F180" s="89"/>
    </row>
    <row r="181" ht="15.75" customHeight="1">
      <c r="A181" s="89"/>
      <c r="B181" s="89"/>
      <c r="C181" s="89"/>
      <c r="D181" s="89"/>
      <c r="E181" s="89"/>
      <c r="F181" s="89"/>
    </row>
    <row r="182" ht="15.75" customHeight="1">
      <c r="A182" s="89"/>
      <c r="B182" s="89"/>
      <c r="C182" s="89"/>
      <c r="D182" s="89"/>
      <c r="E182" s="89"/>
      <c r="F182" s="89"/>
    </row>
    <row r="183" ht="15.75" customHeight="1">
      <c r="A183" s="89"/>
      <c r="B183" s="89"/>
      <c r="C183" s="89"/>
      <c r="D183" s="89"/>
      <c r="E183" s="89"/>
      <c r="F183" s="89"/>
    </row>
    <row r="184" ht="15.75" customHeight="1">
      <c r="A184" s="89"/>
      <c r="B184" s="89"/>
      <c r="C184" s="89"/>
      <c r="D184" s="89"/>
      <c r="E184" s="89"/>
      <c r="F184" s="89"/>
    </row>
    <row r="185" ht="15.75" customHeight="1">
      <c r="A185" s="89"/>
      <c r="B185" s="89"/>
      <c r="C185" s="89"/>
      <c r="D185" s="89"/>
      <c r="E185" s="89"/>
      <c r="F185" s="89"/>
    </row>
    <row r="186" ht="15.75" customHeight="1">
      <c r="A186" s="89"/>
      <c r="B186" s="89"/>
      <c r="C186" s="89"/>
      <c r="D186" s="89"/>
      <c r="E186" s="89"/>
      <c r="F186" s="89"/>
    </row>
    <row r="187" ht="15.75" customHeight="1">
      <c r="A187" s="89"/>
      <c r="B187" s="89"/>
      <c r="C187" s="89"/>
      <c r="D187" s="89"/>
      <c r="E187" s="89"/>
      <c r="F187" s="89"/>
    </row>
    <row r="188" ht="15.75" customHeight="1">
      <c r="A188" s="89"/>
      <c r="B188" s="89"/>
      <c r="C188" s="89"/>
      <c r="D188" s="89"/>
      <c r="E188" s="89"/>
      <c r="F188" s="89"/>
    </row>
    <row r="189" ht="15.75" customHeight="1">
      <c r="A189" s="89"/>
      <c r="B189" s="89"/>
      <c r="C189" s="89"/>
      <c r="D189" s="89"/>
      <c r="E189" s="89"/>
      <c r="F189" s="89"/>
    </row>
    <row r="190" ht="15.75" customHeight="1">
      <c r="A190" s="89"/>
      <c r="B190" s="89"/>
      <c r="C190" s="89"/>
      <c r="D190" s="89"/>
      <c r="E190" s="89"/>
      <c r="F190" s="89"/>
    </row>
    <row r="191" ht="15.75" customHeight="1">
      <c r="A191" s="89"/>
      <c r="B191" s="89"/>
      <c r="C191" s="89"/>
      <c r="D191" s="89"/>
      <c r="E191" s="89"/>
      <c r="F191" s="89"/>
    </row>
    <row r="192" ht="15.75" customHeight="1">
      <c r="A192" s="89"/>
      <c r="B192" s="89"/>
      <c r="C192" s="89"/>
      <c r="D192" s="89"/>
      <c r="E192" s="89"/>
      <c r="F192" s="89"/>
    </row>
    <row r="193" ht="15.75" customHeight="1">
      <c r="A193" s="89"/>
      <c r="B193" s="89"/>
      <c r="C193" s="89"/>
      <c r="D193" s="89"/>
      <c r="E193" s="89"/>
      <c r="F193" s="89"/>
    </row>
    <row r="194" ht="15.75" customHeight="1">
      <c r="A194" s="89"/>
      <c r="B194" s="89"/>
      <c r="C194" s="89"/>
      <c r="D194" s="89"/>
      <c r="E194" s="89"/>
      <c r="F194" s="89"/>
    </row>
    <row r="195" ht="15.75" customHeight="1">
      <c r="A195" s="89"/>
      <c r="B195" s="89"/>
      <c r="C195" s="89"/>
      <c r="D195" s="89"/>
      <c r="E195" s="89"/>
      <c r="F195" s="89"/>
    </row>
    <row r="196" ht="15.75" customHeight="1">
      <c r="A196" s="89"/>
      <c r="B196" s="89"/>
      <c r="C196" s="89"/>
      <c r="D196" s="89"/>
      <c r="E196" s="89"/>
      <c r="F196" s="89"/>
    </row>
    <row r="197" ht="15.75" customHeight="1">
      <c r="A197" s="89"/>
      <c r="B197" s="89"/>
      <c r="C197" s="89"/>
      <c r="D197" s="89"/>
      <c r="E197" s="89"/>
      <c r="F197" s="89"/>
    </row>
    <row r="198" ht="15.75" customHeight="1">
      <c r="A198" s="89"/>
      <c r="B198" s="89"/>
      <c r="C198" s="89"/>
      <c r="D198" s="89"/>
      <c r="E198" s="89"/>
      <c r="F198" s="89"/>
    </row>
    <row r="199" ht="15.75" customHeight="1">
      <c r="A199" s="89"/>
      <c r="B199" s="89"/>
      <c r="C199" s="89"/>
      <c r="D199" s="89"/>
      <c r="E199" s="89"/>
      <c r="F199" s="89"/>
    </row>
    <row r="200" ht="15.75" customHeight="1">
      <c r="A200" s="89"/>
      <c r="B200" s="89"/>
      <c r="C200" s="89"/>
      <c r="D200" s="89"/>
      <c r="E200" s="89"/>
      <c r="F200" s="89"/>
    </row>
    <row r="201" ht="15.75" customHeight="1">
      <c r="A201" s="89"/>
      <c r="B201" s="89"/>
      <c r="C201" s="89"/>
      <c r="D201" s="89"/>
      <c r="E201" s="89"/>
      <c r="F201" s="89"/>
    </row>
    <row r="202" ht="15.75" customHeight="1">
      <c r="A202" s="89"/>
      <c r="B202" s="89"/>
      <c r="C202" s="89"/>
      <c r="D202" s="89"/>
      <c r="E202" s="89"/>
      <c r="F202" s="89"/>
    </row>
    <row r="203" ht="15.75" customHeight="1">
      <c r="A203" s="89"/>
      <c r="B203" s="89"/>
      <c r="C203" s="89"/>
      <c r="D203" s="89"/>
      <c r="E203" s="89"/>
      <c r="F203" s="89"/>
    </row>
    <row r="204" ht="15.75" customHeight="1">
      <c r="A204" s="89"/>
      <c r="B204" s="89"/>
      <c r="C204" s="89"/>
      <c r="D204" s="89"/>
      <c r="E204" s="89"/>
      <c r="F204" s="89"/>
    </row>
    <row r="205" ht="15.75" customHeight="1">
      <c r="A205" s="89"/>
      <c r="B205" s="89"/>
      <c r="C205" s="89"/>
      <c r="D205" s="89"/>
      <c r="E205" s="89"/>
      <c r="F205" s="89"/>
    </row>
    <row r="206" ht="15.75" customHeight="1">
      <c r="A206" s="89"/>
      <c r="B206" s="89"/>
      <c r="C206" s="89"/>
      <c r="D206" s="89"/>
      <c r="E206" s="89"/>
      <c r="F206" s="89"/>
    </row>
    <row r="207" ht="15.75" customHeight="1">
      <c r="A207" s="89"/>
      <c r="B207" s="89"/>
      <c r="C207" s="89"/>
      <c r="D207" s="89"/>
      <c r="E207" s="89"/>
      <c r="F207" s="89"/>
    </row>
    <row r="208" ht="15.75" customHeight="1">
      <c r="A208" s="89"/>
      <c r="B208" s="89"/>
      <c r="C208" s="89"/>
      <c r="D208" s="89"/>
      <c r="E208" s="89"/>
      <c r="F208" s="89"/>
    </row>
    <row r="209" ht="15.75" customHeight="1">
      <c r="A209" s="89"/>
      <c r="B209" s="89"/>
      <c r="C209" s="89"/>
      <c r="D209" s="89"/>
      <c r="E209" s="89"/>
      <c r="F209" s="89"/>
    </row>
    <row r="210" ht="15.75" customHeight="1">
      <c r="A210" s="89"/>
      <c r="B210" s="89"/>
      <c r="C210" s="89"/>
      <c r="D210" s="89"/>
      <c r="E210" s="89"/>
      <c r="F210" s="89"/>
    </row>
    <row r="211" ht="15.75" customHeight="1">
      <c r="A211" s="89"/>
      <c r="B211" s="89"/>
      <c r="C211" s="89"/>
      <c r="D211" s="89"/>
      <c r="E211" s="89"/>
      <c r="F211" s="89"/>
    </row>
    <row r="212" ht="15.75" customHeight="1">
      <c r="A212" s="89"/>
      <c r="B212" s="89"/>
      <c r="C212" s="89"/>
      <c r="D212" s="89"/>
      <c r="E212" s="89"/>
      <c r="F212" s="89"/>
    </row>
    <row r="213" ht="15.75" customHeight="1">
      <c r="A213" s="89"/>
      <c r="B213" s="89"/>
      <c r="C213" s="89"/>
      <c r="D213" s="89"/>
      <c r="E213" s="89"/>
      <c r="F213" s="89"/>
    </row>
    <row r="214" ht="15.75" customHeight="1">
      <c r="A214" s="89"/>
      <c r="B214" s="89"/>
      <c r="C214" s="89"/>
      <c r="D214" s="89"/>
      <c r="E214" s="89"/>
      <c r="F214" s="89"/>
    </row>
    <row r="215" ht="15.75" customHeight="1">
      <c r="A215" s="89"/>
      <c r="B215" s="89"/>
      <c r="C215" s="89"/>
      <c r="D215" s="89"/>
      <c r="E215" s="89"/>
      <c r="F215" s="89"/>
    </row>
    <row r="216" ht="15.75" customHeight="1">
      <c r="A216" s="89"/>
      <c r="B216" s="89"/>
      <c r="C216" s="89"/>
      <c r="D216" s="89"/>
      <c r="E216" s="89"/>
      <c r="F216" s="89"/>
    </row>
    <row r="217" ht="15.75" customHeight="1">
      <c r="A217" s="89"/>
      <c r="B217" s="89"/>
      <c r="C217" s="89"/>
      <c r="D217" s="89"/>
      <c r="E217" s="89"/>
      <c r="F217" s="89"/>
    </row>
    <row r="218" ht="15.75" customHeight="1">
      <c r="A218" s="89"/>
      <c r="B218" s="89"/>
      <c r="C218" s="89"/>
      <c r="D218" s="89"/>
      <c r="E218" s="89"/>
      <c r="F218" s="89"/>
    </row>
    <row r="219" ht="15.75" customHeight="1">
      <c r="A219" s="89"/>
      <c r="B219" s="89"/>
      <c r="C219" s="89"/>
      <c r="D219" s="89"/>
      <c r="E219" s="89"/>
      <c r="F219" s="89"/>
    </row>
    <row r="220" ht="15.75" customHeight="1">
      <c r="A220" s="89"/>
      <c r="B220" s="89"/>
      <c r="C220" s="89"/>
      <c r="D220" s="89"/>
      <c r="E220" s="89"/>
      <c r="F220" s="89"/>
    </row>
    <row r="221" ht="15.75" customHeight="1">
      <c r="A221" s="89"/>
      <c r="B221" s="89"/>
      <c r="C221" s="89"/>
      <c r="D221" s="89"/>
      <c r="E221" s="89"/>
      <c r="F221" s="89"/>
    </row>
    <row r="222" ht="15.75" customHeight="1">
      <c r="A222" s="89"/>
      <c r="B222" s="89"/>
      <c r="C222" s="89"/>
      <c r="D222" s="89"/>
      <c r="E222" s="89"/>
      <c r="F222" s="89"/>
    </row>
    <row r="223" ht="15.75" customHeight="1">
      <c r="A223" s="89"/>
      <c r="B223" s="89"/>
      <c r="C223" s="89"/>
      <c r="D223" s="89"/>
      <c r="E223" s="89"/>
      <c r="F223" s="89"/>
    </row>
    <row r="224" ht="15.75" customHeight="1">
      <c r="A224" s="89"/>
      <c r="B224" s="89"/>
      <c r="C224" s="89"/>
      <c r="D224" s="89"/>
      <c r="E224" s="89"/>
      <c r="F224" s="89"/>
    </row>
    <row r="225" ht="15.75" customHeight="1">
      <c r="A225" s="89"/>
      <c r="B225" s="89"/>
      <c r="C225" s="89"/>
      <c r="D225" s="89"/>
      <c r="E225" s="89"/>
      <c r="F225" s="89"/>
    </row>
    <row r="226" ht="15.75" customHeight="1">
      <c r="A226" s="89"/>
      <c r="B226" s="89"/>
      <c r="C226" s="89"/>
      <c r="D226" s="89"/>
      <c r="E226" s="89"/>
      <c r="F226" s="89"/>
    </row>
    <row r="227" ht="15.75" customHeight="1">
      <c r="A227" s="89"/>
      <c r="B227" s="89"/>
      <c r="C227" s="89"/>
      <c r="D227" s="89"/>
      <c r="E227" s="89"/>
      <c r="F227" s="89"/>
    </row>
    <row r="228" ht="15.75" customHeight="1">
      <c r="A228" s="89"/>
      <c r="B228" s="89"/>
      <c r="C228" s="89"/>
      <c r="D228" s="89"/>
      <c r="E228" s="89"/>
      <c r="F228" s="89"/>
    </row>
    <row r="229" ht="15.75" customHeight="1">
      <c r="A229" s="89"/>
      <c r="B229" s="89"/>
      <c r="C229" s="89"/>
      <c r="D229" s="89"/>
      <c r="E229" s="89"/>
      <c r="F229" s="89"/>
    </row>
    <row r="230" ht="15.75" customHeight="1">
      <c r="A230" s="89"/>
      <c r="B230" s="89"/>
      <c r="C230" s="89"/>
      <c r="D230" s="89"/>
      <c r="E230" s="89"/>
      <c r="F230" s="89"/>
    </row>
    <row r="231" ht="15.75" customHeight="1">
      <c r="A231" s="89"/>
      <c r="B231" s="89"/>
      <c r="C231" s="89"/>
      <c r="D231" s="89"/>
      <c r="E231" s="89"/>
      <c r="F231" s="89"/>
    </row>
    <row r="232" ht="15.75" customHeight="1">
      <c r="A232" s="89"/>
      <c r="B232" s="89"/>
      <c r="C232" s="89"/>
      <c r="D232" s="89"/>
      <c r="E232" s="89"/>
      <c r="F232" s="89"/>
    </row>
    <row r="233" ht="15.75" customHeight="1">
      <c r="A233" s="89"/>
      <c r="B233" s="89"/>
      <c r="C233" s="89"/>
      <c r="D233" s="89"/>
      <c r="E233" s="89"/>
      <c r="F233" s="89"/>
    </row>
    <row r="234" ht="15.75" customHeight="1">
      <c r="A234" s="89"/>
      <c r="B234" s="89"/>
      <c r="C234" s="89"/>
      <c r="D234" s="89"/>
      <c r="E234" s="89"/>
      <c r="F234" s="89"/>
    </row>
    <row r="235" ht="15.75" customHeight="1">
      <c r="A235" s="89"/>
      <c r="B235" s="89"/>
      <c r="C235" s="89"/>
      <c r="D235" s="89"/>
      <c r="E235" s="89"/>
      <c r="F235" s="89"/>
    </row>
    <row r="236" ht="15.75" customHeight="1">
      <c r="A236" s="89"/>
      <c r="B236" s="89"/>
      <c r="C236" s="89"/>
      <c r="D236" s="89"/>
      <c r="E236" s="89"/>
      <c r="F236" s="89"/>
    </row>
    <row r="237" ht="15.75" customHeight="1">
      <c r="A237" s="89"/>
      <c r="B237" s="89"/>
      <c r="C237" s="89"/>
      <c r="D237" s="89"/>
      <c r="E237" s="89"/>
      <c r="F237" s="89"/>
    </row>
    <row r="238" ht="15.75" customHeight="1">
      <c r="A238" s="89"/>
      <c r="B238" s="89"/>
      <c r="C238" s="89"/>
      <c r="D238" s="89"/>
      <c r="E238" s="89"/>
      <c r="F238" s="89"/>
    </row>
    <row r="239" ht="15.75" customHeight="1">
      <c r="A239" s="89"/>
      <c r="B239" s="89"/>
      <c r="C239" s="89"/>
      <c r="D239" s="89"/>
      <c r="E239" s="89"/>
      <c r="F239" s="89"/>
    </row>
    <row r="240" ht="15.75" customHeight="1">
      <c r="A240" s="89"/>
      <c r="B240" s="89"/>
      <c r="C240" s="89"/>
      <c r="D240" s="89"/>
      <c r="E240" s="89"/>
      <c r="F240" s="89"/>
    </row>
    <row r="241" ht="15.75" customHeight="1">
      <c r="A241" s="89"/>
      <c r="B241" s="89"/>
      <c r="C241" s="89"/>
      <c r="D241" s="89"/>
      <c r="E241" s="89"/>
      <c r="F241" s="89"/>
    </row>
    <row r="242" ht="15.75" customHeight="1">
      <c r="A242" s="89"/>
      <c r="B242" s="89"/>
      <c r="C242" s="89"/>
      <c r="D242" s="89"/>
      <c r="E242" s="89"/>
      <c r="F242" s="89"/>
    </row>
    <row r="243" ht="15.75" customHeight="1">
      <c r="A243" s="89"/>
      <c r="B243" s="89"/>
      <c r="C243" s="89"/>
      <c r="D243" s="89"/>
      <c r="E243" s="89"/>
      <c r="F243" s="89"/>
    </row>
    <row r="244" ht="15.75" customHeight="1">
      <c r="A244" s="89"/>
      <c r="B244" s="89"/>
      <c r="C244" s="89"/>
      <c r="D244" s="89"/>
      <c r="E244" s="89"/>
      <c r="F244" s="89"/>
    </row>
    <row r="245" ht="15.75" customHeight="1">
      <c r="A245" s="89"/>
      <c r="B245" s="89"/>
      <c r="C245" s="89"/>
      <c r="D245" s="89"/>
      <c r="E245" s="89"/>
      <c r="F245" s="89"/>
    </row>
    <row r="246" ht="15.75" customHeight="1">
      <c r="A246" s="89"/>
      <c r="B246" s="89"/>
      <c r="C246" s="89"/>
      <c r="D246" s="89"/>
      <c r="E246" s="89"/>
      <c r="F246" s="89"/>
    </row>
    <row r="247" ht="15.75" customHeight="1">
      <c r="A247" s="89"/>
      <c r="B247" s="89"/>
      <c r="C247" s="89"/>
      <c r="D247" s="89"/>
      <c r="E247" s="89"/>
      <c r="F247" s="89"/>
    </row>
    <row r="248" ht="15.75" customHeight="1">
      <c r="A248" s="89"/>
      <c r="B248" s="89"/>
      <c r="C248" s="89"/>
      <c r="D248" s="89"/>
      <c r="E248" s="89"/>
      <c r="F248" s="89"/>
    </row>
    <row r="249" ht="15.75" customHeight="1">
      <c r="A249" s="89"/>
      <c r="B249" s="89"/>
      <c r="C249" s="89"/>
      <c r="D249" s="89"/>
      <c r="E249" s="89"/>
      <c r="F249" s="89"/>
    </row>
    <row r="250" ht="15.75" customHeight="1">
      <c r="A250" s="89"/>
      <c r="B250" s="89"/>
      <c r="C250" s="89"/>
      <c r="D250" s="89"/>
      <c r="E250" s="89"/>
      <c r="F250" s="89"/>
    </row>
    <row r="251" ht="15.75" customHeight="1">
      <c r="A251" s="89"/>
      <c r="B251" s="89"/>
      <c r="C251" s="89"/>
      <c r="D251" s="89"/>
      <c r="E251" s="89"/>
      <c r="F251" s="89"/>
    </row>
    <row r="252" ht="15.75" customHeight="1">
      <c r="A252" s="89"/>
      <c r="B252" s="89"/>
      <c r="C252" s="89"/>
      <c r="D252" s="89"/>
      <c r="E252" s="89"/>
      <c r="F252" s="89"/>
    </row>
    <row r="253" ht="15.75" customHeight="1">
      <c r="A253" s="89"/>
      <c r="B253" s="89"/>
      <c r="C253" s="89"/>
      <c r="D253" s="89"/>
      <c r="E253" s="89"/>
      <c r="F253" s="89"/>
    </row>
    <row r="254" ht="15.75" customHeight="1">
      <c r="A254" s="89"/>
      <c r="B254" s="89"/>
      <c r="C254" s="89"/>
      <c r="D254" s="89"/>
      <c r="E254" s="89"/>
      <c r="F254" s="89"/>
    </row>
    <row r="255" ht="15.75" customHeight="1">
      <c r="A255" s="89"/>
      <c r="B255" s="89"/>
      <c r="C255" s="89"/>
      <c r="D255" s="89"/>
      <c r="E255" s="89"/>
      <c r="F255" s="89"/>
    </row>
    <row r="256" ht="15.75" customHeight="1">
      <c r="A256" s="89"/>
      <c r="B256" s="89"/>
      <c r="C256" s="89"/>
      <c r="D256" s="89"/>
      <c r="E256" s="89"/>
      <c r="F256" s="89"/>
    </row>
    <row r="257" ht="15.75" customHeight="1">
      <c r="A257" s="89"/>
      <c r="B257" s="89"/>
      <c r="C257" s="89"/>
      <c r="D257" s="89"/>
      <c r="E257" s="89"/>
      <c r="F257" s="89"/>
    </row>
    <row r="258" ht="15.75" customHeight="1">
      <c r="A258" s="89"/>
      <c r="B258" s="89"/>
      <c r="C258" s="89"/>
      <c r="D258" s="89"/>
      <c r="E258" s="89"/>
      <c r="F258" s="89"/>
    </row>
    <row r="259" ht="15.75" customHeight="1">
      <c r="A259" s="89"/>
      <c r="B259" s="89"/>
      <c r="C259" s="89"/>
      <c r="D259" s="89"/>
      <c r="E259" s="89"/>
      <c r="F259" s="89"/>
    </row>
    <row r="260" ht="15.75" customHeight="1">
      <c r="A260" s="89"/>
      <c r="B260" s="89"/>
      <c r="C260" s="89"/>
      <c r="D260" s="89"/>
      <c r="E260" s="89"/>
      <c r="F260" s="89"/>
    </row>
    <row r="261" ht="15.75" customHeight="1">
      <c r="A261" s="89"/>
      <c r="B261" s="89"/>
      <c r="C261" s="89"/>
      <c r="D261" s="89"/>
      <c r="E261" s="89"/>
      <c r="F261" s="89"/>
    </row>
    <row r="262" ht="15.75" customHeight="1">
      <c r="A262" s="89"/>
      <c r="B262" s="89"/>
      <c r="C262" s="89"/>
      <c r="D262" s="89"/>
      <c r="E262" s="89"/>
      <c r="F262" s="89"/>
    </row>
    <row r="263" ht="15.75" customHeight="1">
      <c r="A263" s="89"/>
      <c r="B263" s="89"/>
      <c r="C263" s="89"/>
      <c r="D263" s="89"/>
      <c r="E263" s="89"/>
      <c r="F263" s="89"/>
    </row>
    <row r="264" ht="15.75" customHeight="1">
      <c r="A264" s="89"/>
      <c r="B264" s="89"/>
      <c r="C264" s="89"/>
      <c r="D264" s="89"/>
      <c r="E264" s="89"/>
      <c r="F264" s="89"/>
    </row>
    <row r="265" ht="15.75" customHeight="1">
      <c r="A265" s="89"/>
      <c r="B265" s="89"/>
      <c r="C265" s="89"/>
      <c r="D265" s="89"/>
      <c r="E265" s="89"/>
      <c r="F265" s="89"/>
    </row>
    <row r="266" ht="15.75" customHeight="1">
      <c r="A266" s="89"/>
      <c r="B266" s="89"/>
      <c r="C266" s="89"/>
      <c r="D266" s="89"/>
      <c r="E266" s="89"/>
      <c r="F266" s="89"/>
    </row>
    <row r="267" ht="15.75" customHeight="1">
      <c r="A267" s="89"/>
      <c r="B267" s="89"/>
      <c r="C267" s="89"/>
      <c r="D267" s="89"/>
      <c r="E267" s="89"/>
      <c r="F267" s="89"/>
    </row>
    <row r="268" ht="15.75" customHeight="1">
      <c r="A268" s="89"/>
      <c r="B268" s="89"/>
      <c r="C268" s="89"/>
      <c r="D268" s="89"/>
      <c r="E268" s="89"/>
      <c r="F268" s="89"/>
    </row>
    <row r="269" ht="15.75" customHeight="1">
      <c r="A269" s="89"/>
      <c r="B269" s="89"/>
      <c r="C269" s="89"/>
      <c r="D269" s="89"/>
      <c r="E269" s="89"/>
      <c r="F269" s="89"/>
    </row>
    <row r="270" ht="15.75" customHeight="1">
      <c r="A270" s="89"/>
      <c r="B270" s="89"/>
      <c r="C270" s="89"/>
      <c r="D270" s="89"/>
      <c r="E270" s="89"/>
      <c r="F270" s="89"/>
    </row>
    <row r="271" ht="15.75" customHeight="1">
      <c r="A271" s="89"/>
      <c r="B271" s="89"/>
      <c r="C271" s="89"/>
      <c r="D271" s="89"/>
      <c r="E271" s="89"/>
      <c r="F271" s="89"/>
    </row>
    <row r="272" ht="15.75" customHeight="1">
      <c r="A272" s="89"/>
      <c r="B272" s="89"/>
      <c r="C272" s="89"/>
      <c r="D272" s="89"/>
      <c r="E272" s="89"/>
      <c r="F272" s="89"/>
    </row>
    <row r="273" ht="15.75" customHeight="1">
      <c r="A273" s="89"/>
      <c r="B273" s="89"/>
      <c r="C273" s="89"/>
      <c r="D273" s="89"/>
      <c r="E273" s="89"/>
      <c r="F273" s="89"/>
    </row>
    <row r="274" ht="15.75" customHeight="1">
      <c r="A274" s="89"/>
      <c r="B274" s="89"/>
      <c r="C274" s="89"/>
      <c r="D274" s="89"/>
      <c r="E274" s="89"/>
      <c r="F274" s="89"/>
    </row>
    <row r="275" ht="15.75" customHeight="1">
      <c r="A275" s="89"/>
      <c r="B275" s="89"/>
      <c r="C275" s="89"/>
      <c r="D275" s="89"/>
      <c r="E275" s="89"/>
      <c r="F275" s="89"/>
    </row>
    <row r="276" ht="15.75" customHeight="1">
      <c r="A276" s="89"/>
      <c r="B276" s="89"/>
      <c r="C276" s="89"/>
      <c r="D276" s="89"/>
      <c r="E276" s="89"/>
      <c r="F276" s="89"/>
    </row>
    <row r="277" ht="15.75" customHeight="1">
      <c r="A277" s="89"/>
      <c r="B277" s="89"/>
      <c r="C277" s="89"/>
      <c r="D277" s="89"/>
      <c r="E277" s="89"/>
      <c r="F277" s="89"/>
    </row>
    <row r="278" ht="15.75" customHeight="1">
      <c r="A278" s="89"/>
      <c r="B278" s="89"/>
      <c r="C278" s="89"/>
      <c r="D278" s="89"/>
      <c r="E278" s="89"/>
      <c r="F278" s="89"/>
    </row>
    <row r="279" ht="15.75" customHeight="1">
      <c r="A279" s="89"/>
      <c r="B279" s="89"/>
      <c r="C279" s="89"/>
      <c r="D279" s="89"/>
      <c r="E279" s="89"/>
      <c r="F279" s="89"/>
    </row>
    <row r="280" ht="15.75" customHeight="1">
      <c r="A280" s="89"/>
      <c r="B280" s="89"/>
      <c r="C280" s="89"/>
      <c r="D280" s="89"/>
      <c r="E280" s="89"/>
      <c r="F280" s="89"/>
    </row>
    <row r="281" ht="15.75" customHeight="1">
      <c r="A281" s="89"/>
      <c r="B281" s="89"/>
      <c r="C281" s="89"/>
      <c r="D281" s="89"/>
      <c r="E281" s="89"/>
      <c r="F281" s="89"/>
    </row>
    <row r="282" ht="15.75" customHeight="1">
      <c r="A282" s="89"/>
      <c r="B282" s="89"/>
      <c r="C282" s="89"/>
      <c r="D282" s="89"/>
      <c r="E282" s="89"/>
      <c r="F282" s="89"/>
    </row>
    <row r="283" ht="15.75" customHeight="1">
      <c r="A283" s="89"/>
      <c r="B283" s="89"/>
      <c r="C283" s="89"/>
      <c r="D283" s="89"/>
      <c r="E283" s="89"/>
      <c r="F283" s="89"/>
    </row>
    <row r="284" ht="15.75" customHeight="1">
      <c r="A284" s="89"/>
      <c r="B284" s="89"/>
      <c r="C284" s="89"/>
      <c r="D284" s="89"/>
      <c r="E284" s="89"/>
      <c r="F284" s="89"/>
    </row>
    <row r="285" ht="15.75" customHeight="1">
      <c r="A285" s="89"/>
      <c r="B285" s="89"/>
      <c r="C285" s="89"/>
      <c r="D285" s="89"/>
      <c r="E285" s="89"/>
      <c r="F285" s="89"/>
    </row>
    <row r="286" ht="15.75" customHeight="1">
      <c r="A286" s="89"/>
      <c r="B286" s="89"/>
      <c r="C286" s="89"/>
      <c r="D286" s="89"/>
      <c r="E286" s="89"/>
      <c r="F286" s="89"/>
    </row>
    <row r="287" ht="15.75" customHeight="1">
      <c r="A287" s="89"/>
      <c r="B287" s="89"/>
      <c r="C287" s="89"/>
      <c r="D287" s="89"/>
      <c r="E287" s="89"/>
      <c r="F287" s="89"/>
    </row>
    <row r="288" ht="15.75" customHeight="1">
      <c r="A288" s="89"/>
      <c r="B288" s="89"/>
      <c r="C288" s="89"/>
      <c r="D288" s="89"/>
      <c r="E288" s="89"/>
      <c r="F288" s="89"/>
    </row>
    <row r="289" ht="15.75" customHeight="1">
      <c r="A289" s="89"/>
      <c r="B289" s="89"/>
      <c r="C289" s="89"/>
      <c r="D289" s="89"/>
      <c r="E289" s="89"/>
      <c r="F289" s="89"/>
    </row>
    <row r="290" ht="15.75" customHeight="1">
      <c r="A290" s="89"/>
      <c r="B290" s="89"/>
      <c r="C290" s="89"/>
      <c r="D290" s="89"/>
      <c r="E290" s="89"/>
      <c r="F290" s="89"/>
    </row>
    <row r="291" ht="15.75" customHeight="1">
      <c r="A291" s="89"/>
      <c r="B291" s="89"/>
      <c r="C291" s="89"/>
      <c r="D291" s="89"/>
      <c r="E291" s="89"/>
      <c r="F291" s="89"/>
    </row>
    <row r="292" ht="15.75" customHeight="1">
      <c r="A292" s="89"/>
      <c r="B292" s="89"/>
      <c r="C292" s="89"/>
      <c r="D292" s="89"/>
      <c r="E292" s="89"/>
      <c r="F292" s="89"/>
    </row>
    <row r="293" ht="15.75" customHeight="1">
      <c r="A293" s="89"/>
      <c r="B293" s="89"/>
      <c r="C293" s="89"/>
      <c r="D293" s="89"/>
      <c r="E293" s="89"/>
      <c r="F293" s="89"/>
    </row>
    <row r="294" ht="15.75" customHeight="1">
      <c r="A294" s="89"/>
      <c r="B294" s="89"/>
      <c r="C294" s="89"/>
      <c r="D294" s="89"/>
      <c r="E294" s="89"/>
      <c r="F294" s="89"/>
    </row>
    <row r="295" ht="15.75" customHeight="1">
      <c r="A295" s="89"/>
      <c r="B295" s="89"/>
      <c r="C295" s="89"/>
      <c r="D295" s="89"/>
      <c r="E295" s="89"/>
      <c r="F295" s="89"/>
    </row>
    <row r="296" ht="15.75" customHeight="1">
      <c r="A296" s="89"/>
      <c r="B296" s="89"/>
      <c r="C296" s="89"/>
      <c r="D296" s="89"/>
      <c r="E296" s="89"/>
      <c r="F296" s="89"/>
    </row>
    <row r="297" ht="15.75" customHeight="1">
      <c r="A297" s="89"/>
      <c r="B297" s="89"/>
      <c r="C297" s="89"/>
      <c r="D297" s="89"/>
      <c r="E297" s="89"/>
      <c r="F297" s="89"/>
    </row>
    <row r="298" ht="15.75" customHeight="1">
      <c r="A298" s="89"/>
      <c r="B298" s="89"/>
      <c r="C298" s="89"/>
      <c r="D298" s="89"/>
      <c r="E298" s="89"/>
      <c r="F298" s="89"/>
    </row>
    <row r="299" ht="15.75" customHeight="1">
      <c r="A299" s="89"/>
      <c r="B299" s="89"/>
      <c r="C299" s="89"/>
      <c r="D299" s="89"/>
      <c r="E299" s="89"/>
      <c r="F299" s="89"/>
    </row>
    <row r="300" ht="15.75" customHeight="1">
      <c r="A300" s="89"/>
      <c r="B300" s="89"/>
      <c r="C300" s="89"/>
      <c r="D300" s="89"/>
      <c r="E300" s="89"/>
      <c r="F300" s="89"/>
    </row>
    <row r="301" ht="15.75" customHeight="1">
      <c r="A301" s="89"/>
      <c r="B301" s="89"/>
      <c r="C301" s="89"/>
      <c r="D301" s="89"/>
      <c r="E301" s="89"/>
      <c r="F301" s="89"/>
    </row>
    <row r="302" ht="15.75" customHeight="1">
      <c r="A302" s="89"/>
      <c r="B302" s="89"/>
      <c r="C302" s="89"/>
      <c r="D302" s="89"/>
      <c r="E302" s="89"/>
      <c r="F302" s="89"/>
    </row>
    <row r="303" ht="15.75" customHeight="1">
      <c r="A303" s="89"/>
      <c r="B303" s="89"/>
      <c r="C303" s="89"/>
      <c r="D303" s="89"/>
      <c r="E303" s="89"/>
      <c r="F303" s="89"/>
    </row>
    <row r="304" ht="15.75" customHeight="1">
      <c r="A304" s="89"/>
      <c r="B304" s="89"/>
      <c r="C304" s="89"/>
      <c r="D304" s="89"/>
      <c r="E304" s="89"/>
      <c r="F304" s="89"/>
    </row>
    <row r="305" ht="15.75" customHeight="1">
      <c r="A305" s="89"/>
      <c r="B305" s="89"/>
      <c r="C305" s="89"/>
      <c r="D305" s="89"/>
      <c r="E305" s="89"/>
      <c r="F305" s="89"/>
    </row>
    <row r="306" ht="15.75" customHeight="1">
      <c r="A306" s="89"/>
      <c r="B306" s="89"/>
      <c r="C306" s="89"/>
      <c r="D306" s="89"/>
      <c r="E306" s="89"/>
      <c r="F306" s="89"/>
    </row>
    <row r="307" ht="15.75" customHeight="1">
      <c r="A307" s="89"/>
      <c r="B307" s="89"/>
      <c r="C307" s="89"/>
      <c r="D307" s="89"/>
      <c r="E307" s="89"/>
      <c r="F307" s="89"/>
    </row>
    <row r="308" ht="15.75" customHeight="1">
      <c r="A308" s="89"/>
      <c r="B308" s="89"/>
      <c r="C308" s="89"/>
      <c r="D308" s="89"/>
      <c r="E308" s="89"/>
      <c r="F308" s="89"/>
    </row>
    <row r="309" ht="15.75" customHeight="1">
      <c r="A309" s="89"/>
      <c r="B309" s="89"/>
      <c r="C309" s="89"/>
      <c r="D309" s="89"/>
      <c r="E309" s="89"/>
      <c r="F309" s="89"/>
    </row>
    <row r="310" ht="15.75" customHeight="1">
      <c r="A310" s="89"/>
      <c r="B310" s="89"/>
      <c r="C310" s="89"/>
      <c r="D310" s="89"/>
      <c r="E310" s="89"/>
      <c r="F310" s="89"/>
    </row>
    <row r="311" ht="15.75" customHeight="1">
      <c r="A311" s="89"/>
      <c r="B311" s="89"/>
      <c r="C311" s="89"/>
      <c r="D311" s="89"/>
      <c r="E311" s="89"/>
      <c r="F311" s="89"/>
    </row>
    <row r="312" ht="15.75" customHeight="1">
      <c r="A312" s="89"/>
      <c r="B312" s="89"/>
      <c r="C312" s="89"/>
      <c r="D312" s="89"/>
      <c r="E312" s="89"/>
      <c r="F312" s="89"/>
    </row>
    <row r="313" ht="15.75" customHeight="1">
      <c r="A313" s="89"/>
      <c r="B313" s="89"/>
      <c r="C313" s="89"/>
      <c r="D313" s="89"/>
      <c r="E313" s="89"/>
      <c r="F313" s="89"/>
    </row>
    <row r="314" ht="15.75" customHeight="1">
      <c r="A314" s="89"/>
      <c r="B314" s="89"/>
      <c r="C314" s="89"/>
      <c r="D314" s="89"/>
      <c r="E314" s="89"/>
      <c r="F314" s="89"/>
    </row>
    <row r="315" ht="15.75" customHeight="1">
      <c r="A315" s="89"/>
      <c r="B315" s="89"/>
      <c r="C315" s="89"/>
      <c r="D315" s="89"/>
      <c r="E315" s="89"/>
      <c r="F315" s="89"/>
    </row>
    <row r="316" ht="15.75" customHeight="1">
      <c r="A316" s="89"/>
      <c r="B316" s="89"/>
      <c r="C316" s="89"/>
      <c r="D316" s="89"/>
      <c r="E316" s="89"/>
      <c r="F316" s="89"/>
    </row>
    <row r="317" ht="15.75" customHeight="1">
      <c r="A317" s="89"/>
      <c r="B317" s="89"/>
      <c r="C317" s="89"/>
      <c r="D317" s="89"/>
      <c r="E317" s="89"/>
      <c r="F317" s="89"/>
    </row>
    <row r="318" ht="15.75" customHeight="1">
      <c r="A318" s="89"/>
      <c r="B318" s="89"/>
      <c r="C318" s="89"/>
      <c r="D318" s="89"/>
      <c r="E318" s="89"/>
      <c r="F318" s="89"/>
    </row>
    <row r="319" ht="15.75" customHeight="1">
      <c r="A319" s="89"/>
      <c r="B319" s="89"/>
      <c r="C319" s="89"/>
      <c r="D319" s="89"/>
      <c r="E319" s="89"/>
      <c r="F319" s="89"/>
    </row>
    <row r="320" ht="15.75" customHeight="1">
      <c r="A320" s="89"/>
      <c r="B320" s="89"/>
      <c r="C320" s="89"/>
      <c r="D320" s="89"/>
      <c r="E320" s="89"/>
      <c r="F320" s="89"/>
    </row>
    <row r="321" ht="15.75" customHeight="1">
      <c r="A321" s="89"/>
      <c r="B321" s="89"/>
      <c r="C321" s="89"/>
      <c r="D321" s="89"/>
      <c r="E321" s="89"/>
      <c r="F321" s="89"/>
    </row>
    <row r="322" ht="15.75" customHeight="1">
      <c r="A322" s="89"/>
      <c r="B322" s="89"/>
      <c r="C322" s="89"/>
      <c r="D322" s="89"/>
      <c r="E322" s="89"/>
      <c r="F322" s="89"/>
    </row>
    <row r="323" ht="15.75" customHeight="1">
      <c r="A323" s="89"/>
      <c r="B323" s="89"/>
      <c r="C323" s="89"/>
      <c r="D323" s="89"/>
      <c r="E323" s="89"/>
      <c r="F323" s="89"/>
    </row>
    <row r="324" ht="15.75" customHeight="1">
      <c r="A324" s="89"/>
      <c r="B324" s="89"/>
      <c r="C324" s="89"/>
      <c r="D324" s="89"/>
      <c r="E324" s="89"/>
      <c r="F324" s="89"/>
    </row>
    <row r="325" ht="15.75" customHeight="1">
      <c r="A325" s="89"/>
      <c r="B325" s="89"/>
      <c r="C325" s="89"/>
      <c r="D325" s="89"/>
      <c r="E325" s="89"/>
      <c r="F325" s="89"/>
    </row>
    <row r="326" ht="15.75" customHeight="1">
      <c r="A326" s="89"/>
      <c r="B326" s="89"/>
      <c r="C326" s="89"/>
      <c r="D326" s="89"/>
      <c r="E326" s="89"/>
      <c r="F326" s="89"/>
    </row>
    <row r="327" ht="15.75" customHeight="1">
      <c r="A327" s="89"/>
      <c r="B327" s="89"/>
      <c r="C327" s="89"/>
      <c r="D327" s="89"/>
      <c r="E327" s="89"/>
      <c r="F327" s="89"/>
    </row>
    <row r="328" ht="15.75" customHeight="1">
      <c r="A328" s="89"/>
      <c r="B328" s="89"/>
      <c r="C328" s="89"/>
      <c r="D328" s="89"/>
      <c r="E328" s="89"/>
      <c r="F328" s="89"/>
    </row>
    <row r="329" ht="15.75" customHeight="1">
      <c r="A329" s="89"/>
      <c r="B329" s="89"/>
      <c r="C329" s="89"/>
      <c r="D329" s="89"/>
      <c r="E329" s="89"/>
      <c r="F329" s="89"/>
    </row>
    <row r="330" ht="15.75" customHeight="1">
      <c r="A330" s="89"/>
      <c r="B330" s="89"/>
      <c r="C330" s="89"/>
      <c r="D330" s="89"/>
      <c r="E330" s="89"/>
      <c r="F330" s="89"/>
    </row>
    <row r="331" ht="15.75" customHeight="1">
      <c r="A331" s="89"/>
      <c r="B331" s="89"/>
      <c r="C331" s="89"/>
      <c r="D331" s="89"/>
      <c r="E331" s="89"/>
      <c r="F331" s="89"/>
    </row>
    <row r="332" ht="15.75" customHeight="1">
      <c r="A332" s="89"/>
      <c r="B332" s="89"/>
      <c r="C332" s="89"/>
      <c r="D332" s="89"/>
      <c r="E332" s="89"/>
      <c r="F332" s="89"/>
    </row>
    <row r="333" ht="15.75" customHeight="1">
      <c r="A333" s="89"/>
      <c r="B333" s="89"/>
      <c r="C333" s="89"/>
      <c r="D333" s="89"/>
      <c r="E333" s="89"/>
      <c r="F333" s="89"/>
    </row>
    <row r="334" ht="15.75" customHeight="1">
      <c r="A334" s="89"/>
      <c r="B334" s="89"/>
      <c r="C334" s="89"/>
      <c r="D334" s="89"/>
      <c r="E334" s="89"/>
      <c r="F334" s="89"/>
    </row>
    <row r="335" ht="15.75" customHeight="1">
      <c r="A335" s="89"/>
      <c r="B335" s="89"/>
      <c r="C335" s="89"/>
      <c r="D335" s="89"/>
      <c r="E335" s="89"/>
      <c r="F335" s="89"/>
    </row>
    <row r="336" ht="15.75" customHeight="1">
      <c r="A336" s="89"/>
      <c r="B336" s="89"/>
      <c r="C336" s="89"/>
      <c r="D336" s="89"/>
      <c r="E336" s="89"/>
      <c r="F336" s="89"/>
    </row>
    <row r="337" ht="15.75" customHeight="1">
      <c r="A337" s="89"/>
      <c r="B337" s="89"/>
      <c r="C337" s="89"/>
      <c r="D337" s="89"/>
      <c r="E337" s="89"/>
      <c r="F337" s="89"/>
    </row>
    <row r="338" ht="15.75" customHeight="1">
      <c r="A338" s="89"/>
      <c r="B338" s="89"/>
      <c r="C338" s="89"/>
      <c r="D338" s="89"/>
      <c r="E338" s="89"/>
      <c r="F338" s="89"/>
    </row>
    <row r="339" ht="15.75" customHeight="1">
      <c r="A339" s="89"/>
      <c r="B339" s="89"/>
      <c r="C339" s="89"/>
      <c r="D339" s="89"/>
      <c r="E339" s="89"/>
      <c r="F339" s="89"/>
    </row>
    <row r="340" ht="15.75" customHeight="1">
      <c r="A340" s="89"/>
      <c r="B340" s="89"/>
      <c r="C340" s="89"/>
      <c r="D340" s="89"/>
      <c r="E340" s="89"/>
      <c r="F340" s="89"/>
    </row>
    <row r="341" ht="15.75" customHeight="1">
      <c r="A341" s="89"/>
      <c r="B341" s="89"/>
      <c r="C341" s="89"/>
      <c r="D341" s="89"/>
      <c r="E341" s="89"/>
      <c r="F341" s="89"/>
    </row>
    <row r="342" ht="15.75" customHeight="1">
      <c r="A342" s="89"/>
      <c r="B342" s="89"/>
      <c r="C342" s="89"/>
      <c r="D342" s="89"/>
      <c r="E342" s="89"/>
      <c r="F342" s="89"/>
    </row>
    <row r="343" ht="15.75" customHeight="1">
      <c r="A343" s="89"/>
      <c r="B343" s="89"/>
      <c r="C343" s="89"/>
      <c r="D343" s="89"/>
      <c r="E343" s="89"/>
      <c r="F343" s="89"/>
    </row>
    <row r="344" ht="15.75" customHeight="1">
      <c r="A344" s="89"/>
      <c r="B344" s="89"/>
      <c r="C344" s="89"/>
      <c r="D344" s="89"/>
      <c r="E344" s="89"/>
      <c r="F344" s="89"/>
    </row>
    <row r="345" ht="15.75" customHeight="1">
      <c r="A345" s="89"/>
      <c r="B345" s="89"/>
      <c r="C345" s="89"/>
      <c r="D345" s="89"/>
      <c r="E345" s="89"/>
      <c r="F345" s="89"/>
    </row>
    <row r="346" ht="15.75" customHeight="1">
      <c r="A346" s="89"/>
      <c r="B346" s="89"/>
      <c r="C346" s="89"/>
      <c r="D346" s="89"/>
      <c r="E346" s="89"/>
      <c r="F346" s="89"/>
    </row>
    <row r="347" ht="15.75" customHeight="1">
      <c r="A347" s="89"/>
      <c r="B347" s="89"/>
      <c r="C347" s="89"/>
      <c r="D347" s="89"/>
      <c r="E347" s="89"/>
      <c r="F347" s="89"/>
    </row>
    <row r="348" ht="15.75" customHeight="1">
      <c r="A348" s="89"/>
      <c r="B348" s="89"/>
      <c r="C348" s="89"/>
      <c r="D348" s="89"/>
      <c r="E348" s="89"/>
      <c r="F348" s="89"/>
    </row>
    <row r="349" ht="15.75" customHeight="1">
      <c r="A349" s="89"/>
      <c r="B349" s="89"/>
      <c r="C349" s="89"/>
      <c r="D349" s="89"/>
      <c r="E349" s="89"/>
      <c r="F349" s="89"/>
    </row>
    <row r="350" ht="15.75" customHeight="1">
      <c r="A350" s="89"/>
      <c r="B350" s="89"/>
      <c r="C350" s="89"/>
      <c r="D350" s="89"/>
      <c r="E350" s="89"/>
      <c r="F350" s="89"/>
    </row>
    <row r="351" ht="15.75" customHeight="1">
      <c r="A351" s="89"/>
      <c r="B351" s="89"/>
      <c r="C351" s="89"/>
      <c r="D351" s="89"/>
      <c r="E351" s="89"/>
      <c r="F351" s="89"/>
    </row>
    <row r="352" ht="15.75" customHeight="1">
      <c r="A352" s="89"/>
      <c r="B352" s="89"/>
      <c r="C352" s="89"/>
      <c r="D352" s="89"/>
      <c r="E352" s="89"/>
      <c r="F352" s="89"/>
    </row>
    <row r="353" ht="15.75" customHeight="1">
      <c r="A353" s="89"/>
      <c r="B353" s="89"/>
      <c r="C353" s="89"/>
      <c r="D353" s="89"/>
      <c r="E353" s="89"/>
      <c r="F353" s="89"/>
    </row>
    <row r="354" ht="15.75" customHeight="1">
      <c r="A354" s="89"/>
      <c r="B354" s="89"/>
      <c r="C354" s="89"/>
      <c r="D354" s="89"/>
      <c r="E354" s="89"/>
      <c r="F354" s="89"/>
    </row>
    <row r="355" ht="15.75" customHeight="1">
      <c r="A355" s="89"/>
      <c r="B355" s="89"/>
      <c r="C355" s="89"/>
      <c r="D355" s="89"/>
      <c r="E355" s="89"/>
      <c r="F355" s="89"/>
    </row>
    <row r="356" ht="15.75" customHeight="1">
      <c r="A356" s="89"/>
      <c r="B356" s="89"/>
      <c r="C356" s="89"/>
      <c r="D356" s="89"/>
      <c r="E356" s="89"/>
      <c r="F356" s="89"/>
    </row>
    <row r="357" ht="15.75" customHeight="1">
      <c r="A357" s="89"/>
      <c r="B357" s="89"/>
      <c r="C357" s="89"/>
      <c r="D357" s="89"/>
      <c r="E357" s="89"/>
      <c r="F357" s="89"/>
    </row>
    <row r="358" ht="15.75" customHeight="1">
      <c r="A358" s="89"/>
      <c r="B358" s="89"/>
      <c r="C358" s="89"/>
      <c r="D358" s="89"/>
      <c r="E358" s="89"/>
      <c r="F358" s="89"/>
    </row>
    <row r="359" ht="15.75" customHeight="1">
      <c r="A359" s="89"/>
      <c r="B359" s="89"/>
      <c r="C359" s="89"/>
      <c r="D359" s="89"/>
      <c r="E359" s="89"/>
      <c r="F359" s="89"/>
    </row>
    <row r="360" ht="15.75" customHeight="1">
      <c r="A360" s="89"/>
      <c r="B360" s="89"/>
      <c r="C360" s="89"/>
      <c r="D360" s="89"/>
      <c r="E360" s="89"/>
      <c r="F360" s="89"/>
    </row>
    <row r="361" ht="15.75" customHeight="1">
      <c r="A361" s="89"/>
      <c r="B361" s="89"/>
      <c r="C361" s="89"/>
      <c r="D361" s="89"/>
      <c r="E361" s="89"/>
      <c r="F361" s="89"/>
    </row>
    <row r="362" ht="15.75" customHeight="1">
      <c r="A362" s="89"/>
      <c r="B362" s="89"/>
      <c r="C362" s="89"/>
      <c r="D362" s="89"/>
      <c r="E362" s="89"/>
      <c r="F362" s="89"/>
    </row>
    <row r="363" ht="15.75" customHeight="1">
      <c r="A363" s="89"/>
      <c r="B363" s="89"/>
      <c r="C363" s="89"/>
      <c r="D363" s="89"/>
      <c r="E363" s="89"/>
      <c r="F363" s="89"/>
    </row>
    <row r="364" ht="15.75" customHeight="1">
      <c r="A364" s="89"/>
      <c r="B364" s="89"/>
      <c r="C364" s="89"/>
      <c r="D364" s="89"/>
      <c r="E364" s="89"/>
      <c r="F364" s="89"/>
    </row>
    <row r="365" ht="15.75" customHeight="1">
      <c r="A365" s="89"/>
      <c r="B365" s="89"/>
      <c r="C365" s="89"/>
      <c r="D365" s="89"/>
      <c r="E365" s="89"/>
      <c r="F365" s="89"/>
    </row>
    <row r="366" ht="15.75" customHeight="1">
      <c r="A366" s="89"/>
      <c r="B366" s="89"/>
      <c r="C366" s="89"/>
      <c r="D366" s="89"/>
      <c r="E366" s="89"/>
      <c r="F366" s="89"/>
    </row>
    <row r="367" ht="15.75" customHeight="1">
      <c r="A367" s="89"/>
      <c r="B367" s="89"/>
      <c r="C367" s="89"/>
      <c r="D367" s="89"/>
      <c r="E367" s="89"/>
      <c r="F367" s="89"/>
    </row>
    <row r="368" ht="15.75" customHeight="1">
      <c r="A368" s="89"/>
      <c r="B368" s="89"/>
      <c r="C368" s="89"/>
      <c r="D368" s="89"/>
      <c r="E368" s="89"/>
      <c r="F368" s="89"/>
    </row>
    <row r="369" ht="15.75" customHeight="1">
      <c r="A369" s="89"/>
      <c r="B369" s="89"/>
      <c r="C369" s="89"/>
      <c r="D369" s="89"/>
      <c r="E369" s="89"/>
      <c r="F369" s="89"/>
    </row>
    <row r="370" ht="15.75" customHeight="1">
      <c r="A370" s="89"/>
      <c r="B370" s="89"/>
      <c r="C370" s="89"/>
      <c r="D370" s="89"/>
      <c r="E370" s="89"/>
      <c r="F370" s="89"/>
    </row>
    <row r="371" ht="15.75" customHeight="1">
      <c r="A371" s="89"/>
      <c r="B371" s="89"/>
      <c r="C371" s="89"/>
      <c r="D371" s="89"/>
      <c r="E371" s="89"/>
      <c r="F371" s="89"/>
    </row>
    <row r="372" ht="15.75" customHeight="1">
      <c r="A372" s="89"/>
      <c r="B372" s="89"/>
      <c r="C372" s="89"/>
      <c r="D372" s="89"/>
      <c r="E372" s="89"/>
      <c r="F372" s="89"/>
    </row>
    <row r="373" ht="15.75" customHeight="1">
      <c r="A373" s="89"/>
      <c r="B373" s="89"/>
      <c r="C373" s="89"/>
      <c r="D373" s="89"/>
      <c r="E373" s="89"/>
      <c r="F373" s="89"/>
    </row>
    <row r="374" ht="15.75" customHeight="1">
      <c r="A374" s="89"/>
      <c r="B374" s="89"/>
      <c r="C374" s="89"/>
      <c r="D374" s="89"/>
      <c r="E374" s="89"/>
      <c r="F374" s="89"/>
    </row>
    <row r="375" ht="15.75" customHeight="1">
      <c r="A375" s="89"/>
      <c r="B375" s="89"/>
      <c r="C375" s="89"/>
      <c r="D375" s="89"/>
      <c r="E375" s="89"/>
      <c r="F375" s="89"/>
    </row>
    <row r="376" ht="15.75" customHeight="1">
      <c r="A376" s="89"/>
      <c r="B376" s="89"/>
      <c r="C376" s="89"/>
      <c r="D376" s="89"/>
      <c r="E376" s="89"/>
      <c r="F376" s="89"/>
    </row>
    <row r="377" ht="15.75" customHeight="1">
      <c r="A377" s="89"/>
      <c r="B377" s="89"/>
      <c r="C377" s="89"/>
      <c r="D377" s="89"/>
      <c r="E377" s="89"/>
      <c r="F377" s="89"/>
    </row>
    <row r="378" ht="15.75" customHeight="1">
      <c r="A378" s="89"/>
      <c r="B378" s="89"/>
      <c r="C378" s="89"/>
      <c r="D378" s="89"/>
      <c r="E378" s="89"/>
      <c r="F378" s="89"/>
    </row>
    <row r="379" ht="15.75" customHeight="1">
      <c r="A379" s="89"/>
      <c r="B379" s="89"/>
      <c r="C379" s="89"/>
      <c r="D379" s="89"/>
      <c r="E379" s="89"/>
      <c r="F379" s="89"/>
    </row>
    <row r="380" ht="15.75" customHeight="1">
      <c r="A380" s="89"/>
      <c r="B380" s="89"/>
      <c r="C380" s="89"/>
      <c r="D380" s="89"/>
      <c r="E380" s="89"/>
      <c r="F380" s="89"/>
    </row>
    <row r="381" ht="15.75" customHeight="1">
      <c r="A381" s="89"/>
      <c r="B381" s="89"/>
      <c r="C381" s="89"/>
      <c r="D381" s="89"/>
      <c r="E381" s="89"/>
      <c r="F381" s="89"/>
    </row>
    <row r="382" ht="15.75" customHeight="1">
      <c r="A382" s="89"/>
      <c r="B382" s="89"/>
      <c r="C382" s="89"/>
      <c r="D382" s="89"/>
      <c r="E382" s="89"/>
      <c r="F382" s="89"/>
    </row>
    <row r="383" ht="15.75" customHeight="1">
      <c r="A383" s="89"/>
      <c r="B383" s="89"/>
      <c r="C383" s="89"/>
      <c r="D383" s="89"/>
      <c r="E383" s="89"/>
      <c r="F383" s="89"/>
    </row>
    <row r="384" ht="15.75" customHeight="1">
      <c r="A384" s="89"/>
      <c r="B384" s="89"/>
      <c r="C384" s="89"/>
      <c r="D384" s="89"/>
      <c r="E384" s="89"/>
      <c r="F384" s="89"/>
    </row>
    <row r="385" ht="15.75" customHeight="1">
      <c r="A385" s="89"/>
      <c r="B385" s="89"/>
      <c r="C385" s="89"/>
      <c r="D385" s="89"/>
      <c r="E385" s="89"/>
      <c r="F385" s="89"/>
    </row>
    <row r="386" ht="15.75" customHeight="1">
      <c r="A386" s="89"/>
      <c r="B386" s="89"/>
      <c r="C386" s="89"/>
      <c r="D386" s="89"/>
      <c r="E386" s="89"/>
      <c r="F386" s="89"/>
    </row>
    <row r="387" ht="15.75" customHeight="1">
      <c r="A387" s="89"/>
      <c r="B387" s="89"/>
      <c r="C387" s="89"/>
      <c r="D387" s="89"/>
      <c r="E387" s="89"/>
      <c r="F387" s="89"/>
    </row>
    <row r="388" ht="15.75" customHeight="1">
      <c r="A388" s="89"/>
      <c r="B388" s="89"/>
      <c r="C388" s="89"/>
      <c r="D388" s="89"/>
      <c r="E388" s="89"/>
      <c r="F388" s="89"/>
    </row>
    <row r="389" ht="15.75" customHeight="1">
      <c r="A389" s="89"/>
      <c r="B389" s="89"/>
      <c r="C389" s="89"/>
      <c r="D389" s="89"/>
      <c r="E389" s="89"/>
      <c r="F389" s="89"/>
    </row>
    <row r="390" ht="15.75" customHeight="1">
      <c r="A390" s="89"/>
      <c r="B390" s="89"/>
      <c r="C390" s="89"/>
      <c r="D390" s="89"/>
      <c r="E390" s="89"/>
      <c r="F390" s="89"/>
    </row>
    <row r="391" ht="15.75" customHeight="1">
      <c r="A391" s="89"/>
      <c r="B391" s="89"/>
      <c r="C391" s="89"/>
      <c r="D391" s="89"/>
      <c r="E391" s="89"/>
      <c r="F391" s="89"/>
    </row>
    <row r="392" ht="15.75" customHeight="1">
      <c r="A392" s="89"/>
      <c r="B392" s="89"/>
      <c r="C392" s="89"/>
      <c r="D392" s="89"/>
      <c r="E392" s="89"/>
      <c r="F392" s="89"/>
    </row>
    <row r="393" ht="15.75" customHeight="1">
      <c r="A393" s="89"/>
      <c r="B393" s="89"/>
      <c r="C393" s="89"/>
      <c r="D393" s="89"/>
      <c r="E393" s="89"/>
      <c r="F393" s="89"/>
    </row>
    <row r="394" ht="15.75" customHeight="1">
      <c r="A394" s="89"/>
      <c r="B394" s="89"/>
      <c r="C394" s="89"/>
      <c r="D394" s="89"/>
      <c r="E394" s="89"/>
      <c r="F394" s="89"/>
    </row>
    <row r="395" ht="15.75" customHeight="1">
      <c r="A395" s="89"/>
      <c r="B395" s="89"/>
      <c r="C395" s="89"/>
      <c r="D395" s="89"/>
      <c r="E395" s="89"/>
      <c r="F395" s="89"/>
    </row>
    <row r="396" ht="15.75" customHeight="1">
      <c r="A396" s="89"/>
      <c r="B396" s="89"/>
      <c r="C396" s="89"/>
      <c r="D396" s="89"/>
      <c r="E396" s="89"/>
      <c r="F396" s="89"/>
    </row>
    <row r="397" ht="15.75" customHeight="1">
      <c r="A397" s="89"/>
      <c r="B397" s="89"/>
      <c r="C397" s="89"/>
      <c r="D397" s="89"/>
      <c r="E397" s="89"/>
      <c r="F397" s="89"/>
    </row>
    <row r="398" ht="15.75" customHeight="1">
      <c r="A398" s="89"/>
      <c r="B398" s="89"/>
      <c r="C398" s="89"/>
      <c r="D398" s="89"/>
      <c r="E398" s="89"/>
      <c r="F398" s="89"/>
    </row>
    <row r="399" ht="15.75" customHeight="1">
      <c r="A399" s="89"/>
      <c r="B399" s="89"/>
      <c r="C399" s="89"/>
      <c r="D399" s="89"/>
      <c r="E399" s="89"/>
      <c r="F399" s="89"/>
    </row>
    <row r="400" ht="15.75" customHeight="1">
      <c r="A400" s="89"/>
      <c r="B400" s="89"/>
      <c r="C400" s="89"/>
      <c r="D400" s="89"/>
      <c r="E400" s="89"/>
      <c r="F400" s="89"/>
    </row>
    <row r="401" ht="15.75" customHeight="1">
      <c r="A401" s="89"/>
      <c r="B401" s="89"/>
      <c r="C401" s="89"/>
      <c r="D401" s="89"/>
      <c r="E401" s="89"/>
      <c r="F401" s="89"/>
    </row>
    <row r="402" ht="15.75" customHeight="1">
      <c r="A402" s="89"/>
      <c r="B402" s="89"/>
      <c r="C402" s="89"/>
      <c r="D402" s="89"/>
      <c r="E402" s="89"/>
      <c r="F402" s="89"/>
    </row>
    <row r="403" ht="15.75" customHeight="1">
      <c r="A403" s="89"/>
      <c r="B403" s="89"/>
      <c r="C403" s="89"/>
      <c r="D403" s="89"/>
      <c r="E403" s="89"/>
      <c r="F403" s="89"/>
    </row>
    <row r="404" ht="15.75" customHeight="1">
      <c r="A404" s="89"/>
      <c r="B404" s="89"/>
      <c r="C404" s="89"/>
      <c r="D404" s="89"/>
      <c r="E404" s="89"/>
      <c r="F404" s="89"/>
    </row>
    <row r="405" ht="15.75" customHeight="1">
      <c r="A405" s="89"/>
      <c r="B405" s="89"/>
      <c r="C405" s="89"/>
      <c r="D405" s="89"/>
      <c r="E405" s="89"/>
      <c r="F405" s="89"/>
    </row>
    <row r="406" ht="15.75" customHeight="1">
      <c r="A406" s="89"/>
      <c r="B406" s="89"/>
      <c r="C406" s="89"/>
      <c r="D406" s="89"/>
      <c r="E406" s="89"/>
      <c r="F406" s="89"/>
    </row>
    <row r="407" ht="15.75" customHeight="1">
      <c r="A407" s="89"/>
      <c r="B407" s="89"/>
      <c r="C407" s="89"/>
      <c r="D407" s="89"/>
      <c r="E407" s="89"/>
      <c r="F407" s="89"/>
    </row>
    <row r="408" ht="15.75" customHeight="1">
      <c r="A408" s="89"/>
      <c r="B408" s="89"/>
      <c r="C408" s="89"/>
      <c r="D408" s="89"/>
      <c r="E408" s="89"/>
      <c r="F408" s="89"/>
    </row>
    <row r="409" ht="15.75" customHeight="1">
      <c r="A409" s="89"/>
      <c r="B409" s="89"/>
      <c r="C409" s="89"/>
      <c r="D409" s="89"/>
      <c r="E409" s="89"/>
      <c r="F409" s="89"/>
    </row>
    <row r="410" ht="15.75" customHeight="1">
      <c r="A410" s="89"/>
      <c r="B410" s="89"/>
      <c r="C410" s="89"/>
      <c r="D410" s="89"/>
      <c r="E410" s="89"/>
      <c r="F410" s="89"/>
    </row>
    <row r="411" ht="15.75" customHeight="1">
      <c r="A411" s="89"/>
      <c r="B411" s="89"/>
      <c r="C411" s="89"/>
      <c r="D411" s="89"/>
      <c r="E411" s="89"/>
      <c r="F411" s="89"/>
    </row>
    <row r="412" ht="15.75" customHeight="1">
      <c r="A412" s="89"/>
      <c r="B412" s="89"/>
      <c r="C412" s="89"/>
      <c r="D412" s="89"/>
      <c r="E412" s="89"/>
      <c r="F412" s="89"/>
    </row>
    <row r="413" ht="15.75" customHeight="1">
      <c r="A413" s="89"/>
      <c r="B413" s="89"/>
      <c r="C413" s="89"/>
      <c r="D413" s="89"/>
      <c r="E413" s="89"/>
      <c r="F413" s="89"/>
    </row>
    <row r="414" ht="15.75" customHeight="1">
      <c r="A414" s="89"/>
      <c r="B414" s="89"/>
      <c r="C414" s="89"/>
      <c r="D414" s="89"/>
      <c r="E414" s="89"/>
      <c r="F414" s="89"/>
    </row>
    <row r="415" ht="15.75" customHeight="1">
      <c r="A415" s="89"/>
      <c r="B415" s="89"/>
      <c r="C415" s="89"/>
      <c r="D415" s="89"/>
      <c r="E415" s="89"/>
      <c r="F415" s="89"/>
    </row>
    <row r="416" ht="15.75" customHeight="1">
      <c r="A416" s="89"/>
      <c r="B416" s="89"/>
      <c r="C416" s="89"/>
      <c r="D416" s="89"/>
      <c r="E416" s="89"/>
      <c r="F416" s="89"/>
    </row>
    <row r="417" ht="15.75" customHeight="1">
      <c r="A417" s="89"/>
      <c r="B417" s="89"/>
      <c r="C417" s="89"/>
      <c r="D417" s="89"/>
      <c r="E417" s="89"/>
      <c r="F417" s="89"/>
    </row>
    <row r="418" ht="15.75" customHeight="1">
      <c r="A418" s="89"/>
      <c r="B418" s="89"/>
      <c r="C418" s="89"/>
      <c r="D418" s="89"/>
      <c r="E418" s="89"/>
      <c r="F418" s="89"/>
    </row>
    <row r="419" ht="15.75" customHeight="1">
      <c r="A419" s="89"/>
      <c r="B419" s="89"/>
      <c r="C419" s="89"/>
      <c r="D419" s="89"/>
      <c r="E419" s="89"/>
      <c r="F419" s="89"/>
    </row>
    <row r="420" ht="15.75" customHeight="1">
      <c r="A420" s="89"/>
      <c r="B420" s="89"/>
      <c r="C420" s="89"/>
      <c r="D420" s="89"/>
      <c r="E420" s="89"/>
      <c r="F420" s="89"/>
    </row>
    <row r="421" ht="15.75" customHeight="1">
      <c r="A421" s="89"/>
      <c r="B421" s="89"/>
      <c r="C421" s="89"/>
      <c r="D421" s="89"/>
      <c r="E421" s="89"/>
      <c r="F421" s="89"/>
    </row>
    <row r="422" ht="15.75" customHeight="1">
      <c r="A422" s="89"/>
      <c r="B422" s="89"/>
      <c r="C422" s="89"/>
      <c r="D422" s="89"/>
      <c r="E422" s="89"/>
      <c r="F422" s="89"/>
    </row>
    <row r="423" ht="15.75" customHeight="1">
      <c r="A423" s="89"/>
      <c r="B423" s="89"/>
      <c r="C423" s="89"/>
      <c r="D423" s="89"/>
      <c r="E423" s="89"/>
      <c r="F423" s="89"/>
    </row>
    <row r="424" ht="15.75" customHeight="1">
      <c r="A424" s="89"/>
      <c r="B424" s="89"/>
      <c r="C424" s="89"/>
      <c r="D424" s="89"/>
      <c r="E424" s="89"/>
      <c r="F424" s="89"/>
    </row>
    <row r="425" ht="15.75" customHeight="1">
      <c r="A425" s="89"/>
      <c r="B425" s="89"/>
      <c r="C425" s="89"/>
      <c r="D425" s="89"/>
      <c r="E425" s="89"/>
      <c r="F425" s="89"/>
    </row>
    <row r="426" ht="15.75" customHeight="1">
      <c r="A426" s="89"/>
      <c r="B426" s="89"/>
      <c r="C426" s="89"/>
      <c r="D426" s="89"/>
      <c r="E426" s="89"/>
      <c r="F426" s="89"/>
    </row>
    <row r="427" ht="15.75" customHeight="1">
      <c r="A427" s="89"/>
      <c r="B427" s="89"/>
      <c r="C427" s="89"/>
      <c r="D427" s="89"/>
      <c r="E427" s="89"/>
      <c r="F427" s="89"/>
    </row>
    <row r="428" ht="15.75" customHeight="1">
      <c r="A428" s="89"/>
      <c r="B428" s="89"/>
      <c r="C428" s="89"/>
      <c r="D428" s="89"/>
      <c r="E428" s="89"/>
      <c r="F428" s="89"/>
    </row>
    <row r="429" ht="15.75" customHeight="1">
      <c r="A429" s="89"/>
      <c r="B429" s="89"/>
      <c r="C429" s="89"/>
      <c r="D429" s="89"/>
      <c r="E429" s="89"/>
      <c r="F429" s="89"/>
    </row>
    <row r="430" ht="15.75" customHeight="1">
      <c r="A430" s="89"/>
      <c r="B430" s="89"/>
      <c r="C430" s="89"/>
      <c r="D430" s="89"/>
      <c r="E430" s="89"/>
      <c r="F430" s="89"/>
    </row>
    <row r="431" ht="15.75" customHeight="1">
      <c r="A431" s="89"/>
      <c r="B431" s="89"/>
      <c r="C431" s="89"/>
      <c r="D431" s="89"/>
      <c r="E431" s="89"/>
      <c r="F431" s="89"/>
    </row>
    <row r="432" ht="15.75" customHeight="1">
      <c r="A432" s="89"/>
      <c r="B432" s="89"/>
      <c r="C432" s="89"/>
      <c r="D432" s="89"/>
      <c r="E432" s="89"/>
      <c r="F432" s="89"/>
    </row>
    <row r="433" ht="15.75" customHeight="1">
      <c r="A433" s="89"/>
      <c r="B433" s="89"/>
      <c r="C433" s="89"/>
      <c r="D433" s="89"/>
      <c r="E433" s="89"/>
      <c r="F433" s="89"/>
    </row>
    <row r="434" ht="15.75" customHeight="1">
      <c r="A434" s="89"/>
      <c r="B434" s="89"/>
      <c r="C434" s="89"/>
      <c r="D434" s="89"/>
      <c r="E434" s="89"/>
      <c r="F434" s="89"/>
    </row>
    <row r="435" ht="15.75" customHeight="1">
      <c r="A435" s="89"/>
      <c r="B435" s="89"/>
      <c r="C435" s="89"/>
      <c r="D435" s="89"/>
      <c r="E435" s="89"/>
      <c r="F435" s="89"/>
    </row>
    <row r="436" ht="15.75" customHeight="1">
      <c r="A436" s="89"/>
      <c r="B436" s="89"/>
      <c r="C436" s="89"/>
      <c r="D436" s="89"/>
      <c r="E436" s="89"/>
      <c r="F436" s="89"/>
    </row>
    <row r="437" ht="15.75" customHeight="1">
      <c r="A437" s="89"/>
      <c r="B437" s="89"/>
      <c r="C437" s="89"/>
      <c r="D437" s="89"/>
      <c r="E437" s="89"/>
      <c r="F437" s="89"/>
    </row>
    <row r="438" ht="15.75" customHeight="1">
      <c r="A438" s="89"/>
      <c r="B438" s="89"/>
      <c r="C438" s="89"/>
      <c r="D438" s="89"/>
      <c r="E438" s="89"/>
      <c r="F438" s="89"/>
    </row>
    <row r="439" ht="15.75" customHeight="1">
      <c r="A439" s="89"/>
      <c r="B439" s="89"/>
      <c r="C439" s="89"/>
      <c r="D439" s="89"/>
      <c r="E439" s="89"/>
      <c r="F439" s="89"/>
    </row>
    <row r="440" ht="15.75" customHeight="1">
      <c r="A440" s="89"/>
      <c r="B440" s="89"/>
      <c r="C440" s="89"/>
      <c r="D440" s="89"/>
      <c r="E440" s="89"/>
      <c r="F440" s="89"/>
    </row>
    <row r="441" ht="15.75" customHeight="1">
      <c r="A441" s="89"/>
      <c r="B441" s="89"/>
      <c r="C441" s="89"/>
      <c r="D441" s="89"/>
      <c r="E441" s="89"/>
      <c r="F441" s="89"/>
    </row>
    <row r="442" ht="15.75" customHeight="1">
      <c r="A442" s="89"/>
      <c r="B442" s="89"/>
      <c r="C442" s="89"/>
      <c r="D442" s="89"/>
      <c r="E442" s="89"/>
      <c r="F442" s="89"/>
    </row>
    <row r="443" ht="15.75" customHeight="1">
      <c r="A443" s="89"/>
      <c r="B443" s="89"/>
      <c r="C443" s="89"/>
      <c r="D443" s="89"/>
      <c r="E443" s="89"/>
      <c r="F443" s="89"/>
    </row>
    <row r="444" ht="15.75" customHeight="1">
      <c r="A444" s="89"/>
      <c r="B444" s="89"/>
      <c r="C444" s="89"/>
      <c r="D444" s="89"/>
      <c r="E444" s="89"/>
      <c r="F444" s="89"/>
    </row>
    <row r="445" ht="15.75" customHeight="1">
      <c r="A445" s="89"/>
      <c r="B445" s="89"/>
      <c r="C445" s="89"/>
      <c r="D445" s="89"/>
      <c r="E445" s="89"/>
      <c r="F445" s="89"/>
    </row>
    <row r="446" ht="15.75" customHeight="1">
      <c r="A446" s="89"/>
      <c r="B446" s="89"/>
      <c r="C446" s="89"/>
      <c r="D446" s="89"/>
      <c r="E446" s="89"/>
      <c r="F446" s="89"/>
    </row>
    <row r="447" ht="15.75" customHeight="1">
      <c r="A447" s="89"/>
      <c r="B447" s="89"/>
      <c r="C447" s="89"/>
      <c r="D447" s="89"/>
      <c r="E447" s="89"/>
      <c r="F447" s="89"/>
    </row>
    <row r="448" ht="15.75" customHeight="1">
      <c r="A448" s="89"/>
      <c r="B448" s="89"/>
      <c r="C448" s="89"/>
      <c r="D448" s="89"/>
      <c r="E448" s="89"/>
      <c r="F448" s="89"/>
    </row>
    <row r="449" ht="15.75" customHeight="1">
      <c r="A449" s="89"/>
      <c r="B449" s="89"/>
      <c r="C449" s="89"/>
      <c r="D449" s="89"/>
      <c r="E449" s="89"/>
      <c r="F449" s="89"/>
    </row>
    <row r="450" ht="15.75" customHeight="1">
      <c r="A450" s="89"/>
      <c r="B450" s="89"/>
      <c r="C450" s="89"/>
      <c r="D450" s="89"/>
      <c r="E450" s="89"/>
      <c r="F450" s="89"/>
    </row>
    <row r="451" ht="15.75" customHeight="1">
      <c r="A451" s="89"/>
      <c r="B451" s="89"/>
      <c r="C451" s="89"/>
      <c r="D451" s="89"/>
      <c r="E451" s="89"/>
      <c r="F451" s="89"/>
    </row>
    <row r="452" ht="15.75" customHeight="1">
      <c r="A452" s="89"/>
      <c r="B452" s="89"/>
      <c r="C452" s="89"/>
      <c r="D452" s="89"/>
      <c r="E452" s="89"/>
      <c r="F452" s="89"/>
    </row>
    <row r="453" ht="15.75" customHeight="1">
      <c r="A453" s="89"/>
      <c r="B453" s="89"/>
      <c r="C453" s="89"/>
      <c r="D453" s="89"/>
      <c r="E453" s="89"/>
      <c r="F453" s="89"/>
    </row>
    <row r="454" ht="15.75" customHeight="1">
      <c r="A454" s="89"/>
      <c r="B454" s="89"/>
      <c r="C454" s="89"/>
      <c r="D454" s="89"/>
      <c r="E454" s="89"/>
      <c r="F454" s="89"/>
    </row>
    <row r="455" ht="15.75" customHeight="1">
      <c r="A455" s="89"/>
      <c r="B455" s="89"/>
      <c r="C455" s="89"/>
      <c r="D455" s="89"/>
      <c r="E455" s="89"/>
      <c r="F455" s="89"/>
    </row>
    <row r="456" ht="15.75" customHeight="1">
      <c r="A456" s="89"/>
      <c r="B456" s="89"/>
      <c r="C456" s="89"/>
      <c r="D456" s="89"/>
      <c r="E456" s="89"/>
      <c r="F456" s="89"/>
    </row>
    <row r="457" ht="15.75" customHeight="1">
      <c r="A457" s="89"/>
      <c r="B457" s="89"/>
      <c r="C457" s="89"/>
      <c r="D457" s="89"/>
      <c r="E457" s="89"/>
      <c r="F457" s="89"/>
    </row>
    <row r="458" ht="15.75" customHeight="1">
      <c r="A458" s="89"/>
      <c r="B458" s="89"/>
      <c r="C458" s="89"/>
      <c r="D458" s="89"/>
      <c r="E458" s="89"/>
      <c r="F458" s="89"/>
    </row>
    <row r="459" ht="15.75" customHeight="1">
      <c r="A459" s="89"/>
      <c r="B459" s="89"/>
      <c r="C459" s="89"/>
      <c r="D459" s="89"/>
      <c r="E459" s="89"/>
      <c r="F459" s="89"/>
    </row>
    <row r="460" ht="15.75" customHeight="1">
      <c r="A460" s="89"/>
      <c r="B460" s="89"/>
      <c r="C460" s="89"/>
      <c r="D460" s="89"/>
      <c r="E460" s="89"/>
      <c r="F460" s="89"/>
    </row>
    <row r="461" ht="15.75" customHeight="1">
      <c r="A461" s="89"/>
      <c r="B461" s="89"/>
      <c r="C461" s="89"/>
      <c r="D461" s="89"/>
      <c r="E461" s="89"/>
      <c r="F461" s="89"/>
    </row>
    <row r="462" ht="15.75" customHeight="1">
      <c r="A462" s="89"/>
      <c r="B462" s="89"/>
      <c r="C462" s="89"/>
      <c r="D462" s="89"/>
      <c r="E462" s="89"/>
      <c r="F462" s="89"/>
    </row>
    <row r="463" ht="15.75" customHeight="1">
      <c r="A463" s="89"/>
      <c r="B463" s="89"/>
      <c r="C463" s="89"/>
      <c r="D463" s="89"/>
      <c r="E463" s="89"/>
      <c r="F463" s="89"/>
    </row>
    <row r="464" ht="15.75" customHeight="1">
      <c r="A464" s="89"/>
      <c r="B464" s="89"/>
      <c r="C464" s="89"/>
      <c r="D464" s="89"/>
      <c r="E464" s="89"/>
      <c r="F464" s="89"/>
    </row>
    <row r="465" ht="15.75" customHeight="1">
      <c r="A465" s="89"/>
      <c r="B465" s="89"/>
      <c r="C465" s="89"/>
      <c r="D465" s="89"/>
      <c r="E465" s="89"/>
      <c r="F465" s="89"/>
    </row>
    <row r="466" ht="15.75" customHeight="1">
      <c r="A466" s="89"/>
      <c r="B466" s="89"/>
      <c r="C466" s="89"/>
      <c r="D466" s="89"/>
      <c r="E466" s="89"/>
      <c r="F466" s="89"/>
    </row>
    <row r="467" ht="15.75" customHeight="1">
      <c r="A467" s="89"/>
      <c r="B467" s="89"/>
      <c r="C467" s="89"/>
      <c r="D467" s="89"/>
      <c r="E467" s="89"/>
      <c r="F467" s="89"/>
    </row>
    <row r="468" ht="15.75" customHeight="1">
      <c r="A468" s="89"/>
      <c r="B468" s="89"/>
      <c r="C468" s="89"/>
      <c r="D468" s="89"/>
      <c r="E468" s="89"/>
      <c r="F468" s="89"/>
    </row>
    <row r="469" ht="15.75" customHeight="1">
      <c r="A469" s="89"/>
      <c r="B469" s="89"/>
      <c r="C469" s="89"/>
      <c r="D469" s="89"/>
      <c r="E469" s="89"/>
      <c r="F469" s="89"/>
    </row>
    <row r="470" ht="15.75" customHeight="1">
      <c r="A470" s="89"/>
      <c r="B470" s="89"/>
      <c r="C470" s="89"/>
      <c r="D470" s="89"/>
      <c r="E470" s="89"/>
      <c r="F470" s="89"/>
    </row>
    <row r="471" ht="15.75" customHeight="1">
      <c r="A471" s="89"/>
      <c r="B471" s="89"/>
      <c r="C471" s="89"/>
      <c r="D471" s="89"/>
      <c r="E471" s="89"/>
      <c r="F471" s="89"/>
    </row>
    <row r="472" ht="15.75" customHeight="1">
      <c r="A472" s="89"/>
      <c r="B472" s="89"/>
      <c r="C472" s="89"/>
      <c r="D472" s="89"/>
      <c r="E472" s="89"/>
      <c r="F472" s="89"/>
    </row>
    <row r="473" ht="15.75" customHeight="1">
      <c r="A473" s="89"/>
      <c r="B473" s="89"/>
      <c r="C473" s="89"/>
      <c r="D473" s="89"/>
      <c r="E473" s="89"/>
      <c r="F473" s="89"/>
    </row>
    <row r="474" ht="15.75" customHeight="1">
      <c r="A474" s="89"/>
      <c r="B474" s="89"/>
      <c r="C474" s="89"/>
      <c r="D474" s="89"/>
      <c r="E474" s="89"/>
      <c r="F474" s="89"/>
    </row>
    <row r="475" ht="15.75" customHeight="1">
      <c r="A475" s="89"/>
      <c r="B475" s="89"/>
      <c r="C475" s="89"/>
      <c r="D475" s="89"/>
      <c r="E475" s="89"/>
      <c r="F475" s="89"/>
    </row>
    <row r="476" ht="15.75" customHeight="1">
      <c r="A476" s="89"/>
      <c r="B476" s="89"/>
      <c r="C476" s="89"/>
      <c r="D476" s="89"/>
      <c r="E476" s="89"/>
      <c r="F476" s="89"/>
    </row>
    <row r="477" ht="15.75" customHeight="1">
      <c r="A477" s="89"/>
      <c r="B477" s="89"/>
      <c r="C477" s="89"/>
      <c r="D477" s="89"/>
      <c r="E477" s="89"/>
      <c r="F477" s="89"/>
    </row>
    <row r="478" ht="15.75" customHeight="1">
      <c r="A478" s="89"/>
      <c r="B478" s="89"/>
      <c r="C478" s="89"/>
      <c r="D478" s="89"/>
      <c r="E478" s="89"/>
      <c r="F478" s="89"/>
    </row>
    <row r="479" ht="15.75" customHeight="1">
      <c r="A479" s="89"/>
      <c r="B479" s="89"/>
      <c r="C479" s="89"/>
      <c r="D479" s="89"/>
      <c r="E479" s="89"/>
      <c r="F479" s="89"/>
    </row>
    <row r="480" ht="15.75" customHeight="1">
      <c r="A480" s="89"/>
      <c r="B480" s="89"/>
      <c r="C480" s="89"/>
      <c r="D480" s="89"/>
      <c r="E480" s="89"/>
      <c r="F480" s="89"/>
    </row>
    <row r="481" ht="15.75" customHeight="1">
      <c r="A481" s="89"/>
      <c r="B481" s="89"/>
      <c r="C481" s="89"/>
      <c r="D481" s="89"/>
      <c r="E481" s="89"/>
      <c r="F481" s="89"/>
    </row>
    <row r="482" ht="15.75" customHeight="1">
      <c r="A482" s="89"/>
      <c r="B482" s="89"/>
      <c r="C482" s="89"/>
      <c r="D482" s="89"/>
      <c r="E482" s="89"/>
      <c r="F482" s="89"/>
    </row>
    <row r="483" ht="15.75" customHeight="1">
      <c r="A483" s="89"/>
      <c r="B483" s="89"/>
      <c r="C483" s="89"/>
      <c r="D483" s="89"/>
      <c r="E483" s="89"/>
      <c r="F483" s="89"/>
    </row>
    <row r="484" ht="15.75" customHeight="1">
      <c r="A484" s="89"/>
      <c r="B484" s="89"/>
      <c r="C484" s="89"/>
      <c r="D484" s="89"/>
      <c r="E484" s="89"/>
      <c r="F484" s="89"/>
    </row>
    <row r="485" ht="15.75" customHeight="1">
      <c r="A485" s="89"/>
      <c r="B485" s="89"/>
      <c r="C485" s="89"/>
      <c r="D485" s="89"/>
      <c r="E485" s="89"/>
      <c r="F485" s="89"/>
    </row>
    <row r="486" ht="15.75" customHeight="1">
      <c r="A486" s="89"/>
      <c r="B486" s="89"/>
      <c r="C486" s="89"/>
      <c r="D486" s="89"/>
      <c r="E486" s="89"/>
      <c r="F486" s="89"/>
    </row>
    <row r="487" ht="15.75" customHeight="1">
      <c r="A487" s="89"/>
      <c r="B487" s="89"/>
      <c r="C487" s="89"/>
      <c r="D487" s="89"/>
      <c r="E487" s="89"/>
      <c r="F487" s="89"/>
    </row>
    <row r="488" ht="15.75" customHeight="1">
      <c r="A488" s="89"/>
      <c r="B488" s="89"/>
      <c r="C488" s="89"/>
      <c r="D488" s="89"/>
      <c r="E488" s="89"/>
      <c r="F488" s="89"/>
    </row>
    <row r="489" ht="15.75" customHeight="1">
      <c r="A489" s="89"/>
      <c r="B489" s="89"/>
      <c r="C489" s="89"/>
      <c r="D489" s="89"/>
      <c r="E489" s="89"/>
      <c r="F489" s="89"/>
    </row>
    <row r="490" ht="15.75" customHeight="1">
      <c r="A490" s="89"/>
      <c r="B490" s="89"/>
      <c r="C490" s="89"/>
      <c r="D490" s="89"/>
      <c r="E490" s="89"/>
      <c r="F490" s="89"/>
    </row>
    <row r="491" ht="15.75" customHeight="1">
      <c r="A491" s="89"/>
      <c r="B491" s="89"/>
      <c r="C491" s="89"/>
      <c r="D491" s="89"/>
      <c r="E491" s="89"/>
      <c r="F491" s="89"/>
    </row>
    <row r="492" ht="15.75" customHeight="1">
      <c r="A492" s="89"/>
      <c r="B492" s="89"/>
      <c r="C492" s="89"/>
      <c r="D492" s="89"/>
      <c r="E492" s="89"/>
      <c r="F492" s="89"/>
    </row>
    <row r="493" ht="15.75" customHeight="1">
      <c r="A493" s="89"/>
      <c r="B493" s="89"/>
      <c r="C493" s="89"/>
      <c r="D493" s="89"/>
      <c r="E493" s="89"/>
      <c r="F493" s="89"/>
    </row>
    <row r="494" ht="15.75" customHeight="1">
      <c r="A494" s="89"/>
      <c r="B494" s="89"/>
      <c r="C494" s="89"/>
      <c r="D494" s="89"/>
      <c r="E494" s="89"/>
      <c r="F494" s="89"/>
    </row>
    <row r="495" ht="15.75" customHeight="1">
      <c r="A495" s="89"/>
      <c r="B495" s="89"/>
      <c r="C495" s="89"/>
      <c r="D495" s="89"/>
      <c r="E495" s="89"/>
      <c r="F495" s="89"/>
    </row>
    <row r="496" ht="15.75" customHeight="1">
      <c r="A496" s="89"/>
      <c r="B496" s="89"/>
      <c r="C496" s="89"/>
      <c r="D496" s="89"/>
      <c r="E496" s="89"/>
      <c r="F496" s="89"/>
    </row>
    <row r="497" ht="15.75" customHeight="1">
      <c r="A497" s="89"/>
      <c r="B497" s="89"/>
      <c r="C497" s="89"/>
      <c r="D497" s="89"/>
      <c r="E497" s="89"/>
      <c r="F497" s="89"/>
    </row>
    <row r="498" ht="15.75" customHeight="1">
      <c r="A498" s="89"/>
      <c r="B498" s="89"/>
      <c r="C498" s="89"/>
      <c r="D498" s="89"/>
      <c r="E498" s="89"/>
      <c r="F498" s="89"/>
    </row>
    <row r="499" ht="15.75" customHeight="1">
      <c r="A499" s="89"/>
      <c r="B499" s="89"/>
      <c r="C499" s="89"/>
      <c r="D499" s="89"/>
      <c r="E499" s="89"/>
      <c r="F499" s="89"/>
    </row>
    <row r="500" ht="15.75" customHeight="1">
      <c r="A500" s="89"/>
      <c r="B500" s="89"/>
      <c r="C500" s="89"/>
      <c r="D500" s="89"/>
      <c r="E500" s="89"/>
      <c r="F500" s="89"/>
    </row>
    <row r="501" ht="15.75" customHeight="1">
      <c r="A501" s="89"/>
      <c r="B501" s="89"/>
      <c r="C501" s="89"/>
      <c r="D501" s="89"/>
      <c r="E501" s="89"/>
      <c r="F501" s="89"/>
    </row>
    <row r="502" ht="15.75" customHeight="1">
      <c r="A502" s="89"/>
      <c r="B502" s="89"/>
      <c r="C502" s="89"/>
      <c r="D502" s="89"/>
      <c r="E502" s="89"/>
      <c r="F502" s="89"/>
    </row>
    <row r="503" ht="15.75" customHeight="1">
      <c r="A503" s="89"/>
      <c r="B503" s="89"/>
      <c r="C503" s="89"/>
      <c r="D503" s="89"/>
      <c r="E503" s="89"/>
      <c r="F503" s="89"/>
    </row>
    <row r="504" ht="15.75" customHeight="1">
      <c r="A504" s="89"/>
      <c r="B504" s="89"/>
      <c r="C504" s="89"/>
      <c r="D504" s="89"/>
      <c r="E504" s="89"/>
      <c r="F504" s="89"/>
    </row>
    <row r="505" ht="15.75" customHeight="1">
      <c r="A505" s="89"/>
      <c r="B505" s="89"/>
      <c r="C505" s="89"/>
      <c r="D505" s="89"/>
      <c r="E505" s="89"/>
      <c r="F505" s="89"/>
    </row>
    <row r="506" ht="15.75" customHeight="1">
      <c r="A506" s="89"/>
      <c r="B506" s="89"/>
      <c r="C506" s="89"/>
      <c r="D506" s="89"/>
      <c r="E506" s="89"/>
      <c r="F506" s="89"/>
    </row>
    <row r="507" ht="15.75" customHeight="1">
      <c r="A507" s="89"/>
      <c r="B507" s="89"/>
      <c r="C507" s="89"/>
      <c r="D507" s="89"/>
      <c r="E507" s="89"/>
      <c r="F507" s="89"/>
    </row>
    <row r="508" ht="15.75" customHeight="1">
      <c r="A508" s="89"/>
      <c r="B508" s="89"/>
      <c r="C508" s="89"/>
      <c r="D508" s="89"/>
      <c r="E508" s="89"/>
      <c r="F508" s="89"/>
    </row>
    <row r="509" ht="15.75" customHeight="1">
      <c r="A509" s="89"/>
      <c r="B509" s="89"/>
      <c r="C509" s="89"/>
      <c r="D509" s="89"/>
      <c r="E509" s="89"/>
      <c r="F509" s="89"/>
    </row>
    <row r="510" ht="15.75" customHeight="1">
      <c r="A510" s="89"/>
      <c r="B510" s="89"/>
      <c r="C510" s="89"/>
      <c r="D510" s="89"/>
      <c r="E510" s="89"/>
      <c r="F510" s="89"/>
    </row>
    <row r="511" ht="15.75" customHeight="1">
      <c r="A511" s="89"/>
      <c r="B511" s="89"/>
      <c r="C511" s="89"/>
      <c r="D511" s="89"/>
      <c r="E511" s="89"/>
      <c r="F511" s="89"/>
    </row>
    <row r="512" ht="15.75" customHeight="1">
      <c r="A512" s="89"/>
      <c r="B512" s="89"/>
      <c r="C512" s="89"/>
      <c r="D512" s="89"/>
      <c r="E512" s="89"/>
      <c r="F512" s="89"/>
    </row>
    <row r="513" ht="15.75" customHeight="1">
      <c r="A513" s="89"/>
      <c r="B513" s="89"/>
      <c r="C513" s="89"/>
      <c r="D513" s="89"/>
      <c r="E513" s="89"/>
      <c r="F513" s="89"/>
    </row>
    <row r="514" ht="15.75" customHeight="1">
      <c r="A514" s="89"/>
      <c r="B514" s="89"/>
      <c r="C514" s="89"/>
      <c r="D514" s="89"/>
      <c r="E514" s="89"/>
      <c r="F514" s="89"/>
    </row>
    <row r="515" ht="15.75" customHeight="1">
      <c r="A515" s="89"/>
      <c r="B515" s="89"/>
      <c r="C515" s="89"/>
      <c r="D515" s="89"/>
      <c r="E515" s="89"/>
      <c r="F515" s="89"/>
    </row>
    <row r="516" ht="15.75" customHeight="1">
      <c r="A516" s="89"/>
      <c r="B516" s="89"/>
      <c r="C516" s="89"/>
      <c r="D516" s="89"/>
      <c r="E516" s="89"/>
      <c r="F516" s="89"/>
    </row>
    <row r="517" ht="15.75" customHeight="1">
      <c r="A517" s="89"/>
      <c r="B517" s="89"/>
      <c r="C517" s="89"/>
      <c r="D517" s="89"/>
      <c r="E517" s="89"/>
      <c r="F517" s="89"/>
    </row>
    <row r="518" ht="15.75" customHeight="1">
      <c r="A518" s="89"/>
      <c r="B518" s="89"/>
      <c r="C518" s="89"/>
      <c r="D518" s="89"/>
      <c r="E518" s="89"/>
      <c r="F518" s="89"/>
    </row>
    <row r="519" ht="15.75" customHeight="1">
      <c r="A519" s="89"/>
      <c r="B519" s="89"/>
      <c r="C519" s="89"/>
      <c r="D519" s="89"/>
      <c r="E519" s="89"/>
      <c r="F519" s="89"/>
    </row>
    <row r="520" ht="15.75" customHeight="1">
      <c r="A520" s="89"/>
      <c r="B520" s="89"/>
      <c r="C520" s="89"/>
      <c r="D520" s="89"/>
      <c r="E520" s="89"/>
      <c r="F520" s="89"/>
    </row>
    <row r="521" ht="15.75" customHeight="1">
      <c r="A521" s="89"/>
      <c r="B521" s="89"/>
      <c r="C521" s="89"/>
      <c r="D521" s="89"/>
      <c r="E521" s="89"/>
      <c r="F521" s="89"/>
    </row>
    <row r="522" ht="15.75" customHeight="1">
      <c r="A522" s="89"/>
      <c r="B522" s="89"/>
      <c r="C522" s="89"/>
      <c r="D522" s="89"/>
      <c r="E522" s="89"/>
      <c r="F522" s="89"/>
    </row>
    <row r="523" ht="15.75" customHeight="1">
      <c r="A523" s="89"/>
      <c r="B523" s="89"/>
      <c r="C523" s="89"/>
      <c r="D523" s="89"/>
      <c r="E523" s="89"/>
      <c r="F523" s="89"/>
    </row>
    <row r="524" ht="15.75" customHeight="1">
      <c r="A524" s="89"/>
      <c r="B524" s="89"/>
      <c r="C524" s="89"/>
      <c r="D524" s="89"/>
      <c r="E524" s="89"/>
      <c r="F524" s="89"/>
    </row>
    <row r="525" ht="15.75" customHeight="1">
      <c r="A525" s="89"/>
      <c r="B525" s="89"/>
      <c r="C525" s="89"/>
      <c r="D525" s="89"/>
      <c r="E525" s="89"/>
      <c r="F525" s="89"/>
    </row>
    <row r="526" ht="15.75" customHeight="1">
      <c r="A526" s="89"/>
      <c r="B526" s="89"/>
      <c r="C526" s="89"/>
      <c r="D526" s="89"/>
      <c r="E526" s="89"/>
      <c r="F526" s="89"/>
    </row>
    <row r="527" ht="15.75" customHeight="1">
      <c r="A527" s="89"/>
      <c r="B527" s="89"/>
      <c r="C527" s="89"/>
      <c r="D527" s="89"/>
      <c r="E527" s="89"/>
      <c r="F527" s="89"/>
    </row>
    <row r="528" ht="15.75" customHeight="1">
      <c r="A528" s="89"/>
      <c r="B528" s="89"/>
      <c r="C528" s="89"/>
      <c r="D528" s="89"/>
      <c r="E528" s="89"/>
      <c r="F528" s="89"/>
    </row>
    <row r="529" ht="15.75" customHeight="1">
      <c r="A529" s="89"/>
      <c r="B529" s="89"/>
      <c r="C529" s="89"/>
      <c r="D529" s="89"/>
      <c r="E529" s="89"/>
      <c r="F529" s="89"/>
    </row>
    <row r="530" ht="15.75" customHeight="1">
      <c r="A530" s="89"/>
      <c r="B530" s="89"/>
      <c r="C530" s="89"/>
      <c r="D530" s="89"/>
      <c r="E530" s="89"/>
      <c r="F530" s="89"/>
    </row>
    <row r="531" ht="15.75" customHeight="1">
      <c r="A531" s="89"/>
      <c r="B531" s="89"/>
      <c r="C531" s="89"/>
      <c r="D531" s="89"/>
      <c r="E531" s="89"/>
      <c r="F531" s="89"/>
    </row>
    <row r="532" ht="15.75" customHeight="1">
      <c r="A532" s="89"/>
      <c r="B532" s="89"/>
      <c r="C532" s="89"/>
      <c r="D532" s="89"/>
      <c r="E532" s="89"/>
      <c r="F532" s="89"/>
    </row>
    <row r="533" ht="15.75" customHeight="1">
      <c r="A533" s="89"/>
      <c r="B533" s="89"/>
      <c r="C533" s="89"/>
      <c r="D533" s="89"/>
      <c r="E533" s="89"/>
      <c r="F533" s="89"/>
    </row>
    <row r="534" ht="15.75" customHeight="1">
      <c r="A534" s="89"/>
      <c r="B534" s="89"/>
      <c r="C534" s="89"/>
      <c r="D534" s="89"/>
      <c r="E534" s="89"/>
      <c r="F534" s="89"/>
    </row>
    <row r="535" ht="15.75" customHeight="1">
      <c r="A535" s="89"/>
      <c r="B535" s="89"/>
      <c r="C535" s="89"/>
      <c r="D535" s="89"/>
      <c r="E535" s="89"/>
      <c r="F535" s="89"/>
    </row>
    <row r="536" ht="15.75" customHeight="1">
      <c r="A536" s="89"/>
      <c r="B536" s="89"/>
      <c r="C536" s="89"/>
      <c r="D536" s="89"/>
      <c r="E536" s="89"/>
      <c r="F536" s="89"/>
    </row>
    <row r="537" ht="15.75" customHeight="1">
      <c r="A537" s="89"/>
      <c r="B537" s="89"/>
      <c r="C537" s="89"/>
      <c r="D537" s="89"/>
      <c r="E537" s="89"/>
      <c r="F537" s="89"/>
    </row>
    <row r="538" ht="15.75" customHeight="1">
      <c r="A538" s="89"/>
      <c r="B538" s="89"/>
      <c r="C538" s="89"/>
      <c r="D538" s="89"/>
      <c r="E538" s="89"/>
      <c r="F538" s="89"/>
    </row>
    <row r="539" ht="15.75" customHeight="1">
      <c r="A539" s="89"/>
      <c r="B539" s="89"/>
      <c r="C539" s="89"/>
      <c r="D539" s="89"/>
      <c r="E539" s="89"/>
      <c r="F539" s="89"/>
    </row>
    <row r="540" ht="15.75" customHeight="1">
      <c r="A540" s="89"/>
      <c r="B540" s="89"/>
      <c r="C540" s="89"/>
      <c r="D540" s="89"/>
      <c r="E540" s="89"/>
      <c r="F540" s="89"/>
    </row>
    <row r="541" ht="15.75" customHeight="1">
      <c r="A541" s="89"/>
      <c r="B541" s="89"/>
      <c r="C541" s="89"/>
      <c r="D541" s="89"/>
      <c r="E541" s="89"/>
      <c r="F541" s="89"/>
    </row>
    <row r="542" ht="15.75" customHeight="1">
      <c r="A542" s="89"/>
      <c r="B542" s="89"/>
      <c r="C542" s="89"/>
      <c r="D542" s="89"/>
      <c r="E542" s="89"/>
      <c r="F542" s="89"/>
    </row>
    <row r="543" ht="15.75" customHeight="1">
      <c r="A543" s="89"/>
      <c r="B543" s="89"/>
      <c r="C543" s="89"/>
      <c r="D543" s="89"/>
      <c r="E543" s="89"/>
      <c r="F543" s="89"/>
    </row>
    <row r="544" ht="15.75" customHeight="1">
      <c r="A544" s="89"/>
      <c r="B544" s="89"/>
      <c r="C544" s="89"/>
      <c r="D544" s="89"/>
      <c r="E544" s="89"/>
      <c r="F544" s="89"/>
    </row>
    <row r="545" ht="15.75" customHeight="1">
      <c r="A545" s="89"/>
      <c r="B545" s="89"/>
      <c r="C545" s="89"/>
      <c r="D545" s="89"/>
      <c r="E545" s="89"/>
      <c r="F545" s="89"/>
    </row>
    <row r="546" ht="15.75" customHeight="1">
      <c r="A546" s="89"/>
      <c r="B546" s="89"/>
      <c r="C546" s="89"/>
      <c r="D546" s="89"/>
      <c r="E546" s="89"/>
      <c r="F546" s="89"/>
    </row>
    <row r="547" ht="15.75" customHeight="1">
      <c r="A547" s="89"/>
      <c r="B547" s="89"/>
      <c r="C547" s="89"/>
      <c r="D547" s="89"/>
      <c r="E547" s="89"/>
      <c r="F547" s="89"/>
    </row>
    <row r="548" ht="15.75" customHeight="1">
      <c r="A548" s="89"/>
      <c r="B548" s="89"/>
      <c r="C548" s="89"/>
      <c r="D548" s="89"/>
      <c r="E548" s="89"/>
      <c r="F548" s="89"/>
    </row>
    <row r="549" ht="15.75" customHeight="1">
      <c r="A549" s="89"/>
      <c r="B549" s="89"/>
      <c r="C549" s="89"/>
      <c r="D549" s="89"/>
      <c r="E549" s="89"/>
      <c r="F549" s="89"/>
    </row>
    <row r="550" ht="15.75" customHeight="1">
      <c r="A550" s="89"/>
      <c r="B550" s="89"/>
      <c r="C550" s="89"/>
      <c r="D550" s="89"/>
      <c r="E550" s="89"/>
      <c r="F550" s="89"/>
    </row>
    <row r="551" ht="15.75" customHeight="1">
      <c r="A551" s="89"/>
      <c r="B551" s="89"/>
      <c r="C551" s="89"/>
      <c r="D551" s="89"/>
      <c r="E551" s="89"/>
      <c r="F551" s="89"/>
    </row>
    <row r="552" ht="15.75" customHeight="1">
      <c r="A552" s="89"/>
      <c r="B552" s="89"/>
      <c r="C552" s="89"/>
      <c r="D552" s="89"/>
      <c r="E552" s="89"/>
      <c r="F552" s="89"/>
    </row>
    <row r="553" ht="15.75" customHeight="1">
      <c r="A553" s="89"/>
      <c r="B553" s="89"/>
      <c r="C553" s="89"/>
      <c r="D553" s="89"/>
      <c r="E553" s="89"/>
      <c r="F553" s="89"/>
    </row>
    <row r="554" ht="15.75" customHeight="1">
      <c r="A554" s="89"/>
      <c r="B554" s="89"/>
      <c r="C554" s="89"/>
      <c r="D554" s="89"/>
      <c r="E554" s="89"/>
      <c r="F554" s="89"/>
    </row>
    <row r="555" ht="15.75" customHeight="1">
      <c r="A555" s="89"/>
      <c r="B555" s="89"/>
      <c r="C555" s="89"/>
      <c r="D555" s="89"/>
      <c r="E555" s="89"/>
      <c r="F555" s="89"/>
    </row>
    <row r="556" ht="15.75" customHeight="1">
      <c r="A556" s="89"/>
      <c r="B556" s="89"/>
      <c r="C556" s="89"/>
      <c r="D556" s="89"/>
      <c r="E556" s="89"/>
      <c r="F556" s="89"/>
    </row>
    <row r="557" ht="15.75" customHeight="1">
      <c r="A557" s="89"/>
      <c r="B557" s="89"/>
      <c r="C557" s="89"/>
      <c r="D557" s="89"/>
      <c r="E557" s="89"/>
      <c r="F557" s="89"/>
    </row>
    <row r="558" ht="15.75" customHeight="1">
      <c r="A558" s="89"/>
      <c r="B558" s="89"/>
      <c r="C558" s="89"/>
      <c r="D558" s="89"/>
      <c r="E558" s="89"/>
      <c r="F558" s="89"/>
    </row>
    <row r="559" ht="15.75" customHeight="1">
      <c r="A559" s="89"/>
      <c r="B559" s="89"/>
      <c r="C559" s="89"/>
      <c r="D559" s="89"/>
      <c r="E559" s="89"/>
      <c r="F559" s="89"/>
    </row>
    <row r="560" ht="15.75" customHeight="1">
      <c r="A560" s="89"/>
      <c r="B560" s="89"/>
      <c r="C560" s="89"/>
      <c r="D560" s="89"/>
      <c r="E560" s="89"/>
      <c r="F560" s="89"/>
    </row>
    <row r="561" ht="15.75" customHeight="1">
      <c r="A561" s="89"/>
      <c r="B561" s="89"/>
      <c r="C561" s="89"/>
      <c r="D561" s="89"/>
      <c r="E561" s="89"/>
      <c r="F561" s="89"/>
    </row>
    <row r="562" ht="15.75" customHeight="1">
      <c r="A562" s="89"/>
      <c r="B562" s="89"/>
      <c r="C562" s="89"/>
      <c r="D562" s="89"/>
      <c r="E562" s="89"/>
      <c r="F562" s="89"/>
    </row>
    <row r="563" ht="15.75" customHeight="1">
      <c r="A563" s="89"/>
      <c r="B563" s="89"/>
      <c r="C563" s="89"/>
      <c r="D563" s="89"/>
      <c r="E563" s="89"/>
      <c r="F563" s="89"/>
    </row>
    <row r="564" ht="15.75" customHeight="1">
      <c r="A564" s="89"/>
      <c r="B564" s="89"/>
      <c r="C564" s="89"/>
      <c r="D564" s="89"/>
      <c r="E564" s="89"/>
      <c r="F564" s="89"/>
    </row>
    <row r="565" ht="15.75" customHeight="1">
      <c r="A565" s="89"/>
      <c r="B565" s="89"/>
      <c r="C565" s="89"/>
      <c r="D565" s="89"/>
      <c r="E565" s="89"/>
      <c r="F565" s="89"/>
    </row>
    <row r="566" ht="15.75" customHeight="1">
      <c r="A566" s="89"/>
      <c r="B566" s="89"/>
      <c r="C566" s="89"/>
      <c r="D566" s="89"/>
      <c r="E566" s="89"/>
      <c r="F566" s="89"/>
    </row>
    <row r="567" ht="15.75" customHeight="1">
      <c r="A567" s="89"/>
      <c r="B567" s="89"/>
      <c r="C567" s="89"/>
      <c r="D567" s="89"/>
      <c r="E567" s="89"/>
      <c r="F567" s="89"/>
    </row>
    <row r="568" ht="15.75" customHeight="1">
      <c r="A568" s="89"/>
      <c r="B568" s="89"/>
      <c r="C568" s="89"/>
      <c r="D568" s="89"/>
      <c r="E568" s="89"/>
      <c r="F568" s="89"/>
    </row>
    <row r="569" ht="15.75" customHeight="1">
      <c r="A569" s="89"/>
      <c r="B569" s="89"/>
      <c r="C569" s="89"/>
      <c r="D569" s="89"/>
      <c r="E569" s="89"/>
      <c r="F569" s="89"/>
    </row>
    <row r="570" ht="15.75" customHeight="1">
      <c r="A570" s="89"/>
      <c r="B570" s="89"/>
      <c r="C570" s="89"/>
      <c r="D570" s="89"/>
      <c r="E570" s="89"/>
      <c r="F570" s="89"/>
    </row>
    <row r="571" ht="15.75" customHeight="1">
      <c r="A571" s="89"/>
      <c r="B571" s="89"/>
      <c r="C571" s="89"/>
      <c r="D571" s="89"/>
      <c r="E571" s="89"/>
      <c r="F571" s="89"/>
    </row>
    <row r="572" ht="15.75" customHeight="1">
      <c r="A572" s="89"/>
      <c r="B572" s="89"/>
      <c r="C572" s="89"/>
      <c r="D572" s="89"/>
      <c r="E572" s="89"/>
      <c r="F572" s="89"/>
    </row>
    <row r="573" ht="15.75" customHeight="1">
      <c r="A573" s="89"/>
      <c r="B573" s="89"/>
      <c r="C573" s="89"/>
      <c r="D573" s="89"/>
      <c r="E573" s="89"/>
      <c r="F573" s="89"/>
    </row>
    <row r="574" ht="15.75" customHeight="1">
      <c r="A574" s="89"/>
      <c r="B574" s="89"/>
      <c r="C574" s="89"/>
      <c r="D574" s="89"/>
      <c r="E574" s="89"/>
      <c r="F574" s="89"/>
    </row>
    <row r="575" ht="15.75" customHeight="1">
      <c r="A575" s="89"/>
      <c r="B575" s="89"/>
      <c r="C575" s="89"/>
      <c r="D575" s="89"/>
      <c r="E575" s="89"/>
      <c r="F575" s="89"/>
    </row>
    <row r="576" ht="15.75" customHeight="1">
      <c r="A576" s="89"/>
      <c r="B576" s="89"/>
      <c r="C576" s="89"/>
      <c r="D576" s="89"/>
      <c r="E576" s="89"/>
      <c r="F576" s="89"/>
    </row>
    <row r="577" ht="15.75" customHeight="1">
      <c r="A577" s="89"/>
      <c r="B577" s="89"/>
      <c r="C577" s="89"/>
      <c r="D577" s="89"/>
      <c r="E577" s="89"/>
      <c r="F577" s="89"/>
    </row>
    <row r="578" ht="15.75" customHeight="1">
      <c r="A578" s="89"/>
      <c r="B578" s="89"/>
      <c r="C578" s="89"/>
      <c r="D578" s="89"/>
      <c r="E578" s="89"/>
      <c r="F578" s="89"/>
    </row>
    <row r="579" ht="15.75" customHeight="1">
      <c r="A579" s="89"/>
      <c r="B579" s="89"/>
      <c r="C579" s="89"/>
      <c r="D579" s="89"/>
      <c r="E579" s="89"/>
      <c r="F579" s="89"/>
    </row>
    <row r="580" ht="15.75" customHeight="1">
      <c r="A580" s="89"/>
      <c r="B580" s="89"/>
      <c r="C580" s="89"/>
      <c r="D580" s="89"/>
      <c r="E580" s="89"/>
      <c r="F580" s="89"/>
    </row>
    <row r="581" ht="15.75" customHeight="1">
      <c r="A581" s="89"/>
      <c r="B581" s="89"/>
      <c r="C581" s="89"/>
      <c r="D581" s="89"/>
      <c r="E581" s="89"/>
      <c r="F581" s="89"/>
    </row>
    <row r="582" ht="15.75" customHeight="1">
      <c r="A582" s="89"/>
      <c r="B582" s="89"/>
      <c r="C582" s="89"/>
      <c r="D582" s="89"/>
      <c r="E582" s="89"/>
      <c r="F582" s="89"/>
    </row>
    <row r="583" ht="15.75" customHeight="1">
      <c r="A583" s="89"/>
      <c r="B583" s="89"/>
      <c r="C583" s="89"/>
      <c r="D583" s="89"/>
      <c r="E583" s="89"/>
      <c r="F583" s="89"/>
    </row>
    <row r="584" ht="15.75" customHeight="1">
      <c r="A584" s="89"/>
      <c r="B584" s="89"/>
      <c r="C584" s="89"/>
      <c r="D584" s="89"/>
      <c r="E584" s="89"/>
      <c r="F584" s="89"/>
    </row>
    <row r="585" ht="15.75" customHeight="1">
      <c r="A585" s="89"/>
      <c r="B585" s="89"/>
      <c r="C585" s="89"/>
      <c r="D585" s="89"/>
      <c r="E585" s="89"/>
      <c r="F585" s="89"/>
    </row>
    <row r="586" ht="15.75" customHeight="1">
      <c r="A586" s="89"/>
      <c r="B586" s="89"/>
      <c r="C586" s="89"/>
      <c r="D586" s="89"/>
      <c r="E586" s="89"/>
      <c r="F586" s="89"/>
    </row>
    <row r="587" ht="15.75" customHeight="1">
      <c r="A587" s="89"/>
      <c r="B587" s="89"/>
      <c r="C587" s="89"/>
      <c r="D587" s="89"/>
      <c r="E587" s="89"/>
      <c r="F587" s="89"/>
    </row>
    <row r="588" ht="15.75" customHeight="1">
      <c r="A588" s="89"/>
      <c r="B588" s="89"/>
      <c r="C588" s="89"/>
      <c r="D588" s="89"/>
      <c r="E588" s="89"/>
      <c r="F588" s="89"/>
    </row>
    <row r="589" ht="15.75" customHeight="1">
      <c r="A589" s="89"/>
      <c r="B589" s="89"/>
      <c r="C589" s="89"/>
      <c r="D589" s="89"/>
      <c r="E589" s="89"/>
      <c r="F589" s="89"/>
    </row>
    <row r="590" ht="15.75" customHeight="1">
      <c r="A590" s="89"/>
      <c r="B590" s="89"/>
      <c r="C590" s="89"/>
      <c r="D590" s="89"/>
      <c r="E590" s="89"/>
      <c r="F590" s="89"/>
    </row>
    <row r="591" ht="15.75" customHeight="1">
      <c r="A591" s="89"/>
      <c r="B591" s="89"/>
      <c r="C591" s="89"/>
      <c r="D591" s="89"/>
      <c r="E591" s="89"/>
      <c r="F591" s="89"/>
    </row>
    <row r="592" ht="15.75" customHeight="1">
      <c r="A592" s="89"/>
      <c r="B592" s="89"/>
      <c r="C592" s="89"/>
      <c r="D592" s="89"/>
      <c r="E592" s="89"/>
      <c r="F592" s="89"/>
    </row>
    <row r="593" ht="15.75" customHeight="1">
      <c r="A593" s="89"/>
      <c r="B593" s="89"/>
      <c r="C593" s="89"/>
      <c r="D593" s="89"/>
      <c r="E593" s="89"/>
      <c r="F593" s="89"/>
    </row>
    <row r="594" ht="15.75" customHeight="1">
      <c r="A594" s="89"/>
      <c r="B594" s="89"/>
      <c r="C594" s="89"/>
      <c r="D594" s="89"/>
      <c r="E594" s="89"/>
      <c r="F594" s="89"/>
    </row>
    <row r="595" ht="15.75" customHeight="1">
      <c r="A595" s="89"/>
      <c r="B595" s="89"/>
      <c r="C595" s="89"/>
      <c r="D595" s="89"/>
      <c r="E595" s="89"/>
      <c r="F595" s="89"/>
    </row>
    <row r="596" ht="15.75" customHeight="1">
      <c r="A596" s="89"/>
      <c r="B596" s="89"/>
      <c r="C596" s="89"/>
      <c r="D596" s="89"/>
      <c r="E596" s="89"/>
      <c r="F596" s="89"/>
    </row>
    <row r="597" ht="15.75" customHeight="1">
      <c r="A597" s="89"/>
      <c r="B597" s="89"/>
      <c r="C597" s="89"/>
      <c r="D597" s="89"/>
      <c r="E597" s="89"/>
      <c r="F597" s="89"/>
    </row>
    <row r="598" ht="15.75" customHeight="1">
      <c r="A598" s="89"/>
      <c r="B598" s="89"/>
      <c r="C598" s="89"/>
      <c r="D598" s="89"/>
      <c r="E598" s="89"/>
      <c r="F598" s="89"/>
    </row>
    <row r="599" ht="15.75" customHeight="1">
      <c r="A599" s="89"/>
      <c r="B599" s="89"/>
      <c r="C599" s="89"/>
      <c r="D599" s="89"/>
      <c r="E599" s="89"/>
      <c r="F599" s="89"/>
    </row>
    <row r="600" ht="15.75" customHeight="1">
      <c r="A600" s="89"/>
      <c r="B600" s="89"/>
      <c r="C600" s="89"/>
      <c r="D600" s="89"/>
      <c r="E600" s="89"/>
      <c r="F600" s="89"/>
    </row>
    <row r="601" ht="15.75" customHeight="1">
      <c r="A601" s="89"/>
      <c r="B601" s="89"/>
      <c r="C601" s="89"/>
      <c r="D601" s="89"/>
      <c r="E601" s="89"/>
      <c r="F601" s="89"/>
    </row>
    <row r="602" ht="15.75" customHeight="1">
      <c r="A602" s="89"/>
      <c r="B602" s="89"/>
      <c r="C602" s="89"/>
      <c r="D602" s="89"/>
      <c r="E602" s="89"/>
      <c r="F602" s="89"/>
    </row>
    <row r="603" ht="15.75" customHeight="1">
      <c r="A603" s="89"/>
      <c r="B603" s="89"/>
      <c r="C603" s="89"/>
      <c r="D603" s="89"/>
      <c r="E603" s="89"/>
      <c r="F603" s="89"/>
    </row>
    <row r="604" ht="15.75" customHeight="1">
      <c r="A604" s="89"/>
      <c r="B604" s="89"/>
      <c r="C604" s="89"/>
      <c r="D604" s="89"/>
      <c r="E604" s="89"/>
      <c r="F604" s="89"/>
    </row>
    <row r="605" ht="15.75" customHeight="1">
      <c r="A605" s="89"/>
      <c r="B605" s="89"/>
      <c r="C605" s="89"/>
      <c r="D605" s="89"/>
      <c r="E605" s="89"/>
      <c r="F605" s="89"/>
    </row>
    <row r="606" ht="15.75" customHeight="1">
      <c r="A606" s="89"/>
      <c r="B606" s="89"/>
      <c r="C606" s="89"/>
      <c r="D606" s="89"/>
      <c r="E606" s="89"/>
      <c r="F606" s="89"/>
    </row>
    <row r="607" ht="15.75" customHeight="1">
      <c r="A607" s="89"/>
      <c r="B607" s="89"/>
      <c r="C607" s="89"/>
      <c r="D607" s="89"/>
      <c r="E607" s="89"/>
      <c r="F607" s="89"/>
    </row>
    <row r="608" ht="15.75" customHeight="1">
      <c r="A608" s="89"/>
      <c r="B608" s="89"/>
      <c r="C608" s="89"/>
      <c r="D608" s="89"/>
      <c r="E608" s="89"/>
      <c r="F608" s="89"/>
    </row>
    <row r="609" ht="15.75" customHeight="1">
      <c r="A609" s="89"/>
      <c r="B609" s="89"/>
      <c r="C609" s="89"/>
      <c r="D609" s="89"/>
      <c r="E609" s="89"/>
      <c r="F609" s="89"/>
    </row>
    <row r="610" ht="15.75" customHeight="1">
      <c r="A610" s="89"/>
      <c r="B610" s="89"/>
      <c r="C610" s="89"/>
      <c r="D610" s="89"/>
      <c r="E610" s="89"/>
      <c r="F610" s="89"/>
    </row>
    <row r="611" ht="15.75" customHeight="1">
      <c r="A611" s="89"/>
      <c r="B611" s="89"/>
      <c r="C611" s="89"/>
      <c r="D611" s="89"/>
      <c r="E611" s="89"/>
      <c r="F611" s="89"/>
    </row>
    <row r="612" ht="15.75" customHeight="1">
      <c r="A612" s="89"/>
      <c r="B612" s="89"/>
      <c r="C612" s="89"/>
      <c r="D612" s="89"/>
      <c r="E612" s="89"/>
      <c r="F612" s="89"/>
    </row>
    <row r="613" ht="15.75" customHeight="1">
      <c r="A613" s="89"/>
      <c r="B613" s="89"/>
      <c r="C613" s="89"/>
      <c r="D613" s="89"/>
      <c r="E613" s="89"/>
      <c r="F613" s="89"/>
    </row>
    <row r="614" ht="15.75" customHeight="1">
      <c r="A614" s="89"/>
      <c r="B614" s="89"/>
      <c r="C614" s="89"/>
      <c r="D614" s="89"/>
      <c r="E614" s="89"/>
      <c r="F614" s="89"/>
    </row>
    <row r="615" ht="15.75" customHeight="1">
      <c r="A615" s="89"/>
      <c r="B615" s="89"/>
      <c r="C615" s="89"/>
      <c r="D615" s="89"/>
      <c r="E615" s="89"/>
      <c r="F615" s="89"/>
    </row>
    <row r="616" ht="15.75" customHeight="1">
      <c r="A616" s="89"/>
      <c r="B616" s="89"/>
      <c r="C616" s="89"/>
      <c r="D616" s="89"/>
      <c r="E616" s="89"/>
      <c r="F616" s="89"/>
    </row>
    <row r="617" ht="15.75" customHeight="1">
      <c r="A617" s="89"/>
      <c r="B617" s="89"/>
      <c r="C617" s="89"/>
      <c r="D617" s="89"/>
      <c r="E617" s="89"/>
      <c r="F617" s="89"/>
    </row>
    <row r="618" ht="15.75" customHeight="1">
      <c r="A618" s="89"/>
      <c r="B618" s="89"/>
      <c r="C618" s="89"/>
      <c r="D618" s="89"/>
      <c r="E618" s="89"/>
      <c r="F618" s="89"/>
    </row>
    <row r="619" ht="15.75" customHeight="1">
      <c r="A619" s="89"/>
      <c r="B619" s="89"/>
      <c r="C619" s="89"/>
      <c r="D619" s="89"/>
      <c r="E619" s="89"/>
      <c r="F619" s="89"/>
    </row>
    <row r="620" ht="15.75" customHeight="1">
      <c r="A620" s="89"/>
      <c r="B620" s="89"/>
      <c r="C620" s="89"/>
      <c r="D620" s="89"/>
      <c r="E620" s="89"/>
      <c r="F620" s="89"/>
    </row>
    <row r="621" ht="15.75" customHeight="1">
      <c r="A621" s="89"/>
      <c r="B621" s="89"/>
      <c r="C621" s="89"/>
      <c r="D621" s="89"/>
      <c r="E621" s="89"/>
      <c r="F621" s="89"/>
    </row>
    <row r="622" ht="15.75" customHeight="1">
      <c r="A622" s="89"/>
      <c r="B622" s="89"/>
      <c r="C622" s="89"/>
      <c r="D622" s="89"/>
      <c r="E622" s="89"/>
      <c r="F622" s="89"/>
    </row>
    <row r="623" ht="15.75" customHeight="1">
      <c r="A623" s="89"/>
      <c r="B623" s="89"/>
      <c r="C623" s="89"/>
      <c r="D623" s="89"/>
      <c r="E623" s="89"/>
      <c r="F623" s="89"/>
    </row>
    <row r="624" ht="15.75" customHeight="1">
      <c r="A624" s="89"/>
      <c r="B624" s="89"/>
      <c r="C624" s="89"/>
      <c r="D624" s="89"/>
      <c r="E624" s="89"/>
      <c r="F624" s="89"/>
    </row>
    <row r="625" ht="15.75" customHeight="1">
      <c r="A625" s="89"/>
      <c r="B625" s="89"/>
      <c r="C625" s="89"/>
      <c r="D625" s="89"/>
      <c r="E625" s="89"/>
      <c r="F625" s="89"/>
    </row>
    <row r="626" ht="15.75" customHeight="1">
      <c r="A626" s="89"/>
      <c r="B626" s="89"/>
      <c r="C626" s="89"/>
      <c r="D626" s="89"/>
      <c r="E626" s="89"/>
      <c r="F626" s="89"/>
    </row>
    <row r="627" ht="15.75" customHeight="1">
      <c r="A627" s="89"/>
      <c r="B627" s="89"/>
      <c r="C627" s="89"/>
      <c r="D627" s="89"/>
      <c r="E627" s="89"/>
      <c r="F627" s="89"/>
    </row>
    <row r="628" ht="15.75" customHeight="1">
      <c r="A628" s="89"/>
      <c r="B628" s="89"/>
      <c r="C628" s="89"/>
      <c r="D628" s="89"/>
      <c r="E628" s="89"/>
      <c r="F628" s="89"/>
    </row>
    <row r="629" ht="15.75" customHeight="1">
      <c r="A629" s="89"/>
      <c r="B629" s="89"/>
      <c r="C629" s="89"/>
      <c r="D629" s="89"/>
      <c r="E629" s="89"/>
      <c r="F629" s="89"/>
    </row>
    <row r="630" ht="15.75" customHeight="1">
      <c r="A630" s="89"/>
      <c r="B630" s="89"/>
      <c r="C630" s="89"/>
      <c r="D630" s="89"/>
      <c r="E630" s="89"/>
      <c r="F630" s="89"/>
    </row>
    <row r="631" ht="15.75" customHeight="1">
      <c r="A631" s="89"/>
      <c r="B631" s="89"/>
      <c r="C631" s="89"/>
      <c r="D631" s="89"/>
      <c r="E631" s="89"/>
      <c r="F631" s="89"/>
    </row>
    <row r="632" ht="15.75" customHeight="1">
      <c r="A632" s="89"/>
      <c r="B632" s="89"/>
      <c r="C632" s="89"/>
      <c r="D632" s="89"/>
      <c r="E632" s="89"/>
      <c r="F632" s="89"/>
    </row>
    <row r="633" ht="15.75" customHeight="1">
      <c r="A633" s="89"/>
      <c r="B633" s="89"/>
      <c r="C633" s="89"/>
      <c r="D633" s="89"/>
      <c r="E633" s="89"/>
      <c r="F633" s="89"/>
    </row>
    <row r="634" ht="15.75" customHeight="1">
      <c r="A634" s="89"/>
      <c r="B634" s="89"/>
      <c r="C634" s="89"/>
      <c r="D634" s="89"/>
      <c r="E634" s="89"/>
      <c r="F634" s="89"/>
    </row>
    <row r="635" ht="15.75" customHeight="1">
      <c r="A635" s="89"/>
      <c r="B635" s="89"/>
      <c r="C635" s="89"/>
      <c r="D635" s="89"/>
      <c r="E635" s="89"/>
      <c r="F635" s="89"/>
    </row>
    <row r="636" ht="15.75" customHeight="1">
      <c r="A636" s="89"/>
      <c r="B636" s="89"/>
      <c r="C636" s="89"/>
      <c r="D636" s="89"/>
      <c r="E636" s="89"/>
      <c r="F636" s="89"/>
    </row>
    <row r="637" ht="15.75" customHeight="1">
      <c r="A637" s="89"/>
      <c r="B637" s="89"/>
      <c r="C637" s="89"/>
      <c r="D637" s="89"/>
      <c r="E637" s="89"/>
      <c r="F637" s="89"/>
    </row>
    <row r="638" ht="15.75" customHeight="1">
      <c r="A638" s="89"/>
      <c r="B638" s="89"/>
      <c r="C638" s="89"/>
      <c r="D638" s="89"/>
      <c r="E638" s="89"/>
      <c r="F638" s="89"/>
    </row>
    <row r="639" ht="15.75" customHeight="1">
      <c r="A639" s="89"/>
      <c r="B639" s="89"/>
      <c r="C639" s="89"/>
      <c r="D639" s="89"/>
      <c r="E639" s="89"/>
      <c r="F639" s="89"/>
    </row>
    <row r="640" ht="15.75" customHeight="1">
      <c r="A640" s="89"/>
      <c r="B640" s="89"/>
      <c r="C640" s="89"/>
      <c r="D640" s="89"/>
      <c r="E640" s="89"/>
      <c r="F640" s="89"/>
    </row>
    <row r="641" ht="15.75" customHeight="1">
      <c r="A641" s="89"/>
      <c r="B641" s="89"/>
      <c r="C641" s="89"/>
      <c r="D641" s="89"/>
      <c r="E641" s="89"/>
      <c r="F641" s="89"/>
    </row>
    <row r="642" ht="15.75" customHeight="1">
      <c r="A642" s="89"/>
      <c r="B642" s="89"/>
      <c r="C642" s="89"/>
      <c r="D642" s="89"/>
      <c r="E642" s="89"/>
      <c r="F642" s="89"/>
    </row>
    <row r="643" ht="15.75" customHeight="1">
      <c r="A643" s="89"/>
      <c r="B643" s="89"/>
      <c r="C643" s="89"/>
      <c r="D643" s="89"/>
      <c r="E643" s="89"/>
      <c r="F643" s="89"/>
    </row>
    <row r="644" ht="15.75" customHeight="1">
      <c r="A644" s="89"/>
      <c r="B644" s="89"/>
      <c r="C644" s="89"/>
      <c r="D644" s="89"/>
      <c r="E644" s="89"/>
      <c r="F644" s="89"/>
    </row>
    <row r="645" ht="15.75" customHeight="1">
      <c r="A645" s="89"/>
      <c r="B645" s="89"/>
      <c r="C645" s="89"/>
      <c r="D645" s="89"/>
      <c r="E645" s="89"/>
      <c r="F645" s="89"/>
    </row>
    <row r="646" ht="15.75" customHeight="1">
      <c r="A646" s="89"/>
      <c r="B646" s="89"/>
      <c r="C646" s="89"/>
      <c r="D646" s="89"/>
      <c r="E646" s="89"/>
      <c r="F646" s="89"/>
    </row>
    <row r="647" ht="15.75" customHeight="1">
      <c r="A647" s="89"/>
      <c r="B647" s="89"/>
      <c r="C647" s="89"/>
      <c r="D647" s="89"/>
      <c r="E647" s="89"/>
      <c r="F647" s="89"/>
    </row>
    <row r="648" ht="15.75" customHeight="1">
      <c r="A648" s="89"/>
      <c r="B648" s="89"/>
      <c r="C648" s="89"/>
      <c r="D648" s="89"/>
      <c r="E648" s="89"/>
      <c r="F648" s="89"/>
    </row>
    <row r="649" ht="15.75" customHeight="1">
      <c r="A649" s="89"/>
      <c r="B649" s="89"/>
      <c r="C649" s="89"/>
      <c r="D649" s="89"/>
      <c r="E649" s="89"/>
      <c r="F649" s="89"/>
    </row>
    <row r="650" ht="15.75" customHeight="1">
      <c r="A650" s="89"/>
      <c r="B650" s="89"/>
      <c r="C650" s="89"/>
      <c r="D650" s="89"/>
      <c r="E650" s="89"/>
      <c r="F650" s="89"/>
    </row>
    <row r="651" ht="15.75" customHeight="1">
      <c r="A651" s="89"/>
      <c r="B651" s="89"/>
      <c r="C651" s="89"/>
      <c r="D651" s="89"/>
      <c r="E651" s="89"/>
      <c r="F651" s="89"/>
    </row>
    <row r="652" ht="15.75" customHeight="1">
      <c r="A652" s="89"/>
      <c r="B652" s="89"/>
      <c r="C652" s="89"/>
      <c r="D652" s="89"/>
      <c r="E652" s="89"/>
      <c r="F652" s="89"/>
    </row>
    <row r="653" ht="15.75" customHeight="1">
      <c r="A653" s="89"/>
      <c r="B653" s="89"/>
      <c r="C653" s="89"/>
      <c r="D653" s="89"/>
      <c r="E653" s="89"/>
      <c r="F653" s="89"/>
    </row>
    <row r="654" ht="15.75" customHeight="1">
      <c r="A654" s="89"/>
      <c r="B654" s="89"/>
      <c r="C654" s="89"/>
      <c r="D654" s="89"/>
      <c r="E654" s="89"/>
      <c r="F654" s="89"/>
    </row>
    <row r="655" ht="15.75" customHeight="1">
      <c r="A655" s="89"/>
      <c r="B655" s="89"/>
      <c r="C655" s="89"/>
      <c r="D655" s="89"/>
      <c r="E655" s="89"/>
      <c r="F655" s="89"/>
    </row>
    <row r="656" ht="15.75" customHeight="1">
      <c r="A656" s="89"/>
      <c r="B656" s="89"/>
      <c r="C656" s="89"/>
      <c r="D656" s="89"/>
      <c r="E656" s="89"/>
      <c r="F656" s="89"/>
    </row>
    <row r="657" ht="15.75" customHeight="1">
      <c r="A657" s="89"/>
      <c r="B657" s="89"/>
      <c r="C657" s="89"/>
      <c r="D657" s="89"/>
      <c r="E657" s="89"/>
      <c r="F657" s="89"/>
    </row>
    <row r="658" ht="15.75" customHeight="1">
      <c r="A658" s="89"/>
      <c r="B658" s="89"/>
      <c r="C658" s="89"/>
      <c r="D658" s="89"/>
      <c r="E658" s="89"/>
      <c r="F658" s="89"/>
    </row>
    <row r="659" ht="15.75" customHeight="1">
      <c r="A659" s="89"/>
      <c r="B659" s="89"/>
      <c r="C659" s="89"/>
      <c r="D659" s="89"/>
      <c r="E659" s="89"/>
      <c r="F659" s="89"/>
    </row>
    <row r="660" ht="15.75" customHeight="1">
      <c r="A660" s="89"/>
      <c r="B660" s="89"/>
      <c r="C660" s="89"/>
      <c r="D660" s="89"/>
      <c r="E660" s="89"/>
      <c r="F660" s="89"/>
    </row>
    <row r="661" ht="15.75" customHeight="1">
      <c r="A661" s="89"/>
      <c r="B661" s="89"/>
      <c r="C661" s="89"/>
      <c r="D661" s="89"/>
      <c r="E661" s="89"/>
      <c r="F661" s="89"/>
    </row>
    <row r="662" ht="15.75" customHeight="1">
      <c r="A662" s="89"/>
      <c r="B662" s="89"/>
      <c r="C662" s="89"/>
      <c r="D662" s="89"/>
      <c r="E662" s="89"/>
      <c r="F662" s="89"/>
    </row>
    <row r="663" ht="15.75" customHeight="1">
      <c r="A663" s="89"/>
      <c r="B663" s="89"/>
      <c r="C663" s="89"/>
      <c r="D663" s="89"/>
      <c r="E663" s="89"/>
      <c r="F663" s="89"/>
    </row>
    <row r="664" ht="15.75" customHeight="1">
      <c r="A664" s="89"/>
      <c r="B664" s="89"/>
      <c r="C664" s="89"/>
      <c r="D664" s="89"/>
      <c r="E664" s="89"/>
      <c r="F664" s="89"/>
    </row>
    <row r="665" ht="15.75" customHeight="1">
      <c r="A665" s="89"/>
      <c r="B665" s="89"/>
      <c r="C665" s="89"/>
      <c r="D665" s="89"/>
      <c r="E665" s="89"/>
      <c r="F665" s="89"/>
    </row>
    <row r="666" ht="15.75" customHeight="1">
      <c r="A666" s="89"/>
      <c r="B666" s="89"/>
      <c r="C666" s="89"/>
      <c r="D666" s="89"/>
      <c r="E666" s="89"/>
      <c r="F666" s="89"/>
    </row>
    <row r="667" ht="15.75" customHeight="1">
      <c r="A667" s="89"/>
      <c r="B667" s="89"/>
      <c r="C667" s="89"/>
      <c r="D667" s="89"/>
      <c r="E667" s="89"/>
      <c r="F667" s="89"/>
    </row>
    <row r="668" ht="15.75" customHeight="1">
      <c r="A668" s="89"/>
      <c r="B668" s="89"/>
      <c r="C668" s="89"/>
      <c r="D668" s="89"/>
      <c r="E668" s="89"/>
      <c r="F668" s="89"/>
    </row>
    <row r="669" ht="15.75" customHeight="1">
      <c r="A669" s="89"/>
      <c r="B669" s="89"/>
      <c r="C669" s="89"/>
      <c r="D669" s="89"/>
      <c r="E669" s="89"/>
      <c r="F669" s="89"/>
    </row>
    <row r="670" ht="15.75" customHeight="1">
      <c r="A670" s="89"/>
      <c r="B670" s="89"/>
      <c r="C670" s="89"/>
      <c r="D670" s="89"/>
      <c r="E670" s="89"/>
      <c r="F670" s="89"/>
    </row>
    <row r="671" ht="15.75" customHeight="1">
      <c r="A671" s="89"/>
      <c r="B671" s="89"/>
      <c r="C671" s="89"/>
      <c r="D671" s="89"/>
      <c r="E671" s="89"/>
      <c r="F671" s="89"/>
    </row>
    <row r="672" ht="15.75" customHeight="1">
      <c r="A672" s="89"/>
      <c r="B672" s="89"/>
      <c r="C672" s="89"/>
      <c r="D672" s="89"/>
      <c r="E672" s="89"/>
      <c r="F672" s="89"/>
    </row>
    <row r="673" ht="15.75" customHeight="1">
      <c r="A673" s="89"/>
      <c r="B673" s="89"/>
      <c r="C673" s="89"/>
      <c r="D673" s="89"/>
      <c r="E673" s="89"/>
      <c r="F673" s="89"/>
    </row>
    <row r="674" ht="15.75" customHeight="1">
      <c r="A674" s="89"/>
      <c r="B674" s="89"/>
      <c r="C674" s="89"/>
      <c r="D674" s="89"/>
      <c r="E674" s="89"/>
      <c r="F674" s="89"/>
    </row>
    <row r="675" ht="15.75" customHeight="1">
      <c r="A675" s="89"/>
      <c r="B675" s="89"/>
      <c r="C675" s="89"/>
      <c r="D675" s="89"/>
      <c r="E675" s="89"/>
      <c r="F675" s="89"/>
    </row>
    <row r="676" ht="15.75" customHeight="1">
      <c r="A676" s="89"/>
      <c r="B676" s="89"/>
      <c r="C676" s="89"/>
      <c r="D676" s="89"/>
      <c r="E676" s="89"/>
      <c r="F676" s="89"/>
    </row>
    <row r="677" ht="15.75" customHeight="1">
      <c r="A677" s="89"/>
      <c r="B677" s="89"/>
      <c r="C677" s="89"/>
      <c r="D677" s="89"/>
      <c r="E677" s="89"/>
      <c r="F677" s="89"/>
    </row>
    <row r="678" ht="15.75" customHeight="1">
      <c r="A678" s="89"/>
      <c r="B678" s="89"/>
      <c r="C678" s="89"/>
      <c r="D678" s="89"/>
      <c r="E678" s="89"/>
      <c r="F678" s="89"/>
    </row>
    <row r="679" ht="15.75" customHeight="1">
      <c r="A679" s="89"/>
      <c r="B679" s="89"/>
      <c r="C679" s="89"/>
      <c r="D679" s="89"/>
      <c r="E679" s="89"/>
      <c r="F679" s="89"/>
    </row>
    <row r="680" ht="15.75" customHeight="1">
      <c r="A680" s="89"/>
      <c r="B680" s="89"/>
      <c r="C680" s="89"/>
      <c r="D680" s="89"/>
      <c r="E680" s="89"/>
      <c r="F680" s="89"/>
    </row>
    <row r="681" ht="15.75" customHeight="1">
      <c r="A681" s="89"/>
      <c r="B681" s="89"/>
      <c r="C681" s="89"/>
      <c r="D681" s="89"/>
      <c r="E681" s="89"/>
      <c r="F681" s="89"/>
    </row>
    <row r="682" ht="15.75" customHeight="1">
      <c r="A682" s="89"/>
      <c r="B682" s="89"/>
      <c r="C682" s="89"/>
      <c r="D682" s="89"/>
      <c r="E682" s="89"/>
      <c r="F682" s="89"/>
    </row>
    <row r="683" ht="15.75" customHeight="1">
      <c r="A683" s="89"/>
      <c r="B683" s="89"/>
      <c r="C683" s="89"/>
      <c r="D683" s="89"/>
      <c r="E683" s="89"/>
      <c r="F683" s="89"/>
    </row>
    <row r="684" ht="15.75" customHeight="1">
      <c r="A684" s="89"/>
      <c r="B684" s="89"/>
      <c r="C684" s="89"/>
      <c r="D684" s="89"/>
      <c r="E684" s="89"/>
      <c r="F684" s="89"/>
    </row>
    <row r="685" ht="15.75" customHeight="1">
      <c r="A685" s="89"/>
      <c r="B685" s="89"/>
      <c r="C685" s="89"/>
      <c r="D685" s="89"/>
      <c r="E685" s="89"/>
      <c r="F685" s="89"/>
    </row>
    <row r="686" ht="15.75" customHeight="1">
      <c r="A686" s="89"/>
      <c r="B686" s="89"/>
      <c r="C686" s="89"/>
      <c r="D686" s="89"/>
      <c r="E686" s="89"/>
      <c r="F686" s="89"/>
    </row>
    <row r="687" ht="15.75" customHeight="1">
      <c r="A687" s="89"/>
      <c r="B687" s="89"/>
      <c r="C687" s="89"/>
      <c r="D687" s="89"/>
      <c r="E687" s="89"/>
      <c r="F687" s="89"/>
    </row>
    <row r="688" ht="15.75" customHeight="1">
      <c r="A688" s="89"/>
      <c r="B688" s="89"/>
      <c r="C688" s="89"/>
      <c r="D688" s="89"/>
      <c r="E688" s="89"/>
      <c r="F688" s="89"/>
    </row>
    <row r="689" ht="15.75" customHeight="1">
      <c r="A689" s="89"/>
      <c r="B689" s="89"/>
      <c r="C689" s="89"/>
      <c r="D689" s="89"/>
      <c r="E689" s="89"/>
      <c r="F689" s="89"/>
    </row>
    <row r="690" ht="15.75" customHeight="1">
      <c r="A690" s="89"/>
      <c r="B690" s="89"/>
      <c r="C690" s="89"/>
      <c r="D690" s="89"/>
      <c r="E690" s="89"/>
      <c r="F690" s="89"/>
    </row>
    <row r="691" ht="15.75" customHeight="1">
      <c r="A691" s="89"/>
      <c r="B691" s="89"/>
      <c r="C691" s="89"/>
      <c r="D691" s="89"/>
      <c r="E691" s="89"/>
      <c r="F691" s="89"/>
    </row>
    <row r="692" ht="15.75" customHeight="1">
      <c r="A692" s="89"/>
      <c r="B692" s="89"/>
      <c r="C692" s="89"/>
      <c r="D692" s="89"/>
      <c r="E692" s="89"/>
      <c r="F692" s="89"/>
    </row>
    <row r="693" ht="15.75" customHeight="1">
      <c r="A693" s="89"/>
      <c r="B693" s="89"/>
      <c r="C693" s="89"/>
      <c r="D693" s="89"/>
      <c r="E693" s="89"/>
      <c r="F693" s="89"/>
    </row>
    <row r="694" ht="15.75" customHeight="1">
      <c r="A694" s="89"/>
      <c r="B694" s="89"/>
      <c r="C694" s="89"/>
      <c r="D694" s="89"/>
      <c r="E694" s="89"/>
      <c r="F694" s="89"/>
    </row>
    <row r="695" ht="15.75" customHeight="1">
      <c r="A695" s="89"/>
      <c r="B695" s="89"/>
      <c r="C695" s="89"/>
      <c r="D695" s="89"/>
      <c r="E695" s="89"/>
      <c r="F695" s="89"/>
    </row>
    <row r="696" ht="15.75" customHeight="1">
      <c r="A696" s="89"/>
      <c r="B696" s="89"/>
      <c r="C696" s="89"/>
      <c r="D696" s="89"/>
      <c r="E696" s="89"/>
      <c r="F696" s="89"/>
    </row>
    <row r="697" ht="15.75" customHeight="1">
      <c r="A697" s="89"/>
      <c r="B697" s="89"/>
      <c r="C697" s="89"/>
      <c r="D697" s="89"/>
      <c r="E697" s="89"/>
      <c r="F697" s="89"/>
    </row>
    <row r="698" ht="15.75" customHeight="1">
      <c r="A698" s="89"/>
      <c r="B698" s="89"/>
      <c r="C698" s="89"/>
      <c r="D698" s="89"/>
      <c r="E698" s="89"/>
      <c r="F698" s="89"/>
    </row>
    <row r="699" ht="15.75" customHeight="1">
      <c r="A699" s="89"/>
      <c r="B699" s="89"/>
      <c r="C699" s="89"/>
      <c r="D699" s="89"/>
      <c r="E699" s="89"/>
      <c r="F699" s="89"/>
    </row>
    <row r="700" ht="15.75" customHeight="1">
      <c r="A700" s="89"/>
      <c r="B700" s="89"/>
      <c r="C700" s="89"/>
      <c r="D700" s="89"/>
      <c r="E700" s="89"/>
      <c r="F700" s="89"/>
    </row>
    <row r="701" ht="15.75" customHeight="1">
      <c r="A701" s="89"/>
      <c r="B701" s="89"/>
      <c r="C701" s="89"/>
      <c r="D701" s="89"/>
      <c r="E701" s="89"/>
      <c r="F701" s="89"/>
    </row>
    <row r="702" ht="15.75" customHeight="1">
      <c r="A702" s="89"/>
      <c r="B702" s="89"/>
      <c r="C702" s="89"/>
      <c r="D702" s="89"/>
      <c r="E702" s="89"/>
      <c r="F702" s="89"/>
    </row>
    <row r="703" ht="15.75" customHeight="1">
      <c r="A703" s="89"/>
      <c r="B703" s="89"/>
      <c r="C703" s="89"/>
      <c r="D703" s="89"/>
      <c r="E703" s="89"/>
      <c r="F703" s="89"/>
    </row>
    <row r="704" ht="15.75" customHeight="1">
      <c r="A704" s="89"/>
      <c r="B704" s="89"/>
      <c r="C704" s="89"/>
      <c r="D704" s="89"/>
      <c r="E704" s="89"/>
      <c r="F704" s="89"/>
    </row>
    <row r="705" ht="15.75" customHeight="1">
      <c r="A705" s="89"/>
      <c r="B705" s="89"/>
      <c r="C705" s="89"/>
      <c r="D705" s="89"/>
      <c r="E705" s="89"/>
      <c r="F705" s="89"/>
    </row>
    <row r="706" ht="15.75" customHeight="1">
      <c r="A706" s="89"/>
      <c r="B706" s="89"/>
      <c r="C706" s="89"/>
      <c r="D706" s="89"/>
      <c r="E706" s="89"/>
      <c r="F706" s="89"/>
    </row>
    <row r="707" ht="15.75" customHeight="1">
      <c r="A707" s="89"/>
      <c r="B707" s="89"/>
      <c r="C707" s="89"/>
      <c r="D707" s="89"/>
      <c r="E707" s="89"/>
      <c r="F707" s="89"/>
    </row>
    <row r="708" ht="15.75" customHeight="1">
      <c r="A708" s="89"/>
      <c r="B708" s="89"/>
      <c r="C708" s="89"/>
      <c r="D708" s="89"/>
      <c r="E708" s="89"/>
      <c r="F708" s="89"/>
    </row>
    <row r="709" ht="15.75" customHeight="1">
      <c r="A709" s="89"/>
      <c r="B709" s="89"/>
      <c r="C709" s="89"/>
      <c r="D709" s="89"/>
      <c r="E709" s="89"/>
      <c r="F709" s="89"/>
    </row>
    <row r="710" ht="15.75" customHeight="1">
      <c r="A710" s="89"/>
      <c r="B710" s="89"/>
      <c r="C710" s="89"/>
      <c r="D710" s="89"/>
      <c r="E710" s="89"/>
      <c r="F710" s="89"/>
    </row>
    <row r="711" ht="15.75" customHeight="1">
      <c r="A711" s="89"/>
      <c r="B711" s="89"/>
      <c r="C711" s="89"/>
      <c r="D711" s="89"/>
      <c r="E711" s="89"/>
      <c r="F711" s="89"/>
    </row>
    <row r="712" ht="15.75" customHeight="1">
      <c r="A712" s="89"/>
      <c r="B712" s="89"/>
      <c r="C712" s="89"/>
      <c r="D712" s="89"/>
      <c r="E712" s="89"/>
      <c r="F712" s="89"/>
    </row>
    <row r="713" ht="15.75" customHeight="1">
      <c r="A713" s="89"/>
      <c r="B713" s="89"/>
      <c r="C713" s="89"/>
      <c r="D713" s="89"/>
      <c r="E713" s="89"/>
      <c r="F713" s="89"/>
    </row>
    <row r="714" ht="15.75" customHeight="1">
      <c r="A714" s="89"/>
      <c r="B714" s="89"/>
      <c r="C714" s="89"/>
      <c r="D714" s="89"/>
      <c r="E714" s="89"/>
      <c r="F714" s="89"/>
    </row>
    <row r="715" ht="15.75" customHeight="1">
      <c r="A715" s="89"/>
      <c r="B715" s="89"/>
      <c r="C715" s="89"/>
      <c r="D715" s="89"/>
      <c r="E715" s="89"/>
      <c r="F715" s="89"/>
    </row>
    <row r="716" ht="15.75" customHeight="1">
      <c r="A716" s="89"/>
      <c r="B716" s="89"/>
      <c r="C716" s="89"/>
      <c r="D716" s="89"/>
      <c r="E716" s="89"/>
      <c r="F716" s="89"/>
    </row>
    <row r="717" ht="15.75" customHeight="1">
      <c r="A717" s="89"/>
      <c r="B717" s="89"/>
      <c r="C717" s="89"/>
      <c r="D717" s="89"/>
      <c r="E717" s="89"/>
      <c r="F717" s="89"/>
    </row>
    <row r="718" ht="15.75" customHeight="1">
      <c r="A718" s="89"/>
      <c r="B718" s="89"/>
      <c r="C718" s="89"/>
      <c r="D718" s="89"/>
      <c r="E718" s="89"/>
      <c r="F718" s="89"/>
    </row>
    <row r="719" ht="15.75" customHeight="1">
      <c r="A719" s="89"/>
      <c r="B719" s="89"/>
      <c r="C719" s="89"/>
      <c r="D719" s="89"/>
      <c r="E719" s="89"/>
      <c r="F719" s="89"/>
    </row>
    <row r="720" ht="15.75" customHeight="1">
      <c r="A720" s="89"/>
      <c r="B720" s="89"/>
      <c r="C720" s="89"/>
      <c r="D720" s="89"/>
      <c r="E720" s="89"/>
      <c r="F720" s="89"/>
    </row>
    <row r="721" ht="15.75" customHeight="1">
      <c r="A721" s="89"/>
      <c r="B721" s="89"/>
      <c r="C721" s="89"/>
      <c r="D721" s="89"/>
      <c r="E721" s="89"/>
      <c r="F721" s="89"/>
    </row>
    <row r="722" ht="15.75" customHeight="1">
      <c r="A722" s="89"/>
      <c r="B722" s="89"/>
      <c r="C722" s="89"/>
      <c r="D722" s="89"/>
      <c r="E722" s="89"/>
      <c r="F722" s="89"/>
    </row>
    <row r="723" ht="15.75" customHeight="1">
      <c r="A723" s="89"/>
      <c r="B723" s="89"/>
      <c r="C723" s="89"/>
      <c r="D723" s="89"/>
      <c r="E723" s="89"/>
      <c r="F723" s="89"/>
    </row>
    <row r="724" ht="15.75" customHeight="1">
      <c r="A724" s="89"/>
      <c r="B724" s="89"/>
      <c r="C724" s="89"/>
      <c r="D724" s="89"/>
      <c r="E724" s="89"/>
      <c r="F724" s="89"/>
    </row>
    <row r="725" ht="15.75" customHeight="1">
      <c r="A725" s="89"/>
      <c r="B725" s="89"/>
      <c r="C725" s="89"/>
      <c r="D725" s="89"/>
      <c r="E725" s="89"/>
      <c r="F725" s="89"/>
    </row>
    <row r="726" ht="15.75" customHeight="1">
      <c r="A726" s="89"/>
      <c r="B726" s="89"/>
      <c r="C726" s="89"/>
      <c r="D726" s="89"/>
      <c r="E726" s="89"/>
      <c r="F726" s="89"/>
    </row>
    <row r="727" ht="15.75" customHeight="1">
      <c r="A727" s="89"/>
      <c r="B727" s="89"/>
      <c r="C727" s="89"/>
      <c r="D727" s="89"/>
      <c r="E727" s="89"/>
      <c r="F727" s="89"/>
    </row>
    <row r="728" ht="15.75" customHeight="1">
      <c r="A728" s="89"/>
      <c r="B728" s="89"/>
      <c r="C728" s="89"/>
      <c r="D728" s="89"/>
      <c r="E728" s="89"/>
      <c r="F728" s="89"/>
    </row>
    <row r="729" ht="15.75" customHeight="1">
      <c r="A729" s="89"/>
      <c r="B729" s="89"/>
      <c r="C729" s="89"/>
      <c r="D729" s="89"/>
      <c r="E729" s="89"/>
      <c r="F729" s="89"/>
    </row>
    <row r="730" ht="15.75" customHeight="1">
      <c r="A730" s="89"/>
      <c r="B730" s="89"/>
      <c r="C730" s="89"/>
      <c r="D730" s="89"/>
      <c r="E730" s="89"/>
      <c r="F730" s="89"/>
    </row>
    <row r="731" ht="15.75" customHeight="1">
      <c r="A731" s="89"/>
      <c r="B731" s="89"/>
      <c r="C731" s="89"/>
      <c r="D731" s="89"/>
      <c r="E731" s="89"/>
      <c r="F731" s="89"/>
    </row>
    <row r="732" ht="15.75" customHeight="1">
      <c r="A732" s="89"/>
      <c r="B732" s="89"/>
      <c r="C732" s="89"/>
      <c r="D732" s="89"/>
      <c r="E732" s="89"/>
      <c r="F732" s="89"/>
    </row>
    <row r="733" ht="15.75" customHeight="1">
      <c r="A733" s="89"/>
      <c r="B733" s="89"/>
      <c r="C733" s="89"/>
      <c r="D733" s="89"/>
      <c r="E733" s="89"/>
      <c r="F733" s="89"/>
    </row>
    <row r="734" ht="15.75" customHeight="1">
      <c r="A734" s="89"/>
      <c r="B734" s="89"/>
      <c r="C734" s="89"/>
      <c r="D734" s="89"/>
      <c r="E734" s="89"/>
      <c r="F734" s="89"/>
    </row>
    <row r="735" ht="15.75" customHeight="1">
      <c r="A735" s="89"/>
      <c r="B735" s="89"/>
      <c r="C735" s="89"/>
      <c r="D735" s="89"/>
      <c r="E735" s="89"/>
      <c r="F735" s="89"/>
    </row>
    <row r="736" ht="15.75" customHeight="1">
      <c r="A736" s="89"/>
      <c r="B736" s="89"/>
      <c r="C736" s="89"/>
      <c r="D736" s="89"/>
      <c r="E736" s="89"/>
      <c r="F736" s="89"/>
    </row>
    <row r="737" ht="15.75" customHeight="1">
      <c r="A737" s="89"/>
      <c r="B737" s="89"/>
      <c r="C737" s="89"/>
      <c r="D737" s="89"/>
      <c r="E737" s="89"/>
      <c r="F737" s="89"/>
    </row>
    <row r="738" ht="15.75" customHeight="1">
      <c r="A738" s="89"/>
      <c r="B738" s="89"/>
      <c r="C738" s="89"/>
      <c r="D738" s="89"/>
      <c r="E738" s="89"/>
      <c r="F738" s="89"/>
    </row>
    <row r="739" ht="15.75" customHeight="1">
      <c r="A739" s="89"/>
      <c r="B739" s="89"/>
      <c r="C739" s="89"/>
      <c r="D739" s="89"/>
      <c r="E739" s="89"/>
      <c r="F739" s="89"/>
    </row>
    <row r="740" ht="15.75" customHeight="1">
      <c r="A740" s="89"/>
      <c r="B740" s="89"/>
      <c r="C740" s="89"/>
      <c r="D740" s="89"/>
      <c r="E740" s="89"/>
      <c r="F740" s="89"/>
    </row>
    <row r="741" ht="15.75" customHeight="1">
      <c r="A741" s="89"/>
      <c r="B741" s="89"/>
      <c r="C741" s="89"/>
      <c r="D741" s="89"/>
      <c r="E741" s="89"/>
      <c r="F741" s="89"/>
    </row>
    <row r="742" ht="15.75" customHeight="1">
      <c r="A742" s="89"/>
      <c r="B742" s="89"/>
      <c r="C742" s="89"/>
      <c r="D742" s="89"/>
      <c r="E742" s="89"/>
      <c r="F742" s="89"/>
    </row>
    <row r="743" ht="15.75" customHeight="1">
      <c r="A743" s="89"/>
      <c r="B743" s="89"/>
      <c r="C743" s="89"/>
      <c r="D743" s="89"/>
      <c r="E743" s="89"/>
      <c r="F743" s="89"/>
    </row>
    <row r="744" ht="15.75" customHeight="1">
      <c r="A744" s="89"/>
      <c r="B744" s="89"/>
      <c r="C744" s="89"/>
      <c r="D744" s="89"/>
      <c r="E744" s="89"/>
      <c r="F744" s="89"/>
    </row>
    <row r="745" ht="15.75" customHeight="1">
      <c r="A745" s="89"/>
      <c r="B745" s="89"/>
      <c r="C745" s="89"/>
      <c r="D745" s="89"/>
      <c r="E745" s="89"/>
      <c r="F745" s="89"/>
    </row>
    <row r="746" ht="15.75" customHeight="1">
      <c r="A746" s="89"/>
      <c r="B746" s="89"/>
      <c r="C746" s="89"/>
      <c r="D746" s="89"/>
      <c r="E746" s="89"/>
      <c r="F746" s="89"/>
    </row>
    <row r="747" ht="15.75" customHeight="1">
      <c r="A747" s="89"/>
      <c r="B747" s="89"/>
      <c r="C747" s="89"/>
      <c r="D747" s="89"/>
      <c r="E747" s="89"/>
      <c r="F747" s="89"/>
    </row>
    <row r="748" ht="15.75" customHeight="1">
      <c r="A748" s="89"/>
      <c r="B748" s="89"/>
      <c r="C748" s="89"/>
      <c r="D748" s="89"/>
      <c r="E748" s="89"/>
      <c r="F748" s="89"/>
    </row>
    <row r="749" ht="15.75" customHeight="1">
      <c r="A749" s="89"/>
      <c r="B749" s="89"/>
      <c r="C749" s="89"/>
      <c r="D749" s="89"/>
      <c r="E749" s="89"/>
      <c r="F749" s="89"/>
    </row>
    <row r="750" ht="15.75" customHeight="1">
      <c r="A750" s="89"/>
      <c r="B750" s="89"/>
      <c r="C750" s="89"/>
      <c r="D750" s="89"/>
      <c r="E750" s="89"/>
      <c r="F750" s="89"/>
    </row>
    <row r="751" ht="15.75" customHeight="1">
      <c r="A751" s="89"/>
      <c r="B751" s="89"/>
      <c r="C751" s="89"/>
      <c r="D751" s="89"/>
      <c r="E751" s="89"/>
      <c r="F751" s="89"/>
    </row>
    <row r="752" ht="15.75" customHeight="1">
      <c r="A752" s="89"/>
      <c r="B752" s="89"/>
      <c r="C752" s="89"/>
      <c r="D752" s="89"/>
      <c r="E752" s="89"/>
      <c r="F752" s="89"/>
    </row>
    <row r="753" ht="15.75" customHeight="1">
      <c r="A753" s="89"/>
      <c r="B753" s="89"/>
      <c r="C753" s="89"/>
      <c r="D753" s="89"/>
      <c r="E753" s="89"/>
      <c r="F753" s="89"/>
    </row>
    <row r="754" ht="15.75" customHeight="1">
      <c r="A754" s="89"/>
      <c r="B754" s="89"/>
      <c r="C754" s="89"/>
      <c r="D754" s="89"/>
      <c r="E754" s="89"/>
      <c r="F754" s="89"/>
    </row>
    <row r="755" ht="15.75" customHeight="1">
      <c r="A755" s="89"/>
      <c r="B755" s="89"/>
      <c r="C755" s="89"/>
      <c r="D755" s="89"/>
      <c r="E755" s="89"/>
      <c r="F755" s="89"/>
    </row>
    <row r="756" ht="15.75" customHeight="1">
      <c r="A756" s="89"/>
      <c r="B756" s="89"/>
      <c r="C756" s="89"/>
      <c r="D756" s="89"/>
      <c r="E756" s="89"/>
      <c r="F756" s="89"/>
    </row>
    <row r="757" ht="15.75" customHeight="1">
      <c r="A757" s="89"/>
      <c r="B757" s="89"/>
      <c r="C757" s="89"/>
      <c r="D757" s="89"/>
      <c r="E757" s="89"/>
      <c r="F757" s="89"/>
    </row>
    <row r="758" ht="15.75" customHeight="1">
      <c r="A758" s="89"/>
      <c r="B758" s="89"/>
      <c r="C758" s="89"/>
      <c r="D758" s="89"/>
      <c r="E758" s="89"/>
      <c r="F758" s="89"/>
    </row>
    <row r="759" ht="15.75" customHeight="1">
      <c r="A759" s="89"/>
      <c r="B759" s="89"/>
      <c r="C759" s="89"/>
      <c r="D759" s="89"/>
      <c r="E759" s="89"/>
      <c r="F759" s="89"/>
    </row>
    <row r="760" ht="15.75" customHeight="1">
      <c r="A760" s="89"/>
      <c r="B760" s="89"/>
      <c r="C760" s="89"/>
      <c r="D760" s="89"/>
      <c r="E760" s="89"/>
      <c r="F760" s="89"/>
    </row>
    <row r="761" ht="15.75" customHeight="1">
      <c r="A761" s="89"/>
      <c r="B761" s="89"/>
      <c r="C761" s="89"/>
      <c r="D761" s="89"/>
      <c r="E761" s="89"/>
      <c r="F761" s="89"/>
    </row>
    <row r="762" ht="15.75" customHeight="1">
      <c r="A762" s="89"/>
      <c r="B762" s="89"/>
      <c r="C762" s="89"/>
      <c r="D762" s="89"/>
      <c r="E762" s="89"/>
      <c r="F762" s="89"/>
    </row>
    <row r="763" ht="15.75" customHeight="1">
      <c r="A763" s="89"/>
      <c r="B763" s="89"/>
      <c r="C763" s="89"/>
      <c r="D763" s="89"/>
      <c r="E763" s="89"/>
      <c r="F763" s="89"/>
    </row>
    <row r="764" ht="15.75" customHeight="1">
      <c r="A764" s="89"/>
      <c r="B764" s="89"/>
      <c r="C764" s="89"/>
      <c r="D764" s="89"/>
      <c r="E764" s="89"/>
      <c r="F764" s="89"/>
    </row>
    <row r="765" ht="15.75" customHeight="1">
      <c r="A765" s="89"/>
      <c r="B765" s="89"/>
      <c r="C765" s="89"/>
      <c r="D765" s="89"/>
      <c r="E765" s="89"/>
      <c r="F765" s="89"/>
    </row>
    <row r="766" ht="15.75" customHeight="1">
      <c r="A766" s="89"/>
      <c r="B766" s="89"/>
      <c r="C766" s="89"/>
      <c r="D766" s="89"/>
      <c r="E766" s="89"/>
      <c r="F766" s="89"/>
    </row>
    <row r="767" ht="15.75" customHeight="1">
      <c r="A767" s="89"/>
      <c r="B767" s="89"/>
      <c r="C767" s="89"/>
      <c r="D767" s="89"/>
      <c r="E767" s="89"/>
      <c r="F767" s="89"/>
    </row>
    <row r="768" ht="15.75" customHeight="1">
      <c r="A768" s="89"/>
      <c r="B768" s="89"/>
      <c r="C768" s="89"/>
      <c r="D768" s="89"/>
      <c r="E768" s="89"/>
      <c r="F768" s="89"/>
    </row>
    <row r="769" ht="15.75" customHeight="1">
      <c r="A769" s="89"/>
      <c r="B769" s="89"/>
      <c r="C769" s="89"/>
      <c r="D769" s="89"/>
      <c r="E769" s="89"/>
      <c r="F769" s="89"/>
    </row>
    <row r="770" ht="15.75" customHeight="1">
      <c r="A770" s="89"/>
      <c r="B770" s="89"/>
      <c r="C770" s="89"/>
      <c r="D770" s="89"/>
      <c r="E770" s="89"/>
      <c r="F770" s="89"/>
    </row>
    <row r="771" ht="15.75" customHeight="1">
      <c r="A771" s="89"/>
      <c r="B771" s="89"/>
      <c r="C771" s="89"/>
      <c r="D771" s="89"/>
      <c r="E771" s="89"/>
      <c r="F771" s="89"/>
    </row>
    <row r="772" ht="15.75" customHeight="1">
      <c r="A772" s="89"/>
      <c r="B772" s="89"/>
      <c r="C772" s="89"/>
      <c r="D772" s="89"/>
      <c r="E772" s="89"/>
      <c r="F772" s="89"/>
    </row>
    <row r="773" ht="15.75" customHeight="1">
      <c r="A773" s="89"/>
      <c r="B773" s="89"/>
      <c r="C773" s="89"/>
      <c r="D773" s="89"/>
      <c r="E773" s="89"/>
      <c r="F773" s="89"/>
    </row>
    <row r="774" ht="15.75" customHeight="1">
      <c r="A774" s="89"/>
      <c r="B774" s="89"/>
      <c r="C774" s="89"/>
      <c r="D774" s="89"/>
      <c r="E774" s="89"/>
      <c r="F774" s="89"/>
    </row>
    <row r="775" ht="15.75" customHeight="1">
      <c r="A775" s="89"/>
      <c r="B775" s="89"/>
      <c r="C775" s="89"/>
      <c r="D775" s="89"/>
      <c r="E775" s="89"/>
      <c r="F775" s="89"/>
    </row>
    <row r="776" ht="15.75" customHeight="1">
      <c r="A776" s="89"/>
      <c r="B776" s="89"/>
      <c r="C776" s="89"/>
      <c r="D776" s="89"/>
      <c r="E776" s="89"/>
      <c r="F776" s="89"/>
    </row>
    <row r="777" ht="15.75" customHeight="1">
      <c r="A777" s="89"/>
      <c r="B777" s="89"/>
      <c r="C777" s="89"/>
      <c r="D777" s="89"/>
      <c r="E777" s="89"/>
      <c r="F777" s="89"/>
    </row>
    <row r="778" ht="15.75" customHeight="1">
      <c r="A778" s="89"/>
      <c r="B778" s="89"/>
      <c r="C778" s="89"/>
      <c r="D778" s="89"/>
      <c r="E778" s="89"/>
      <c r="F778" s="89"/>
    </row>
    <row r="779" ht="15.75" customHeight="1">
      <c r="A779" s="89"/>
      <c r="B779" s="89"/>
      <c r="C779" s="89"/>
      <c r="D779" s="89"/>
      <c r="E779" s="89"/>
      <c r="F779" s="89"/>
    </row>
    <row r="780" ht="15.75" customHeight="1">
      <c r="A780" s="89"/>
      <c r="B780" s="89"/>
      <c r="C780" s="89"/>
      <c r="D780" s="89"/>
      <c r="E780" s="89"/>
      <c r="F780" s="89"/>
    </row>
    <row r="781" ht="15.75" customHeight="1">
      <c r="A781" s="89"/>
      <c r="B781" s="89"/>
      <c r="C781" s="89"/>
      <c r="D781" s="89"/>
      <c r="E781" s="89"/>
      <c r="F781" s="89"/>
    </row>
    <row r="782" ht="15.75" customHeight="1">
      <c r="A782" s="89"/>
      <c r="B782" s="89"/>
      <c r="C782" s="89"/>
      <c r="D782" s="89"/>
      <c r="E782" s="89"/>
      <c r="F782" s="89"/>
    </row>
    <row r="783" ht="15.75" customHeight="1">
      <c r="A783" s="89"/>
      <c r="B783" s="89"/>
      <c r="C783" s="89"/>
      <c r="D783" s="89"/>
      <c r="E783" s="89"/>
      <c r="F783" s="89"/>
    </row>
    <row r="784" ht="15.75" customHeight="1">
      <c r="A784" s="89"/>
      <c r="B784" s="89"/>
      <c r="C784" s="89"/>
      <c r="D784" s="89"/>
      <c r="E784" s="89"/>
      <c r="F784" s="89"/>
    </row>
    <row r="785" ht="15.75" customHeight="1">
      <c r="A785" s="89"/>
      <c r="B785" s="89"/>
      <c r="C785" s="89"/>
      <c r="D785" s="89"/>
      <c r="E785" s="89"/>
      <c r="F785" s="89"/>
    </row>
    <row r="786" ht="15.75" customHeight="1">
      <c r="A786" s="89"/>
      <c r="B786" s="89"/>
      <c r="C786" s="89"/>
      <c r="D786" s="89"/>
      <c r="E786" s="89"/>
      <c r="F786" s="89"/>
    </row>
    <row r="787" ht="15.75" customHeight="1">
      <c r="A787" s="89"/>
      <c r="B787" s="89"/>
      <c r="C787" s="89"/>
      <c r="D787" s="89"/>
      <c r="E787" s="89"/>
      <c r="F787" s="89"/>
    </row>
    <row r="788" ht="15.75" customHeight="1">
      <c r="A788" s="89"/>
      <c r="B788" s="89"/>
      <c r="C788" s="89"/>
      <c r="D788" s="89"/>
      <c r="E788" s="89"/>
      <c r="F788" s="89"/>
    </row>
    <row r="789" ht="15.75" customHeight="1">
      <c r="A789" s="89"/>
      <c r="B789" s="89"/>
      <c r="C789" s="89"/>
      <c r="D789" s="89"/>
      <c r="E789" s="89"/>
      <c r="F789" s="89"/>
    </row>
    <row r="790" ht="15.75" customHeight="1">
      <c r="A790" s="89"/>
      <c r="B790" s="89"/>
      <c r="C790" s="89"/>
      <c r="D790" s="89"/>
      <c r="E790" s="89"/>
      <c r="F790" s="89"/>
    </row>
    <row r="791" ht="15.75" customHeight="1">
      <c r="A791" s="89"/>
      <c r="B791" s="89"/>
      <c r="C791" s="89"/>
      <c r="D791" s="89"/>
      <c r="E791" s="89"/>
      <c r="F791" s="89"/>
    </row>
    <row r="792" ht="15.75" customHeight="1">
      <c r="A792" s="89"/>
      <c r="B792" s="89"/>
      <c r="C792" s="89"/>
      <c r="D792" s="89"/>
      <c r="E792" s="89"/>
      <c r="F792" s="89"/>
    </row>
    <row r="793" ht="15.75" customHeight="1">
      <c r="A793" s="89"/>
      <c r="B793" s="89"/>
      <c r="C793" s="89"/>
      <c r="D793" s="89"/>
      <c r="E793" s="89"/>
      <c r="F793" s="89"/>
    </row>
    <row r="794" ht="15.75" customHeight="1">
      <c r="A794" s="89"/>
      <c r="B794" s="89"/>
      <c r="C794" s="89"/>
      <c r="D794" s="89"/>
      <c r="E794" s="89"/>
      <c r="F794" s="89"/>
    </row>
    <row r="795" ht="15.75" customHeight="1">
      <c r="A795" s="89"/>
      <c r="B795" s="89"/>
      <c r="C795" s="89"/>
      <c r="D795" s="89"/>
      <c r="E795" s="89"/>
      <c r="F795" s="89"/>
    </row>
    <row r="796" ht="15.75" customHeight="1">
      <c r="A796" s="89"/>
      <c r="B796" s="89"/>
      <c r="C796" s="89"/>
      <c r="D796" s="89"/>
      <c r="E796" s="89"/>
      <c r="F796" s="89"/>
    </row>
    <row r="797" ht="15.75" customHeight="1">
      <c r="A797" s="89"/>
      <c r="B797" s="89"/>
      <c r="C797" s="89"/>
      <c r="D797" s="89"/>
      <c r="E797" s="89"/>
      <c r="F797" s="89"/>
    </row>
    <row r="798" ht="15.75" customHeight="1">
      <c r="A798" s="89"/>
      <c r="B798" s="89"/>
      <c r="C798" s="89"/>
      <c r="D798" s="89"/>
      <c r="E798" s="89"/>
      <c r="F798" s="89"/>
    </row>
    <row r="799" ht="15.75" customHeight="1">
      <c r="A799" s="89"/>
      <c r="B799" s="89"/>
      <c r="C799" s="89"/>
      <c r="D799" s="89"/>
      <c r="E799" s="89"/>
      <c r="F799" s="89"/>
    </row>
    <row r="800" ht="15.75" customHeight="1">
      <c r="A800" s="89"/>
      <c r="B800" s="89"/>
      <c r="C800" s="89"/>
      <c r="D800" s="89"/>
      <c r="E800" s="89"/>
      <c r="F800" s="89"/>
    </row>
    <row r="801" ht="15.75" customHeight="1">
      <c r="A801" s="89"/>
      <c r="B801" s="89"/>
      <c r="C801" s="89"/>
      <c r="D801" s="89"/>
      <c r="E801" s="89"/>
      <c r="F801" s="89"/>
    </row>
    <row r="802" ht="15.75" customHeight="1">
      <c r="A802" s="89"/>
      <c r="B802" s="89"/>
      <c r="C802" s="89"/>
      <c r="D802" s="89"/>
      <c r="E802" s="89"/>
      <c r="F802" s="89"/>
    </row>
    <row r="803" ht="15.75" customHeight="1">
      <c r="A803" s="89"/>
      <c r="B803" s="89"/>
      <c r="C803" s="89"/>
      <c r="D803" s="89"/>
      <c r="E803" s="89"/>
      <c r="F803" s="89"/>
    </row>
    <row r="804" ht="15.75" customHeight="1">
      <c r="A804" s="89"/>
      <c r="B804" s="89"/>
      <c r="C804" s="89"/>
      <c r="D804" s="89"/>
      <c r="E804" s="89"/>
      <c r="F804" s="89"/>
    </row>
    <row r="805" ht="15.75" customHeight="1">
      <c r="A805" s="89"/>
      <c r="B805" s="89"/>
      <c r="C805" s="89"/>
      <c r="D805" s="89"/>
      <c r="E805" s="89"/>
      <c r="F805" s="89"/>
    </row>
    <row r="806" ht="15.75" customHeight="1">
      <c r="A806" s="89"/>
      <c r="B806" s="89"/>
      <c r="C806" s="89"/>
      <c r="D806" s="89"/>
      <c r="E806" s="89"/>
      <c r="F806" s="89"/>
    </row>
    <row r="807" ht="15.75" customHeight="1">
      <c r="A807" s="89"/>
      <c r="B807" s="89"/>
      <c r="C807" s="89"/>
      <c r="D807" s="89"/>
      <c r="E807" s="89"/>
      <c r="F807" s="89"/>
    </row>
    <row r="808" ht="15.75" customHeight="1">
      <c r="A808" s="89"/>
      <c r="B808" s="89"/>
      <c r="C808" s="89"/>
      <c r="D808" s="89"/>
      <c r="E808" s="89"/>
      <c r="F808" s="89"/>
    </row>
    <row r="809" ht="15.75" customHeight="1">
      <c r="A809" s="89"/>
      <c r="B809" s="89"/>
      <c r="C809" s="89"/>
      <c r="D809" s="89"/>
      <c r="E809" s="89"/>
      <c r="F809" s="89"/>
    </row>
    <row r="810" ht="15.75" customHeight="1">
      <c r="A810" s="89"/>
      <c r="B810" s="89"/>
      <c r="C810" s="89"/>
      <c r="D810" s="89"/>
      <c r="E810" s="89"/>
      <c r="F810" s="89"/>
    </row>
    <row r="811" ht="15.75" customHeight="1">
      <c r="A811" s="89"/>
      <c r="B811" s="89"/>
      <c r="C811" s="89"/>
      <c r="D811" s="89"/>
      <c r="E811" s="89"/>
      <c r="F811" s="89"/>
    </row>
    <row r="812" ht="15.75" customHeight="1">
      <c r="A812" s="89"/>
      <c r="B812" s="89"/>
      <c r="C812" s="89"/>
      <c r="D812" s="89"/>
      <c r="E812" s="89"/>
      <c r="F812" s="89"/>
    </row>
    <row r="813" ht="15.75" customHeight="1">
      <c r="A813" s="89"/>
      <c r="B813" s="89"/>
      <c r="C813" s="89"/>
      <c r="D813" s="89"/>
      <c r="E813" s="89"/>
      <c r="F813" s="89"/>
    </row>
    <row r="814" ht="15.75" customHeight="1">
      <c r="A814" s="89"/>
      <c r="B814" s="89"/>
      <c r="C814" s="89"/>
      <c r="D814" s="89"/>
      <c r="E814" s="89"/>
      <c r="F814" s="89"/>
    </row>
    <row r="815" ht="15.75" customHeight="1">
      <c r="A815" s="89"/>
      <c r="B815" s="89"/>
      <c r="C815" s="89"/>
      <c r="D815" s="89"/>
      <c r="E815" s="89"/>
      <c r="F815" s="89"/>
    </row>
    <row r="816" ht="15.75" customHeight="1">
      <c r="A816" s="89"/>
      <c r="B816" s="89"/>
      <c r="C816" s="89"/>
      <c r="D816" s="89"/>
      <c r="E816" s="89"/>
      <c r="F816" s="89"/>
    </row>
    <row r="817" ht="15.75" customHeight="1">
      <c r="A817" s="89"/>
      <c r="B817" s="89"/>
      <c r="C817" s="89"/>
      <c r="D817" s="89"/>
      <c r="E817" s="89"/>
      <c r="F817" s="89"/>
    </row>
    <row r="818" ht="15.75" customHeight="1">
      <c r="A818" s="89"/>
      <c r="B818" s="89"/>
      <c r="C818" s="89"/>
      <c r="D818" s="89"/>
      <c r="E818" s="89"/>
      <c r="F818" s="89"/>
    </row>
    <row r="819" ht="15.75" customHeight="1">
      <c r="A819" s="89"/>
      <c r="B819" s="89"/>
      <c r="C819" s="89"/>
      <c r="D819" s="89"/>
      <c r="E819" s="89"/>
      <c r="F819" s="89"/>
    </row>
    <row r="820" ht="15.75" customHeight="1">
      <c r="A820" s="89"/>
      <c r="B820" s="89"/>
      <c r="C820" s="89"/>
      <c r="D820" s="89"/>
      <c r="E820" s="89"/>
      <c r="F820" s="89"/>
    </row>
    <row r="821" ht="15.75" customHeight="1">
      <c r="A821" s="89"/>
      <c r="B821" s="89"/>
      <c r="C821" s="89"/>
      <c r="D821" s="89"/>
      <c r="E821" s="89"/>
      <c r="F821" s="89"/>
    </row>
    <row r="822" ht="15.75" customHeight="1">
      <c r="A822" s="89"/>
      <c r="B822" s="89"/>
      <c r="C822" s="89"/>
      <c r="D822" s="89"/>
      <c r="E822" s="89"/>
      <c r="F822" s="89"/>
    </row>
    <row r="823" ht="15.75" customHeight="1">
      <c r="A823" s="89"/>
      <c r="B823" s="89"/>
      <c r="C823" s="89"/>
      <c r="D823" s="89"/>
      <c r="E823" s="89"/>
      <c r="F823" s="89"/>
    </row>
    <row r="824" ht="15.75" customHeight="1">
      <c r="A824" s="89"/>
      <c r="B824" s="89"/>
      <c r="C824" s="89"/>
      <c r="D824" s="89"/>
      <c r="E824" s="89"/>
      <c r="F824" s="89"/>
    </row>
    <row r="825" ht="15.75" customHeight="1">
      <c r="A825" s="89"/>
      <c r="B825" s="89"/>
      <c r="C825" s="89"/>
      <c r="D825" s="89"/>
      <c r="E825" s="89"/>
      <c r="F825" s="89"/>
    </row>
    <row r="826" ht="15.75" customHeight="1">
      <c r="A826" s="89"/>
      <c r="B826" s="89"/>
      <c r="C826" s="89"/>
      <c r="D826" s="89"/>
      <c r="E826" s="89"/>
      <c r="F826" s="89"/>
    </row>
    <row r="827" ht="15.75" customHeight="1">
      <c r="A827" s="89"/>
      <c r="B827" s="89"/>
      <c r="C827" s="89"/>
      <c r="D827" s="89"/>
      <c r="E827" s="89"/>
      <c r="F827" s="89"/>
    </row>
    <row r="828" ht="15.75" customHeight="1">
      <c r="A828" s="89"/>
      <c r="B828" s="89"/>
      <c r="C828" s="89"/>
      <c r="D828" s="89"/>
      <c r="E828" s="89"/>
      <c r="F828" s="89"/>
    </row>
    <row r="829" ht="15.75" customHeight="1">
      <c r="A829" s="89"/>
      <c r="B829" s="89"/>
      <c r="C829" s="89"/>
      <c r="D829" s="89"/>
      <c r="E829" s="89"/>
      <c r="F829" s="89"/>
    </row>
    <row r="830" ht="15.75" customHeight="1">
      <c r="A830" s="89"/>
      <c r="B830" s="89"/>
      <c r="C830" s="89"/>
      <c r="D830" s="89"/>
      <c r="E830" s="89"/>
      <c r="F830" s="89"/>
    </row>
    <row r="831" ht="15.75" customHeight="1">
      <c r="A831" s="89"/>
      <c r="B831" s="89"/>
      <c r="C831" s="89"/>
      <c r="D831" s="89"/>
      <c r="E831" s="89"/>
      <c r="F831" s="89"/>
    </row>
    <row r="832" ht="15.75" customHeight="1">
      <c r="A832" s="89"/>
      <c r="B832" s="89"/>
      <c r="C832" s="89"/>
      <c r="D832" s="89"/>
      <c r="E832" s="89"/>
      <c r="F832" s="89"/>
    </row>
    <row r="833" ht="15.75" customHeight="1">
      <c r="A833" s="89"/>
      <c r="B833" s="89"/>
      <c r="C833" s="89"/>
      <c r="D833" s="89"/>
      <c r="E833" s="89"/>
      <c r="F833" s="89"/>
    </row>
    <row r="834" ht="15.75" customHeight="1">
      <c r="A834" s="89"/>
      <c r="B834" s="89"/>
      <c r="C834" s="89"/>
      <c r="D834" s="89"/>
      <c r="E834" s="89"/>
      <c r="F834" s="89"/>
    </row>
    <row r="835" ht="15.75" customHeight="1">
      <c r="A835" s="89"/>
      <c r="B835" s="89"/>
      <c r="C835" s="89"/>
      <c r="D835" s="89"/>
      <c r="E835" s="89"/>
      <c r="F835" s="89"/>
    </row>
    <row r="836" ht="15.75" customHeight="1">
      <c r="A836" s="89"/>
      <c r="B836" s="89"/>
      <c r="C836" s="89"/>
      <c r="D836" s="89"/>
      <c r="E836" s="89"/>
      <c r="F836" s="89"/>
    </row>
    <row r="837" ht="15.75" customHeight="1">
      <c r="A837" s="89"/>
      <c r="B837" s="89"/>
      <c r="C837" s="89"/>
      <c r="D837" s="89"/>
      <c r="E837" s="89"/>
      <c r="F837" s="89"/>
    </row>
    <row r="838" ht="15.75" customHeight="1">
      <c r="A838" s="89"/>
      <c r="B838" s="89"/>
      <c r="C838" s="89"/>
      <c r="D838" s="89"/>
      <c r="E838" s="89"/>
      <c r="F838" s="89"/>
    </row>
    <row r="839" ht="15.75" customHeight="1">
      <c r="A839" s="89"/>
      <c r="B839" s="89"/>
      <c r="C839" s="89"/>
      <c r="D839" s="89"/>
      <c r="E839" s="89"/>
      <c r="F839" s="89"/>
    </row>
    <row r="840" ht="15.75" customHeight="1">
      <c r="A840" s="89"/>
      <c r="B840" s="89"/>
      <c r="C840" s="89"/>
      <c r="D840" s="89"/>
      <c r="E840" s="89"/>
      <c r="F840" s="89"/>
    </row>
    <row r="841" ht="15.75" customHeight="1">
      <c r="A841" s="89"/>
      <c r="B841" s="89"/>
      <c r="C841" s="89"/>
      <c r="D841" s="89"/>
      <c r="E841" s="89"/>
      <c r="F841" s="89"/>
    </row>
    <row r="842" ht="15.75" customHeight="1">
      <c r="A842" s="89"/>
      <c r="B842" s="89"/>
      <c r="C842" s="89"/>
      <c r="D842" s="89"/>
      <c r="E842" s="89"/>
      <c r="F842" s="89"/>
    </row>
    <row r="843" ht="15.75" customHeight="1">
      <c r="A843" s="89"/>
      <c r="B843" s="89"/>
      <c r="C843" s="89"/>
      <c r="D843" s="89"/>
      <c r="E843" s="89"/>
      <c r="F843" s="89"/>
    </row>
    <row r="844" ht="15.75" customHeight="1">
      <c r="A844" s="89"/>
      <c r="B844" s="89"/>
      <c r="C844" s="89"/>
      <c r="D844" s="89"/>
      <c r="E844" s="89"/>
      <c r="F844" s="89"/>
    </row>
    <row r="845" ht="15.75" customHeight="1">
      <c r="A845" s="89"/>
      <c r="B845" s="89"/>
      <c r="C845" s="89"/>
      <c r="D845" s="89"/>
      <c r="E845" s="89"/>
      <c r="F845" s="89"/>
    </row>
    <row r="846" ht="15.75" customHeight="1">
      <c r="A846" s="89"/>
      <c r="B846" s="89"/>
      <c r="C846" s="89"/>
      <c r="D846" s="89"/>
      <c r="E846" s="89"/>
      <c r="F846" s="89"/>
    </row>
    <row r="847" ht="15.75" customHeight="1">
      <c r="A847" s="89"/>
      <c r="B847" s="89"/>
      <c r="C847" s="89"/>
      <c r="D847" s="89"/>
      <c r="E847" s="89"/>
      <c r="F847" s="89"/>
    </row>
    <row r="848" ht="15.75" customHeight="1">
      <c r="A848" s="89"/>
      <c r="B848" s="89"/>
      <c r="C848" s="89"/>
      <c r="D848" s="89"/>
      <c r="E848" s="89"/>
      <c r="F848" s="89"/>
    </row>
    <row r="849" ht="15.75" customHeight="1">
      <c r="A849" s="89"/>
      <c r="B849" s="89"/>
      <c r="C849" s="89"/>
      <c r="D849" s="89"/>
      <c r="E849" s="89"/>
      <c r="F849" s="89"/>
    </row>
    <row r="850" ht="15.75" customHeight="1">
      <c r="A850" s="89"/>
      <c r="B850" s="89"/>
      <c r="C850" s="89"/>
      <c r="D850" s="89"/>
      <c r="E850" s="89"/>
      <c r="F850" s="89"/>
    </row>
    <row r="851" ht="15.75" customHeight="1">
      <c r="A851" s="89"/>
      <c r="B851" s="89"/>
      <c r="C851" s="89"/>
      <c r="D851" s="89"/>
      <c r="E851" s="89"/>
      <c r="F851" s="89"/>
    </row>
    <row r="852" ht="15.75" customHeight="1">
      <c r="A852" s="89"/>
      <c r="B852" s="89"/>
      <c r="C852" s="89"/>
      <c r="D852" s="89"/>
      <c r="E852" s="89"/>
      <c r="F852" s="89"/>
    </row>
    <row r="853" ht="15.75" customHeight="1">
      <c r="A853" s="89"/>
      <c r="B853" s="89"/>
      <c r="C853" s="89"/>
      <c r="D853" s="89"/>
      <c r="E853" s="89"/>
      <c r="F853" s="89"/>
    </row>
    <row r="854" ht="15.75" customHeight="1">
      <c r="A854" s="89"/>
      <c r="B854" s="89"/>
      <c r="C854" s="89"/>
      <c r="D854" s="89"/>
      <c r="E854" s="89"/>
      <c r="F854" s="89"/>
    </row>
    <row r="855" ht="15.75" customHeight="1">
      <c r="A855" s="89"/>
      <c r="B855" s="89"/>
      <c r="C855" s="89"/>
      <c r="D855" s="89"/>
      <c r="E855" s="89"/>
      <c r="F855" s="89"/>
    </row>
    <row r="856" ht="15.75" customHeight="1">
      <c r="A856" s="89"/>
      <c r="B856" s="89"/>
      <c r="C856" s="89"/>
      <c r="D856" s="89"/>
      <c r="E856" s="89"/>
      <c r="F856" s="89"/>
    </row>
    <row r="857" ht="15.75" customHeight="1">
      <c r="A857" s="89"/>
      <c r="B857" s="89"/>
      <c r="C857" s="89"/>
      <c r="D857" s="89"/>
      <c r="E857" s="89"/>
      <c r="F857" s="89"/>
    </row>
    <row r="858" ht="15.75" customHeight="1">
      <c r="A858" s="89"/>
      <c r="B858" s="89"/>
      <c r="C858" s="89"/>
      <c r="D858" s="89"/>
      <c r="E858" s="89"/>
      <c r="F858" s="89"/>
    </row>
    <row r="859" ht="15.75" customHeight="1">
      <c r="A859" s="89"/>
      <c r="B859" s="89"/>
      <c r="C859" s="89"/>
      <c r="D859" s="89"/>
      <c r="E859" s="89"/>
      <c r="F859" s="89"/>
    </row>
    <row r="860" ht="15.75" customHeight="1">
      <c r="A860" s="89"/>
      <c r="B860" s="89"/>
      <c r="C860" s="89"/>
      <c r="D860" s="89"/>
      <c r="E860" s="89"/>
      <c r="F860" s="89"/>
    </row>
    <row r="861" ht="15.75" customHeight="1">
      <c r="A861" s="89"/>
      <c r="B861" s="89"/>
      <c r="C861" s="89"/>
      <c r="D861" s="89"/>
      <c r="E861" s="89"/>
      <c r="F861" s="89"/>
    </row>
    <row r="862" ht="15.75" customHeight="1">
      <c r="A862" s="89"/>
      <c r="B862" s="89"/>
      <c r="C862" s="89"/>
      <c r="D862" s="89"/>
      <c r="E862" s="89"/>
      <c r="F862" s="89"/>
    </row>
    <row r="863" ht="15.75" customHeight="1">
      <c r="A863" s="89"/>
      <c r="B863" s="89"/>
      <c r="C863" s="89"/>
      <c r="D863" s="89"/>
      <c r="E863" s="89"/>
      <c r="F863" s="89"/>
    </row>
    <row r="864" ht="15.75" customHeight="1">
      <c r="A864" s="89"/>
      <c r="B864" s="89"/>
      <c r="C864" s="89"/>
      <c r="D864" s="89"/>
      <c r="E864" s="89"/>
      <c r="F864" s="89"/>
    </row>
    <row r="865" ht="15.75" customHeight="1">
      <c r="A865" s="89"/>
      <c r="B865" s="89"/>
      <c r="C865" s="89"/>
      <c r="D865" s="89"/>
      <c r="E865" s="89"/>
      <c r="F865" s="89"/>
    </row>
    <row r="866" ht="15.75" customHeight="1">
      <c r="A866" s="89"/>
      <c r="B866" s="89"/>
      <c r="C866" s="89"/>
      <c r="D866" s="89"/>
      <c r="E866" s="89"/>
      <c r="F866" s="89"/>
    </row>
    <row r="867" ht="15.75" customHeight="1">
      <c r="A867" s="89"/>
      <c r="B867" s="89"/>
      <c r="C867" s="89"/>
      <c r="D867" s="89"/>
      <c r="E867" s="89"/>
      <c r="F867" s="89"/>
    </row>
    <row r="868" ht="15.75" customHeight="1">
      <c r="A868" s="89"/>
      <c r="B868" s="89"/>
      <c r="C868" s="89"/>
      <c r="D868" s="89"/>
      <c r="E868" s="89"/>
      <c r="F868" s="89"/>
    </row>
    <row r="869" ht="15.75" customHeight="1">
      <c r="A869" s="89"/>
      <c r="B869" s="89"/>
      <c r="C869" s="89"/>
      <c r="D869" s="89"/>
      <c r="E869" s="89"/>
      <c r="F869" s="89"/>
    </row>
    <row r="870" ht="15.75" customHeight="1">
      <c r="A870" s="89"/>
      <c r="B870" s="89"/>
      <c r="C870" s="89"/>
      <c r="D870" s="89"/>
      <c r="E870" s="89"/>
      <c r="F870" s="89"/>
    </row>
    <row r="871" ht="15.75" customHeight="1">
      <c r="A871" s="89"/>
      <c r="B871" s="89"/>
      <c r="C871" s="89"/>
      <c r="D871" s="89"/>
      <c r="E871" s="89"/>
      <c r="F871" s="89"/>
    </row>
    <row r="872" ht="15.75" customHeight="1">
      <c r="A872" s="89"/>
      <c r="B872" s="89"/>
      <c r="C872" s="89"/>
      <c r="D872" s="89"/>
      <c r="E872" s="89"/>
      <c r="F872" s="89"/>
    </row>
    <row r="873" ht="15.75" customHeight="1">
      <c r="A873" s="89"/>
      <c r="B873" s="89"/>
      <c r="C873" s="89"/>
      <c r="D873" s="89"/>
      <c r="E873" s="89"/>
      <c r="F873" s="89"/>
    </row>
    <row r="874" ht="15.75" customHeight="1">
      <c r="A874" s="89"/>
      <c r="B874" s="89"/>
      <c r="C874" s="89"/>
      <c r="D874" s="89"/>
      <c r="E874" s="89"/>
      <c r="F874" s="89"/>
    </row>
    <row r="875" ht="15.75" customHeight="1">
      <c r="A875" s="89"/>
      <c r="B875" s="89"/>
      <c r="C875" s="89"/>
      <c r="D875" s="89"/>
      <c r="E875" s="89"/>
      <c r="F875" s="89"/>
    </row>
    <row r="876" ht="15.75" customHeight="1">
      <c r="A876" s="89"/>
      <c r="B876" s="89"/>
      <c r="C876" s="89"/>
      <c r="D876" s="89"/>
      <c r="E876" s="89"/>
      <c r="F876" s="89"/>
    </row>
    <row r="877" ht="15.75" customHeight="1">
      <c r="A877" s="89"/>
      <c r="B877" s="89"/>
      <c r="C877" s="89"/>
      <c r="D877" s="89"/>
      <c r="E877" s="89"/>
      <c r="F877" s="89"/>
    </row>
    <row r="878" ht="15.75" customHeight="1">
      <c r="A878" s="89"/>
      <c r="B878" s="89"/>
      <c r="C878" s="89"/>
      <c r="D878" s="89"/>
      <c r="E878" s="89"/>
      <c r="F878" s="89"/>
    </row>
    <row r="879" ht="15.75" customHeight="1">
      <c r="A879" s="89"/>
      <c r="B879" s="89"/>
      <c r="C879" s="89"/>
      <c r="D879" s="89"/>
      <c r="E879" s="89"/>
      <c r="F879" s="89"/>
    </row>
    <row r="880" ht="15.75" customHeight="1">
      <c r="A880" s="89"/>
      <c r="B880" s="89"/>
      <c r="C880" s="89"/>
      <c r="D880" s="89"/>
      <c r="E880" s="89"/>
      <c r="F880" s="89"/>
    </row>
    <row r="881" ht="15.75" customHeight="1">
      <c r="A881" s="89"/>
      <c r="B881" s="89"/>
      <c r="C881" s="89"/>
      <c r="D881" s="89"/>
      <c r="E881" s="89"/>
      <c r="F881" s="89"/>
    </row>
    <row r="882" ht="15.75" customHeight="1">
      <c r="A882" s="89"/>
      <c r="B882" s="89"/>
      <c r="C882" s="89"/>
      <c r="D882" s="89"/>
      <c r="E882" s="89"/>
      <c r="F882" s="89"/>
    </row>
    <row r="883" ht="15.75" customHeight="1">
      <c r="A883" s="89"/>
      <c r="B883" s="89"/>
      <c r="C883" s="89"/>
      <c r="D883" s="89"/>
      <c r="E883" s="89"/>
      <c r="F883" s="89"/>
    </row>
    <row r="884" ht="15.75" customHeight="1">
      <c r="A884" s="89"/>
      <c r="B884" s="89"/>
      <c r="C884" s="89"/>
      <c r="D884" s="89"/>
      <c r="E884" s="89"/>
      <c r="F884" s="89"/>
    </row>
    <row r="885" ht="15.75" customHeight="1">
      <c r="A885" s="89"/>
      <c r="B885" s="89"/>
      <c r="C885" s="89"/>
      <c r="D885" s="89"/>
      <c r="E885" s="89"/>
      <c r="F885" s="89"/>
    </row>
    <row r="886" ht="15.75" customHeight="1">
      <c r="A886" s="89"/>
      <c r="B886" s="89"/>
      <c r="C886" s="89"/>
      <c r="D886" s="89"/>
      <c r="E886" s="89"/>
      <c r="F886" s="89"/>
    </row>
    <row r="887" ht="15.75" customHeight="1">
      <c r="A887" s="89"/>
      <c r="B887" s="89"/>
      <c r="C887" s="89"/>
      <c r="D887" s="89"/>
      <c r="E887" s="89"/>
      <c r="F887" s="89"/>
    </row>
    <row r="888" ht="15.75" customHeight="1">
      <c r="A888" s="89"/>
      <c r="B888" s="89"/>
      <c r="C888" s="89"/>
      <c r="D888" s="89"/>
      <c r="E888" s="89"/>
      <c r="F888" s="89"/>
    </row>
    <row r="889" ht="15.75" customHeight="1">
      <c r="A889" s="89"/>
      <c r="B889" s="89"/>
      <c r="C889" s="89"/>
      <c r="D889" s="89"/>
      <c r="E889" s="89"/>
      <c r="F889" s="89"/>
    </row>
    <row r="890" ht="15.75" customHeight="1">
      <c r="A890" s="89"/>
      <c r="B890" s="89"/>
      <c r="C890" s="89"/>
      <c r="D890" s="89"/>
      <c r="E890" s="89"/>
      <c r="F890" s="89"/>
    </row>
    <row r="891" ht="15.75" customHeight="1">
      <c r="A891" s="89"/>
      <c r="B891" s="89"/>
      <c r="C891" s="89"/>
      <c r="D891" s="89"/>
      <c r="E891" s="89"/>
      <c r="F891" s="89"/>
    </row>
    <row r="892" ht="15.75" customHeight="1">
      <c r="A892" s="89"/>
      <c r="B892" s="89"/>
      <c r="C892" s="89"/>
      <c r="D892" s="89"/>
      <c r="E892" s="89"/>
      <c r="F892" s="89"/>
    </row>
    <row r="893" ht="15.75" customHeight="1">
      <c r="A893" s="89"/>
      <c r="B893" s="89"/>
      <c r="C893" s="89"/>
      <c r="D893" s="89"/>
      <c r="E893" s="89"/>
      <c r="F893" s="89"/>
    </row>
    <row r="894" ht="15.75" customHeight="1">
      <c r="A894" s="89"/>
      <c r="B894" s="89"/>
      <c r="C894" s="89"/>
      <c r="D894" s="89"/>
      <c r="E894" s="89"/>
      <c r="F894" s="89"/>
    </row>
    <row r="895" ht="15.75" customHeight="1">
      <c r="A895" s="89"/>
      <c r="B895" s="89"/>
      <c r="C895" s="89"/>
      <c r="D895" s="89"/>
      <c r="E895" s="89"/>
      <c r="F895" s="89"/>
    </row>
    <row r="896" ht="15.75" customHeight="1">
      <c r="A896" s="89"/>
      <c r="B896" s="89"/>
      <c r="C896" s="89"/>
      <c r="D896" s="89"/>
      <c r="E896" s="89"/>
      <c r="F896" s="89"/>
    </row>
    <row r="897" ht="15.75" customHeight="1">
      <c r="A897" s="89"/>
      <c r="B897" s="89"/>
      <c r="C897" s="89"/>
      <c r="D897" s="89"/>
      <c r="E897" s="89"/>
      <c r="F897" s="89"/>
    </row>
    <row r="898" ht="15.75" customHeight="1">
      <c r="A898" s="89"/>
      <c r="B898" s="89"/>
      <c r="C898" s="89"/>
      <c r="D898" s="89"/>
      <c r="E898" s="89"/>
      <c r="F898" s="89"/>
    </row>
    <row r="899" ht="15.75" customHeight="1">
      <c r="A899" s="89"/>
      <c r="B899" s="89"/>
      <c r="C899" s="89"/>
      <c r="D899" s="89"/>
      <c r="E899" s="89"/>
      <c r="F899" s="89"/>
    </row>
    <row r="900" ht="15.75" customHeight="1">
      <c r="A900" s="89"/>
      <c r="B900" s="89"/>
      <c r="C900" s="89"/>
      <c r="D900" s="89"/>
      <c r="E900" s="89"/>
      <c r="F900" s="89"/>
    </row>
    <row r="901" ht="15.75" customHeight="1">
      <c r="A901" s="89"/>
      <c r="B901" s="89"/>
      <c r="C901" s="89"/>
      <c r="D901" s="89"/>
      <c r="E901" s="89"/>
      <c r="F901" s="89"/>
    </row>
    <row r="902" ht="15.75" customHeight="1">
      <c r="A902" s="89"/>
      <c r="B902" s="89"/>
      <c r="C902" s="89"/>
      <c r="D902" s="89"/>
      <c r="E902" s="89"/>
      <c r="F902" s="89"/>
    </row>
    <row r="903" ht="15.75" customHeight="1">
      <c r="A903" s="89"/>
      <c r="B903" s="89"/>
      <c r="C903" s="89"/>
      <c r="D903" s="89"/>
      <c r="E903" s="89"/>
      <c r="F903" s="89"/>
    </row>
    <row r="904" ht="15.75" customHeight="1">
      <c r="A904" s="89"/>
      <c r="B904" s="89"/>
      <c r="C904" s="89"/>
      <c r="D904" s="89"/>
      <c r="E904" s="89"/>
      <c r="F904" s="89"/>
    </row>
    <row r="905" ht="15.75" customHeight="1">
      <c r="A905" s="89"/>
      <c r="B905" s="89"/>
      <c r="C905" s="89"/>
      <c r="D905" s="89"/>
      <c r="E905" s="89"/>
      <c r="F905" s="89"/>
    </row>
    <row r="906" ht="15.75" customHeight="1">
      <c r="A906" s="89"/>
      <c r="B906" s="89"/>
      <c r="C906" s="89"/>
      <c r="D906" s="89"/>
      <c r="E906" s="89"/>
      <c r="F906" s="89"/>
    </row>
    <row r="907" ht="15.75" customHeight="1">
      <c r="A907" s="89"/>
      <c r="B907" s="89"/>
      <c r="C907" s="89"/>
      <c r="D907" s="89"/>
      <c r="E907" s="89"/>
      <c r="F907" s="89"/>
    </row>
    <row r="908" ht="15.75" customHeight="1">
      <c r="A908" s="89"/>
      <c r="B908" s="89"/>
      <c r="C908" s="89"/>
      <c r="D908" s="89"/>
      <c r="E908" s="89"/>
      <c r="F908" s="89"/>
    </row>
    <row r="909" ht="15.75" customHeight="1">
      <c r="A909" s="89"/>
      <c r="B909" s="89"/>
      <c r="C909" s="89"/>
      <c r="D909" s="89"/>
      <c r="E909" s="89"/>
      <c r="F909" s="89"/>
    </row>
    <row r="910" ht="15.75" customHeight="1">
      <c r="A910" s="89"/>
      <c r="B910" s="89"/>
      <c r="C910" s="89"/>
      <c r="D910" s="89"/>
      <c r="E910" s="89"/>
      <c r="F910" s="89"/>
    </row>
    <row r="911" ht="15.75" customHeight="1">
      <c r="A911" s="89"/>
      <c r="B911" s="89"/>
      <c r="C911" s="89"/>
      <c r="D911" s="89"/>
      <c r="E911" s="89"/>
      <c r="F911" s="89"/>
    </row>
    <row r="912" ht="15.75" customHeight="1">
      <c r="A912" s="89"/>
      <c r="B912" s="89"/>
      <c r="C912" s="89"/>
      <c r="D912" s="89"/>
      <c r="E912" s="89"/>
      <c r="F912" s="89"/>
    </row>
    <row r="913" ht="15.75" customHeight="1">
      <c r="A913" s="89"/>
      <c r="B913" s="89"/>
      <c r="C913" s="89"/>
      <c r="D913" s="89"/>
      <c r="E913" s="89"/>
      <c r="F913" s="89"/>
    </row>
    <row r="914" ht="15.75" customHeight="1">
      <c r="A914" s="89"/>
      <c r="B914" s="89"/>
      <c r="C914" s="89"/>
      <c r="D914" s="89"/>
      <c r="E914" s="89"/>
      <c r="F914" s="89"/>
    </row>
    <row r="915" ht="15.75" customHeight="1">
      <c r="A915" s="89"/>
      <c r="B915" s="89"/>
      <c r="C915" s="89"/>
      <c r="D915" s="89"/>
      <c r="E915" s="89"/>
      <c r="F915" s="89"/>
    </row>
    <row r="916" ht="15.75" customHeight="1">
      <c r="A916" s="89"/>
      <c r="B916" s="89"/>
      <c r="C916" s="89"/>
      <c r="D916" s="89"/>
      <c r="E916" s="89"/>
      <c r="F916" s="89"/>
    </row>
    <row r="917" ht="15.75" customHeight="1">
      <c r="A917" s="89"/>
      <c r="B917" s="89"/>
      <c r="C917" s="89"/>
      <c r="D917" s="89"/>
      <c r="E917" s="89"/>
      <c r="F917" s="89"/>
    </row>
    <row r="918" ht="15.75" customHeight="1">
      <c r="A918" s="89"/>
      <c r="B918" s="89"/>
      <c r="C918" s="89"/>
      <c r="D918" s="89"/>
      <c r="E918" s="89"/>
      <c r="F918" s="89"/>
    </row>
    <row r="919" ht="15.75" customHeight="1">
      <c r="A919" s="89"/>
      <c r="B919" s="89"/>
      <c r="C919" s="89"/>
      <c r="D919" s="89"/>
      <c r="E919" s="89"/>
      <c r="F919" s="89"/>
    </row>
    <row r="920" ht="15.75" customHeight="1">
      <c r="A920" s="89"/>
      <c r="B920" s="89"/>
      <c r="C920" s="89"/>
      <c r="D920" s="89"/>
      <c r="E920" s="89"/>
      <c r="F920" s="89"/>
    </row>
    <row r="921" ht="15.75" customHeight="1">
      <c r="A921" s="89"/>
      <c r="B921" s="89"/>
      <c r="C921" s="89"/>
      <c r="D921" s="89"/>
      <c r="E921" s="89"/>
      <c r="F921" s="89"/>
    </row>
    <row r="922" ht="15.75" customHeight="1">
      <c r="A922" s="89"/>
      <c r="B922" s="89"/>
      <c r="C922" s="89"/>
      <c r="D922" s="89"/>
      <c r="E922" s="89"/>
      <c r="F922" s="89"/>
    </row>
    <row r="923" ht="15.75" customHeight="1">
      <c r="A923" s="89"/>
      <c r="B923" s="89"/>
      <c r="C923" s="89"/>
      <c r="D923" s="89"/>
      <c r="E923" s="89"/>
      <c r="F923" s="89"/>
    </row>
    <row r="924" ht="15.75" customHeight="1">
      <c r="A924" s="89"/>
      <c r="B924" s="89"/>
      <c r="C924" s="89"/>
      <c r="D924" s="89"/>
      <c r="E924" s="89"/>
      <c r="F924" s="89"/>
    </row>
    <row r="925" ht="15.75" customHeight="1">
      <c r="A925" s="89"/>
      <c r="B925" s="89"/>
      <c r="C925" s="89"/>
      <c r="D925" s="89"/>
      <c r="E925" s="89"/>
      <c r="F925" s="89"/>
    </row>
    <row r="926" ht="15.75" customHeight="1">
      <c r="A926" s="89"/>
      <c r="B926" s="89"/>
      <c r="C926" s="89"/>
      <c r="D926" s="89"/>
      <c r="E926" s="89"/>
      <c r="F926" s="89"/>
    </row>
    <row r="927" ht="15.75" customHeight="1">
      <c r="A927" s="89"/>
      <c r="B927" s="89"/>
      <c r="C927" s="89"/>
      <c r="D927" s="89"/>
      <c r="E927" s="89"/>
      <c r="F927" s="89"/>
    </row>
    <row r="928" ht="15.75" customHeight="1">
      <c r="A928" s="89"/>
      <c r="B928" s="89"/>
      <c r="C928" s="89"/>
      <c r="D928" s="89"/>
      <c r="E928" s="89"/>
      <c r="F928" s="89"/>
    </row>
    <row r="929" ht="15.75" customHeight="1">
      <c r="A929" s="89"/>
      <c r="B929" s="89"/>
      <c r="C929" s="89"/>
      <c r="D929" s="89"/>
      <c r="E929" s="89"/>
      <c r="F929" s="89"/>
    </row>
    <row r="930" ht="15.75" customHeight="1">
      <c r="A930" s="89"/>
      <c r="B930" s="89"/>
      <c r="C930" s="89"/>
      <c r="D930" s="89"/>
      <c r="E930" s="89"/>
      <c r="F930" s="89"/>
    </row>
    <row r="931" ht="15.75" customHeight="1">
      <c r="A931" s="89"/>
      <c r="B931" s="89"/>
      <c r="C931" s="89"/>
      <c r="D931" s="89"/>
      <c r="E931" s="89"/>
      <c r="F931" s="89"/>
    </row>
    <row r="932" ht="15.75" customHeight="1">
      <c r="A932" s="89"/>
      <c r="B932" s="89"/>
      <c r="C932" s="89"/>
      <c r="D932" s="89"/>
      <c r="E932" s="89"/>
      <c r="F932" s="89"/>
    </row>
    <row r="933" ht="15.75" customHeight="1">
      <c r="A933" s="89"/>
      <c r="B933" s="89"/>
      <c r="C933" s="89"/>
      <c r="D933" s="89"/>
      <c r="E933" s="89"/>
      <c r="F933" s="89"/>
    </row>
    <row r="934" ht="15.75" customHeight="1">
      <c r="A934" s="89"/>
      <c r="B934" s="89"/>
      <c r="C934" s="89"/>
      <c r="D934" s="89"/>
      <c r="E934" s="89"/>
      <c r="F934" s="89"/>
    </row>
    <row r="935" ht="15.75" customHeight="1">
      <c r="A935" s="89"/>
      <c r="B935" s="89"/>
      <c r="C935" s="89"/>
      <c r="D935" s="89"/>
      <c r="E935" s="89"/>
      <c r="F935" s="89"/>
    </row>
    <row r="936" ht="15.75" customHeight="1">
      <c r="A936" s="89"/>
      <c r="B936" s="89"/>
      <c r="C936" s="89"/>
      <c r="D936" s="89"/>
      <c r="E936" s="89"/>
      <c r="F936" s="89"/>
    </row>
    <row r="937" ht="15.75" customHeight="1">
      <c r="A937" s="89"/>
      <c r="B937" s="89"/>
      <c r="C937" s="89"/>
      <c r="D937" s="89"/>
      <c r="E937" s="89"/>
      <c r="F937" s="89"/>
    </row>
    <row r="938" ht="15.75" customHeight="1">
      <c r="A938" s="89"/>
      <c r="B938" s="89"/>
      <c r="C938" s="89"/>
      <c r="D938" s="89"/>
      <c r="E938" s="89"/>
      <c r="F938" s="89"/>
    </row>
    <row r="939" ht="15.75" customHeight="1">
      <c r="A939" s="89"/>
      <c r="B939" s="89"/>
      <c r="C939" s="89"/>
      <c r="D939" s="89"/>
      <c r="E939" s="89"/>
      <c r="F939" s="89"/>
    </row>
    <row r="940" ht="15.75" customHeight="1">
      <c r="A940" s="89"/>
      <c r="B940" s="89"/>
      <c r="C940" s="89"/>
      <c r="D940" s="89"/>
      <c r="E940" s="89"/>
      <c r="F940" s="89"/>
    </row>
    <row r="941" ht="15.75" customHeight="1">
      <c r="A941" s="89"/>
      <c r="B941" s="89"/>
      <c r="C941" s="89"/>
      <c r="D941" s="89"/>
      <c r="E941" s="89"/>
      <c r="F941" s="89"/>
    </row>
    <row r="942" ht="15.75" customHeight="1">
      <c r="A942" s="89"/>
      <c r="B942" s="89"/>
      <c r="C942" s="89"/>
      <c r="D942" s="89"/>
      <c r="E942" s="89"/>
      <c r="F942" s="89"/>
    </row>
    <row r="943" ht="15.75" customHeight="1">
      <c r="A943" s="89"/>
      <c r="B943" s="89"/>
      <c r="C943" s="89"/>
      <c r="D943" s="89"/>
      <c r="E943" s="89"/>
      <c r="F943" s="89"/>
    </row>
    <row r="944" ht="15.75" customHeight="1">
      <c r="A944" s="89"/>
      <c r="B944" s="89"/>
      <c r="C944" s="89"/>
      <c r="D944" s="89"/>
      <c r="E944" s="89"/>
      <c r="F944" s="89"/>
    </row>
    <row r="945" ht="15.75" customHeight="1">
      <c r="A945" s="89"/>
      <c r="B945" s="89"/>
      <c r="C945" s="89"/>
      <c r="D945" s="89"/>
      <c r="E945" s="89"/>
      <c r="F945" s="89"/>
    </row>
    <row r="946" ht="15.75" customHeight="1">
      <c r="A946" s="89"/>
      <c r="B946" s="89"/>
      <c r="C946" s="89"/>
      <c r="D946" s="89"/>
      <c r="E946" s="89"/>
      <c r="F946" s="89"/>
    </row>
    <row r="947" ht="15.75" customHeight="1">
      <c r="A947" s="89"/>
      <c r="B947" s="89"/>
      <c r="C947" s="89"/>
      <c r="D947" s="89"/>
      <c r="E947" s="89"/>
      <c r="F947" s="89"/>
    </row>
    <row r="948" ht="15.75" customHeight="1">
      <c r="A948" s="89"/>
      <c r="B948" s="89"/>
      <c r="C948" s="89"/>
      <c r="D948" s="89"/>
      <c r="E948" s="89"/>
      <c r="F948" s="89"/>
    </row>
    <row r="949" ht="15.75" customHeight="1">
      <c r="A949" s="89"/>
      <c r="B949" s="89"/>
      <c r="C949" s="89"/>
      <c r="D949" s="89"/>
      <c r="E949" s="89"/>
      <c r="F949" s="89"/>
    </row>
    <row r="950" ht="15.75" customHeight="1">
      <c r="A950" s="89"/>
      <c r="B950" s="89"/>
      <c r="C950" s="89"/>
      <c r="D950" s="89"/>
      <c r="E950" s="89"/>
      <c r="F950" s="89"/>
    </row>
    <row r="951" ht="15.75" customHeight="1">
      <c r="A951" s="89"/>
      <c r="B951" s="89"/>
      <c r="C951" s="89"/>
      <c r="D951" s="89"/>
      <c r="E951" s="89"/>
      <c r="F951" s="89"/>
    </row>
    <row r="952" ht="15.75" customHeight="1">
      <c r="A952" s="89"/>
      <c r="B952" s="89"/>
      <c r="C952" s="89"/>
      <c r="D952" s="89"/>
      <c r="E952" s="89"/>
      <c r="F952" s="89"/>
    </row>
    <row r="953" ht="15.75" customHeight="1">
      <c r="A953" s="89"/>
      <c r="B953" s="89"/>
      <c r="C953" s="89"/>
      <c r="D953" s="89"/>
      <c r="E953" s="89"/>
      <c r="F953" s="89"/>
    </row>
    <row r="954" ht="15.75" customHeight="1">
      <c r="A954" s="89"/>
      <c r="B954" s="89"/>
      <c r="C954" s="89"/>
      <c r="D954" s="89"/>
      <c r="E954" s="89"/>
      <c r="F954" s="89"/>
    </row>
    <row r="955" ht="15.75" customHeight="1">
      <c r="A955" s="89"/>
      <c r="B955" s="89"/>
      <c r="C955" s="89"/>
      <c r="D955" s="89"/>
      <c r="E955" s="89"/>
      <c r="F955" s="89"/>
    </row>
    <row r="956" ht="15.75" customHeight="1">
      <c r="A956" s="89"/>
      <c r="B956" s="89"/>
      <c r="C956" s="89"/>
      <c r="D956" s="89"/>
      <c r="E956" s="89"/>
      <c r="F956" s="89"/>
    </row>
    <row r="957" ht="15.75" customHeight="1">
      <c r="A957" s="89"/>
      <c r="B957" s="89"/>
      <c r="C957" s="89"/>
      <c r="D957" s="89"/>
      <c r="E957" s="89"/>
      <c r="F957" s="89"/>
    </row>
    <row r="958" ht="15.75" customHeight="1">
      <c r="A958" s="89"/>
      <c r="B958" s="89"/>
      <c r="C958" s="89"/>
      <c r="D958" s="89"/>
      <c r="E958" s="89"/>
      <c r="F958" s="89"/>
    </row>
    <row r="959" ht="15.75" customHeight="1">
      <c r="A959" s="89"/>
      <c r="B959" s="89"/>
      <c r="C959" s="89"/>
      <c r="D959" s="89"/>
      <c r="E959" s="89"/>
      <c r="F959" s="89"/>
    </row>
    <row r="960" ht="15.75" customHeight="1">
      <c r="A960" s="89"/>
      <c r="B960" s="89"/>
      <c r="C960" s="89"/>
      <c r="D960" s="89"/>
      <c r="E960" s="89"/>
      <c r="F960" s="89"/>
    </row>
    <row r="961" ht="15.75" customHeight="1">
      <c r="A961" s="89"/>
      <c r="B961" s="89"/>
      <c r="C961" s="89"/>
      <c r="D961" s="89"/>
      <c r="E961" s="89"/>
      <c r="F961" s="89"/>
    </row>
    <row r="962" ht="15.75" customHeight="1">
      <c r="A962" s="89"/>
      <c r="B962" s="89"/>
      <c r="C962" s="89"/>
      <c r="D962" s="89"/>
      <c r="E962" s="89"/>
      <c r="F962" s="89"/>
    </row>
    <row r="963" ht="15.75" customHeight="1">
      <c r="A963" s="89"/>
      <c r="B963" s="89"/>
      <c r="C963" s="89"/>
      <c r="D963" s="89"/>
      <c r="E963" s="89"/>
      <c r="F963" s="89"/>
    </row>
    <row r="964" ht="15.75" customHeight="1">
      <c r="A964" s="89"/>
      <c r="B964" s="89"/>
      <c r="C964" s="89"/>
      <c r="D964" s="89"/>
      <c r="E964" s="89"/>
      <c r="F964" s="89"/>
    </row>
    <row r="965" ht="15.75" customHeight="1">
      <c r="A965" s="89"/>
      <c r="B965" s="89"/>
      <c r="C965" s="89"/>
      <c r="D965" s="89"/>
      <c r="E965" s="89"/>
      <c r="F965" s="89"/>
    </row>
    <row r="966" ht="15.75" customHeight="1">
      <c r="A966" s="89"/>
      <c r="B966" s="89"/>
      <c r="C966" s="89"/>
      <c r="D966" s="89"/>
      <c r="E966" s="89"/>
      <c r="F966" s="89"/>
    </row>
    <row r="967" ht="15.75" customHeight="1">
      <c r="A967" s="89"/>
      <c r="B967" s="89"/>
      <c r="C967" s="89"/>
      <c r="D967" s="89"/>
      <c r="E967" s="89"/>
      <c r="F967" s="89"/>
    </row>
    <row r="968" ht="15.75" customHeight="1">
      <c r="A968" s="89"/>
      <c r="B968" s="89"/>
      <c r="C968" s="89"/>
      <c r="D968" s="89"/>
      <c r="E968" s="89"/>
      <c r="F968" s="89"/>
    </row>
    <row r="969" ht="15.75" customHeight="1">
      <c r="A969" s="89"/>
      <c r="B969" s="89"/>
      <c r="C969" s="89"/>
      <c r="D969" s="89"/>
      <c r="E969" s="89"/>
      <c r="F969" s="89"/>
    </row>
    <row r="970" ht="15.75" customHeight="1">
      <c r="A970" s="89"/>
      <c r="B970" s="89"/>
      <c r="C970" s="89"/>
      <c r="D970" s="89"/>
      <c r="E970" s="89"/>
      <c r="F970" s="89"/>
    </row>
    <row r="971" ht="15.75" customHeight="1">
      <c r="A971" s="89"/>
      <c r="B971" s="89"/>
      <c r="C971" s="89"/>
      <c r="D971" s="89"/>
      <c r="E971" s="89"/>
      <c r="F971" s="89"/>
    </row>
    <row r="972" ht="15.75" customHeight="1">
      <c r="A972" s="89"/>
      <c r="B972" s="89"/>
      <c r="C972" s="89"/>
      <c r="D972" s="89"/>
      <c r="E972" s="89"/>
      <c r="F972" s="89"/>
    </row>
    <row r="973" ht="15.75" customHeight="1">
      <c r="A973" s="89"/>
      <c r="B973" s="89"/>
      <c r="C973" s="89"/>
      <c r="D973" s="89"/>
      <c r="E973" s="89"/>
      <c r="F973" s="89"/>
    </row>
    <row r="974" ht="15.75" customHeight="1">
      <c r="A974" s="89"/>
      <c r="B974" s="89"/>
      <c r="C974" s="89"/>
      <c r="D974" s="89"/>
      <c r="E974" s="89"/>
      <c r="F974" s="89"/>
    </row>
    <row r="975" ht="15.75" customHeight="1">
      <c r="A975" s="89"/>
      <c r="B975" s="89"/>
      <c r="C975" s="89"/>
      <c r="D975" s="89"/>
      <c r="E975" s="89"/>
      <c r="F975" s="89"/>
    </row>
    <row r="976" ht="15.75" customHeight="1">
      <c r="A976" s="89"/>
      <c r="B976" s="89"/>
      <c r="C976" s="89"/>
      <c r="D976" s="89"/>
      <c r="E976" s="89"/>
      <c r="F976" s="89"/>
    </row>
    <row r="977" ht="15.75" customHeight="1">
      <c r="A977" s="89"/>
      <c r="B977" s="89"/>
      <c r="C977" s="89"/>
      <c r="D977" s="89"/>
      <c r="E977" s="89"/>
      <c r="F977" s="89"/>
    </row>
    <row r="978" ht="15.75" customHeight="1">
      <c r="A978" s="89"/>
      <c r="B978" s="89"/>
      <c r="C978" s="89"/>
      <c r="D978" s="89"/>
      <c r="E978" s="89"/>
      <c r="F978" s="89"/>
    </row>
    <row r="979" ht="15.75" customHeight="1">
      <c r="A979" s="89"/>
      <c r="B979" s="89"/>
      <c r="C979" s="89"/>
      <c r="D979" s="89"/>
      <c r="E979" s="89"/>
      <c r="F979" s="89"/>
    </row>
    <row r="980" ht="15.75" customHeight="1">
      <c r="A980" s="89"/>
      <c r="B980" s="89"/>
      <c r="C980" s="89"/>
      <c r="D980" s="89"/>
      <c r="E980" s="89"/>
      <c r="F980" s="89"/>
    </row>
    <row r="981" ht="15.75" customHeight="1">
      <c r="A981" s="89"/>
      <c r="B981" s="89"/>
      <c r="C981" s="89"/>
      <c r="D981" s="89"/>
      <c r="E981" s="89"/>
      <c r="F981" s="89"/>
    </row>
    <row r="982" ht="15.75" customHeight="1">
      <c r="A982" s="89"/>
      <c r="B982" s="89"/>
      <c r="C982" s="89"/>
      <c r="D982" s="89"/>
      <c r="E982" s="89"/>
      <c r="F982" s="89"/>
    </row>
    <row r="983" ht="15.75" customHeight="1">
      <c r="A983" s="89"/>
      <c r="B983" s="89"/>
      <c r="C983" s="89"/>
      <c r="D983" s="89"/>
      <c r="E983" s="89"/>
      <c r="F983" s="89"/>
    </row>
    <row r="984" ht="15.75" customHeight="1">
      <c r="A984" s="89"/>
      <c r="B984" s="89"/>
      <c r="C984" s="89"/>
      <c r="D984" s="89"/>
      <c r="E984" s="89"/>
      <c r="F984" s="89"/>
    </row>
    <row r="985" ht="15.75" customHeight="1">
      <c r="A985" s="89"/>
      <c r="B985" s="89"/>
      <c r="C985" s="89"/>
      <c r="D985" s="89"/>
      <c r="E985" s="89"/>
      <c r="F985" s="89"/>
    </row>
    <row r="986" ht="15.75" customHeight="1">
      <c r="A986" s="89"/>
      <c r="B986" s="89"/>
      <c r="C986" s="89"/>
      <c r="D986" s="89"/>
      <c r="E986" s="89"/>
      <c r="F986" s="89"/>
    </row>
    <row r="987" ht="15.75" customHeight="1">
      <c r="A987" s="89"/>
      <c r="B987" s="89"/>
      <c r="C987" s="89"/>
      <c r="D987" s="89"/>
      <c r="E987" s="89"/>
      <c r="F987" s="89"/>
    </row>
    <row r="988" ht="15.75" customHeight="1">
      <c r="A988" s="89"/>
      <c r="B988" s="89"/>
      <c r="C988" s="89"/>
      <c r="D988" s="89"/>
      <c r="E988" s="89"/>
      <c r="F988" s="89"/>
    </row>
    <row r="989" ht="15.75" customHeight="1">
      <c r="A989" s="89"/>
      <c r="B989" s="89"/>
      <c r="C989" s="89"/>
      <c r="D989" s="89"/>
      <c r="E989" s="89"/>
      <c r="F989" s="89"/>
    </row>
    <row r="990" ht="15.75" customHeight="1">
      <c r="A990" s="89"/>
      <c r="B990" s="89"/>
      <c r="C990" s="89"/>
      <c r="D990" s="89"/>
      <c r="E990" s="89"/>
      <c r="F990" s="89"/>
    </row>
    <row r="991" ht="15.75" customHeight="1">
      <c r="A991" s="89"/>
      <c r="B991" s="89"/>
      <c r="C991" s="89"/>
      <c r="D991" s="89"/>
      <c r="E991" s="89"/>
      <c r="F991" s="89"/>
    </row>
    <row r="992" ht="15.75" customHeight="1">
      <c r="A992" s="89"/>
      <c r="B992" s="89"/>
      <c r="C992" s="89"/>
      <c r="D992" s="89"/>
      <c r="E992" s="89"/>
      <c r="F992" s="89"/>
    </row>
    <row r="993" ht="15.75" customHeight="1">
      <c r="A993" s="89"/>
      <c r="B993" s="89"/>
      <c r="C993" s="89"/>
      <c r="D993" s="89"/>
      <c r="E993" s="89"/>
      <c r="F993" s="89"/>
    </row>
    <row r="994" ht="15.75" customHeight="1">
      <c r="A994" s="89"/>
      <c r="B994" s="89"/>
      <c r="C994" s="89"/>
      <c r="D994" s="89"/>
      <c r="E994" s="89"/>
      <c r="F994" s="89"/>
    </row>
    <row r="995" ht="15.75" customHeight="1">
      <c r="A995" s="89"/>
      <c r="B995" s="89"/>
      <c r="C995" s="89"/>
      <c r="D995" s="89"/>
      <c r="E995" s="89"/>
      <c r="F995" s="89"/>
    </row>
    <row r="996" ht="15.75" customHeight="1">
      <c r="A996" s="89"/>
      <c r="B996" s="89"/>
      <c r="C996" s="89"/>
      <c r="D996" s="89"/>
      <c r="E996" s="89"/>
      <c r="F996" s="89"/>
    </row>
  </sheetData>
  <mergeCells count="2">
    <mergeCell ref="B1:F1"/>
    <mergeCell ref="B2:F2"/>
  </mergeCells>
  <printOptions/>
  <pageMargins bottom="1.0" footer="0.0" header="0.0" left="0.75" right="0.75" top="1.0"/>
  <pageSetup paperSize="9" orientation="portrait"/>
  <drawing r:id="rId1"/>
</worksheet>
</file>